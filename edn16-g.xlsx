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drawings/drawing2.xml" ContentType="application/vnd.openxmlformats-officedocument.drawing+xml"/>
  <Override PartName="/xl/embeddings/oleObject3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ЭтаКнига" defaultThemeVersion="124226"/>
  <bookViews>
    <workbookView xWindow="4500" yWindow="315" windowWidth="13200" windowHeight="9930"/>
  </bookViews>
  <sheets>
    <sheet name="обложка" sheetId="1" r:id="rId1"/>
    <sheet name="титул" sheetId="2" r:id="rId2"/>
    <sheet name="содержание" sheetId="3" r:id="rId3"/>
    <sheet name="предисловие" sheetId="4" r:id="rId4"/>
    <sheet name="ТАБ_1 " sheetId="5" r:id="rId5"/>
    <sheet name="ТАБ_2" sheetId="6" r:id="rId6"/>
    <sheet name="ТАБ_3" sheetId="7" r:id="rId7"/>
    <sheet name="ТАБ_4" sheetId="8" r:id="rId8"/>
    <sheet name="ТАБ_5" sheetId="9" r:id="rId9"/>
    <sheet name="ТАБ_6" sheetId="25" r:id="rId10"/>
    <sheet name="ТАБ_7" sheetId="10" r:id="rId11"/>
    <sheet name="ТАБ_8" sheetId="11" r:id="rId12"/>
    <sheet name="ТАБ_9" sheetId="12" r:id="rId13"/>
    <sheet name="ТАБ_10" sheetId="13" r:id="rId14"/>
    <sheet name="ТАБ_11" sheetId="14" r:id="rId15"/>
    <sheet name="ТАБ_12" sheetId="15" r:id="rId16"/>
    <sheet name="ТАБ_13" sheetId="16" r:id="rId17"/>
    <sheet name="ТАБ_14" sheetId="17" r:id="rId18"/>
    <sheet name="ТАБ_15" sheetId="18" r:id="rId19"/>
    <sheet name="ТАБ_16" sheetId="19" r:id="rId20"/>
    <sheet name="ТАБ_17" sheetId="20" r:id="rId21"/>
    <sheet name="ТАБ_18" sheetId="21" r:id="rId22"/>
    <sheet name="ТАБ_19" sheetId="22" r:id="rId23"/>
    <sheet name="ТАБ_20" sheetId="23" r:id="rId24"/>
    <sheet name="ТАБ_21" sheetId="24" r:id="rId25"/>
  </sheets>
  <definedNames>
    <definedName name="_xlnm.Print_Titles" localSheetId="13">ТАБ_10!$4:$5</definedName>
    <definedName name="_xlnm.Print_Titles" localSheetId="14">ТАБ_11!$4:$5</definedName>
    <definedName name="_xlnm.Print_Titles" localSheetId="15">ТАБ_12!$4:$5</definedName>
    <definedName name="_xlnm.Print_Titles" localSheetId="16">ТАБ_13!$3:$4</definedName>
    <definedName name="_xlnm.Print_Titles" localSheetId="17">ТАБ_14!$3:$4</definedName>
    <definedName name="_xlnm.Print_Titles" localSheetId="18">ТАБ_15!$3:$4</definedName>
    <definedName name="_xlnm.Print_Titles" localSheetId="19">ТАБ_16!$3:$5</definedName>
    <definedName name="_xlnm.Print_Titles" localSheetId="20">ТАБ_17!$3:$5</definedName>
    <definedName name="_xlnm.Print_Titles" localSheetId="21">ТАБ_18!$4:$5</definedName>
    <definedName name="_xlnm.Print_Titles" localSheetId="22">ТАБ_19!$4:$5</definedName>
    <definedName name="_xlnm.Print_Titles" localSheetId="5">ТАБ_2!$3:$5</definedName>
    <definedName name="_xlnm.Print_Titles" localSheetId="23">ТАБ_20!$3:$4</definedName>
    <definedName name="_xlnm.Print_Titles" localSheetId="24">ТАБ_21!$3:$5</definedName>
    <definedName name="_xlnm.Print_Titles" localSheetId="6">ТАБ_3!$4:$6</definedName>
    <definedName name="_xlnm.Print_Titles" localSheetId="7">ТАБ_4!$4:$5</definedName>
    <definedName name="_xlnm.Print_Titles" localSheetId="8">ТАБ_5!$4:$4</definedName>
    <definedName name="_xlnm.Print_Titles" localSheetId="9">ТАБ_6!$4:$5</definedName>
    <definedName name="_xlnm.Print_Titles" localSheetId="11">ТАБ_8!$3:$5</definedName>
    <definedName name="_xlnm.Print_Titles" localSheetId="12">ТАБ_9!$4:$5</definedName>
    <definedName name="_xlnm.Print_Area" localSheetId="0">обложка!$A$1:$L$31</definedName>
    <definedName name="_xlnm.Print_Area" localSheetId="2">содержание!$A$1:$D$35</definedName>
    <definedName name="_xlnm.Print_Area" localSheetId="4">'ТАБ_1 '!$A$1:$F$13</definedName>
    <definedName name="_xlnm.Print_Area" localSheetId="19">ТАБ_16!$A$1:$F$101</definedName>
    <definedName name="_xlnm.Print_Area" localSheetId="20">ТАБ_17!$A$1:$F$29</definedName>
    <definedName name="_xlnm.Print_Area" localSheetId="22">ТАБ_19!$A$1:$G$101</definedName>
    <definedName name="_xlnm.Print_Area" localSheetId="24">ТАБ_21!$A$1:$G$105</definedName>
    <definedName name="_xlnm.Print_Area" localSheetId="9">ТАБ_6!$A$1:$H$57</definedName>
    <definedName name="_xlnm.Print_Area" localSheetId="11">ТАБ_8!$A$1:$F$50</definedName>
    <definedName name="_xlnm.Print_Area" localSheetId="1">титул!$A$1:$L$31</definedName>
  </definedNames>
  <calcPr calcId="114210" fullCalcOnLoad="1"/>
  <fileRecoveryPr autoRecover="0"/>
</workbook>
</file>

<file path=xl/calcChain.xml><?xml version="1.0" encoding="utf-8"?>
<calcChain xmlns="http://schemas.openxmlformats.org/spreadsheetml/2006/main">
  <c r="G40" i="7" l="1"/>
  <c r="D11" i="5"/>
  <c r="D10" i="5"/>
  <c r="D8" i="5"/>
  <c r="D7" i="5"/>
  <c r="D6" i="5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6" i="8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72" i="24"/>
  <c r="F73" i="24"/>
  <c r="F74" i="24"/>
  <c r="F75" i="24"/>
  <c r="F76" i="24"/>
  <c r="F77" i="24"/>
  <c r="F78" i="24"/>
  <c r="F79" i="24"/>
  <c r="F80" i="24"/>
  <c r="F81" i="24"/>
  <c r="F82" i="24"/>
  <c r="F83" i="24"/>
  <c r="F84" i="24"/>
  <c r="F85" i="24"/>
  <c r="F86" i="24"/>
  <c r="F87" i="24"/>
  <c r="F88" i="24"/>
  <c r="F89" i="24"/>
  <c r="F90" i="24"/>
  <c r="F91" i="24"/>
  <c r="F92" i="24"/>
  <c r="F93" i="24"/>
  <c r="F94" i="24"/>
  <c r="F95" i="24"/>
  <c r="F96" i="24"/>
  <c r="F97" i="24"/>
  <c r="F98" i="24"/>
  <c r="F99" i="24"/>
  <c r="F100" i="24"/>
  <c r="F101" i="24"/>
  <c r="F6" i="24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5" i="23"/>
  <c r="D8" i="20"/>
  <c r="D10" i="20"/>
  <c r="D11" i="20"/>
  <c r="D12" i="20"/>
  <c r="D13" i="20"/>
  <c r="D14" i="20"/>
  <c r="D15" i="20"/>
  <c r="D17" i="20"/>
  <c r="D18" i="20"/>
  <c r="D19" i="20"/>
  <c r="D20" i="20"/>
  <c r="D22" i="20"/>
  <c r="D23" i="20"/>
  <c r="D24" i="20"/>
  <c r="D26" i="20"/>
  <c r="D27" i="20"/>
  <c r="D28" i="20"/>
  <c r="D29" i="20"/>
  <c r="D6" i="20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6" i="19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7" i="6"/>
  <c r="G8" i="6"/>
  <c r="G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6" i="6"/>
  <c r="G7" i="24"/>
  <c r="G8" i="24"/>
  <c r="G9" i="24"/>
  <c r="G10" i="24"/>
  <c r="G11" i="24"/>
  <c r="G12" i="24"/>
  <c r="G13" i="24"/>
  <c r="G14" i="24"/>
  <c r="G15" i="24"/>
  <c r="G16" i="24"/>
  <c r="G17" i="24"/>
  <c r="G18" i="24"/>
  <c r="G19" i="24"/>
  <c r="G20" i="24"/>
  <c r="G21" i="24"/>
  <c r="G22" i="24"/>
  <c r="G23" i="24"/>
  <c r="G24" i="24"/>
  <c r="G25" i="24"/>
  <c r="G26" i="24"/>
  <c r="G27" i="24"/>
  <c r="G28" i="24"/>
  <c r="G29" i="24"/>
  <c r="G30" i="24"/>
  <c r="G31" i="24"/>
  <c r="G32" i="24"/>
  <c r="G33" i="24"/>
  <c r="G34" i="24"/>
  <c r="G35" i="24"/>
  <c r="G36" i="24"/>
  <c r="G37" i="24"/>
  <c r="G38" i="24"/>
  <c r="G40" i="24"/>
  <c r="G41" i="24"/>
  <c r="G43" i="24"/>
  <c r="G44" i="24"/>
  <c r="G45" i="24"/>
  <c r="G46" i="24"/>
  <c r="G48" i="24"/>
  <c r="G49" i="24"/>
  <c r="G50" i="24"/>
  <c r="G51" i="24"/>
  <c r="G52" i="24"/>
  <c r="G53" i="24"/>
  <c r="G54" i="24"/>
  <c r="G55" i="24"/>
  <c r="G56" i="24"/>
  <c r="G57" i="24"/>
  <c r="G58" i="24"/>
  <c r="G59" i="24"/>
  <c r="G60" i="24"/>
  <c r="G61" i="24"/>
  <c r="G62" i="24"/>
  <c r="G63" i="24"/>
  <c r="G64" i="24"/>
  <c r="G65" i="24"/>
  <c r="G66" i="24"/>
  <c r="G67" i="24"/>
  <c r="G68" i="24"/>
  <c r="G69" i="24"/>
  <c r="G70" i="24"/>
  <c r="G71" i="24"/>
  <c r="G72" i="24"/>
  <c r="G73" i="24"/>
  <c r="G74" i="24"/>
  <c r="G75" i="24"/>
  <c r="G76" i="24"/>
  <c r="G77" i="24"/>
  <c r="G78" i="24"/>
  <c r="G79" i="24"/>
  <c r="G80" i="24"/>
  <c r="G81" i="24"/>
  <c r="G82" i="24"/>
  <c r="G83" i="24"/>
  <c r="G84" i="24"/>
  <c r="G85" i="24"/>
  <c r="G86" i="24"/>
  <c r="G87" i="24"/>
  <c r="G88" i="24"/>
  <c r="G89" i="24"/>
  <c r="G90" i="24"/>
  <c r="G91" i="24"/>
  <c r="G92" i="24"/>
  <c r="G93" i="24"/>
  <c r="G94" i="24"/>
  <c r="G95" i="24"/>
  <c r="G96" i="24"/>
  <c r="G97" i="24"/>
  <c r="G98" i="24"/>
  <c r="G99" i="24"/>
  <c r="G100" i="24"/>
  <c r="G101" i="24"/>
  <c r="G42" i="24"/>
  <c r="G47" i="24"/>
  <c r="G6" i="24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3" i="8"/>
  <c r="E44" i="8"/>
  <c r="E45" i="8"/>
  <c r="E46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42" i="8"/>
  <c r="E47" i="8"/>
  <c r="E6" i="8"/>
</calcChain>
</file>

<file path=xl/sharedStrings.xml><?xml version="1.0" encoding="utf-8"?>
<sst xmlns="http://schemas.openxmlformats.org/spreadsheetml/2006/main" count="1808" uniqueCount="363">
  <si>
    <t xml:space="preserve">ФЕДЕРАЛЬНАЯ СЛУЖБА ГОСУДАРСТВЕННОЙ СТАТИСТИКИ </t>
  </si>
  <si>
    <t>ЕСТЕСТВЕННОЕ ДВИЖЕНИЕ НАСЕЛЕНИЯ</t>
  </si>
  <si>
    <t>РОССИЙСКОЙ ФЕДЕРАЦИИ</t>
  </si>
  <si>
    <t>(Статистический бюллетень)</t>
  </si>
  <si>
    <t>№ табл.</t>
  </si>
  <si>
    <t>СОДЕРЖАНИЕ</t>
  </si>
  <si>
    <t>стр.</t>
  </si>
  <si>
    <t xml:space="preserve">   Естественный прирост, (убыль)          </t>
  </si>
  <si>
    <t>2. РОДИВШИЕСЯ, УМЕРШИЕ И ЕСТЕСТВЕННЫЙ ПРИРОСТ НАСЕЛЕНИЯ ПО СУБЪЕКТАМ РОССИЙСКОЙ ФЕДЕРАЦИИ</t>
  </si>
  <si>
    <t xml:space="preserve">  Число родившихся</t>
  </si>
  <si>
    <t>Прирост, снижение           /-/</t>
  </si>
  <si>
    <t xml:space="preserve">  Число  умерших</t>
  </si>
  <si>
    <t>Естественный прирост, убыль (-)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</si>
  <si>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</si>
  <si>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</si>
  <si>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</si>
  <si>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</si>
  <si>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</si>
  <si>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</si>
  <si>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</si>
  <si>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</si>
  <si>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</si>
  <si>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</si>
  <si>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</si>
  <si>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</si>
  <si>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</si>
  <si>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</si>
  <si>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</si>
  <si>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</si>
  <si>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</si>
  <si>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</si>
  <si>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</si>
  <si>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</si>
  <si>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</si>
  <si>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</si>
  <si>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</si>
  <si>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</si>
  <si>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  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</si>
  <si>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</si>
  <si>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</si>
  <si>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</si>
  <si>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</si>
  <si>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</si>
  <si>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</si>
  <si>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</si>
  <si>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Южный федеральный округ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</si>
  <si>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</si>
  <si>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</si>
  <si>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</si>
  <si>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</si>
  <si>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</si>
  <si>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</si>
  <si>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</si>
  <si>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</si>
  <si>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</si>
  <si>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</si>
  <si>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</si>
  <si>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</si>
  <si>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</si>
  <si>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</si>
  <si>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</si>
  <si>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</si>
  <si>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</si>
  <si>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</si>
  <si>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</si>
  <si>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</si>
  <si>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</si>
  <si>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</si>
  <si>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</si>
  <si>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</si>
  <si>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</si>
  <si>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</si>
  <si>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</si>
  <si>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</si>
  <si>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</si>
  <si>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</si>
  <si>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</si>
  <si>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</si>
  <si>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</si>
  <si>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 xml:space="preserve">  Ханты-Мансийский автономный округ - Югра</t>
  </si>
  <si>
    <t xml:space="preserve">  Ямало-Ненецкий автономный округ</t>
  </si>
  <si>
    <t>Челябинская область</t>
  </si>
  <si>
    <t>Сибирский федеральный округ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</si>
  <si>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</si>
  <si>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</si>
  <si>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</si>
  <si>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</si>
  <si>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</si>
  <si>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</si>
  <si>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</si>
  <si>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</si>
  <si>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</si>
  <si>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</si>
  <si>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Oмская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</si>
  <si>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</si>
  <si>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</si>
  <si>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</si>
  <si>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</si>
  <si>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</si>
  <si>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</si>
  <si>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</si>
  <si>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</si>
  <si>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</si>
  <si>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</si>
  <si>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</si>
  <si>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 xml:space="preserve">3. ОБЩИЕ КОЭФФИЦИЕНТЫ РОЖДАЕМОСТИ, СМЕРТНОСТИ, ЕСТЕСТВЕННОГО  ПРИРОСТА НАСЕЛЕНИЯ </t>
  </si>
  <si>
    <t xml:space="preserve"> ПО СУБЪЕКТАМ РОССИЙСКОЙ ФЕДЕРАЦИИ</t>
  </si>
  <si>
    <t>Естественный прирост, убыль ( - )</t>
  </si>
  <si>
    <t xml:space="preserve">4. РОДИВШИЕСЯ ЖИВЫМИ У ЖЕНЩИН, НЕ СОСТОЯВШИХ В ЗАРЕГИСТРИРОВАННОМ БРАКЕ,    </t>
  </si>
  <si>
    <t>ПО СУБЪЕКТАМ  РОССИЙСКОЙ ФЕДЕРАЦИИ</t>
  </si>
  <si>
    <t xml:space="preserve"> % к общему числу родившихся</t>
  </si>
  <si>
    <t>5. РОДИВШИЕСЯ ВНЕ БРАКА ПО ВОЗРАСТУ МАТЕРИ</t>
  </si>
  <si>
    <t>14 и моложе</t>
  </si>
  <si>
    <t>15-17</t>
  </si>
  <si>
    <t>18-19</t>
  </si>
  <si>
    <t>20-24</t>
  </si>
  <si>
    <t>25-29</t>
  </si>
  <si>
    <t>30-34</t>
  </si>
  <si>
    <t>35-39</t>
  </si>
  <si>
    <t>40-44</t>
  </si>
  <si>
    <t>45-49</t>
  </si>
  <si>
    <t>50-54</t>
  </si>
  <si>
    <t>55 и более</t>
  </si>
  <si>
    <t>неиз-вестно</t>
  </si>
  <si>
    <t>Образование</t>
  </si>
  <si>
    <t>всего</t>
  </si>
  <si>
    <t>в том числе:</t>
  </si>
  <si>
    <t>Всего</t>
  </si>
  <si>
    <t xml:space="preserve">  высшее профессиональное</t>
  </si>
  <si>
    <t xml:space="preserve">  неполное высшее профессиональное</t>
  </si>
  <si>
    <t xml:space="preserve">  среднее профессиональное</t>
  </si>
  <si>
    <t xml:space="preserve">  начальное профессиональное</t>
  </si>
  <si>
    <t xml:space="preserve">  среднее (полное) общее</t>
  </si>
  <si>
    <t xml:space="preserve">  основное общее</t>
  </si>
  <si>
    <t xml:space="preserve">  начальное общее</t>
  </si>
  <si>
    <t xml:space="preserve">  не имеющие начального общего </t>
  </si>
  <si>
    <t xml:space="preserve">  не указавшие </t>
  </si>
  <si>
    <t xml:space="preserve">Число умерших </t>
  </si>
  <si>
    <t xml:space="preserve">       из них от:</t>
  </si>
  <si>
    <t xml:space="preserve">       ишемических болезней сердца</t>
  </si>
  <si>
    <t xml:space="preserve">       цереброваскулярных болезней</t>
  </si>
  <si>
    <t>ЗА</t>
  </si>
  <si>
    <t>1998 год</t>
  </si>
  <si>
    <t>Число умерших от :</t>
  </si>
  <si>
    <t>некоторых инфекционных и паразитарных болезней</t>
  </si>
  <si>
    <t>в том числе от туберкулеза</t>
  </si>
  <si>
    <t xml:space="preserve"> новообразова-ний</t>
  </si>
  <si>
    <t xml:space="preserve">болезней системы кровообраще-ния </t>
  </si>
  <si>
    <t>болезней органов дыхания</t>
  </si>
  <si>
    <t xml:space="preserve"> болезней органов пищеварения</t>
  </si>
  <si>
    <t>внешних причин</t>
  </si>
  <si>
    <t xml:space="preserve">      Число умерших от : </t>
  </si>
  <si>
    <t xml:space="preserve"> случайных отравлений алкоголем</t>
  </si>
  <si>
    <t xml:space="preserve"> случайных утоплений</t>
  </si>
  <si>
    <t xml:space="preserve"> самоубийств</t>
  </si>
  <si>
    <t xml:space="preserve"> убийств</t>
  </si>
  <si>
    <t>Возраст</t>
  </si>
  <si>
    <t xml:space="preserve"> до 1 года</t>
  </si>
  <si>
    <t xml:space="preserve"> 0-27 дней</t>
  </si>
  <si>
    <t xml:space="preserve"> 1-4 </t>
  </si>
  <si>
    <t xml:space="preserve"> 5-9 </t>
  </si>
  <si>
    <t xml:space="preserve"> 10-14           </t>
  </si>
  <si>
    <t xml:space="preserve"> 15-19          </t>
  </si>
  <si>
    <t xml:space="preserve"> 20-24         </t>
  </si>
  <si>
    <t xml:space="preserve"> 25-29         </t>
  </si>
  <si>
    <t xml:space="preserve"> 30-34          </t>
  </si>
  <si>
    <t xml:space="preserve"> 35-39          </t>
  </si>
  <si>
    <t xml:space="preserve"> 40-44          </t>
  </si>
  <si>
    <t xml:space="preserve"> 45-49          </t>
  </si>
  <si>
    <t xml:space="preserve"> 50-54          </t>
  </si>
  <si>
    <t xml:space="preserve"> 55-59          </t>
  </si>
  <si>
    <t xml:space="preserve"> 60-64          </t>
  </si>
  <si>
    <t xml:space="preserve"> 65-69          </t>
  </si>
  <si>
    <t xml:space="preserve"> 70-74          </t>
  </si>
  <si>
    <t xml:space="preserve"> 75-79         </t>
  </si>
  <si>
    <t xml:space="preserve"> 80-84          </t>
  </si>
  <si>
    <t xml:space="preserve"> не указан   </t>
  </si>
  <si>
    <t xml:space="preserve"> Всего  </t>
  </si>
  <si>
    <t xml:space="preserve"> в т.ч. в трудоспособном возрасте</t>
  </si>
  <si>
    <t>на 100000 родившихся живыми</t>
  </si>
  <si>
    <t>Всего умерших от всех причин</t>
  </si>
  <si>
    <t xml:space="preserve">     в том числе:</t>
  </si>
  <si>
    <t xml:space="preserve">     из них от:   </t>
  </si>
  <si>
    <t xml:space="preserve">     из них от:</t>
  </si>
  <si>
    <t xml:space="preserve">     пневмоний</t>
  </si>
  <si>
    <t xml:space="preserve">     гриппа и ОРЗ</t>
  </si>
  <si>
    <t xml:space="preserve">     из них от: </t>
  </si>
  <si>
    <t xml:space="preserve">     врожденной гидроцефалии и spina bifida </t>
  </si>
  <si>
    <t xml:space="preserve">     врожденных аномалий  системы  кровообращения</t>
  </si>
  <si>
    <t xml:space="preserve">     родовых травм</t>
  </si>
  <si>
    <t xml:space="preserve">     внутриутробной гипоксии и асфиксии в родах</t>
  </si>
  <si>
    <t xml:space="preserve">     дыхательные расстройства новорожденного</t>
  </si>
  <si>
    <t xml:space="preserve">                               ЗА 1998 год</t>
  </si>
  <si>
    <t xml:space="preserve">за </t>
  </si>
  <si>
    <t>отдельных состояний, возникающих в перинатальном периоде</t>
  </si>
  <si>
    <t xml:space="preserve"> врожденных аномалий (пороков развития)</t>
  </si>
  <si>
    <t xml:space="preserve"> болезней органов дыхания</t>
  </si>
  <si>
    <t>болезней органов пищеварения</t>
  </si>
  <si>
    <t xml:space="preserve">       за </t>
  </si>
  <si>
    <t xml:space="preserve">Число детей, умерших в возрасте до 1 года, на 10000 родившихся живыми от:   </t>
  </si>
  <si>
    <t>Число браков</t>
  </si>
  <si>
    <t>Число разводов</t>
  </si>
  <si>
    <t xml:space="preserve">                              ОИПД ГМЦ РОССТАТА Зак.________________  Тир._____________2013г.</t>
  </si>
  <si>
    <t>ЗАМЕСТИТЕЛЬ РУКОВОДИТЕЛЯ ФЕДЕРАЛЬНОЙ</t>
  </si>
  <si>
    <t>СЛУЖБЫ ГОСУДАРСТВЕННОЙ СТАТИСТИКИ</t>
  </si>
  <si>
    <t>человек</t>
  </si>
  <si>
    <t xml:space="preserve">на 1000 родившихся живыми </t>
  </si>
  <si>
    <t>на 1000 родившихся живыми и мертвыми</t>
  </si>
  <si>
    <t xml:space="preserve">всех видов транспортных несчастных случаев        </t>
  </si>
  <si>
    <t xml:space="preserve"> всех видов транспортных несчастных случаев</t>
  </si>
  <si>
    <t xml:space="preserve">                                        </t>
  </si>
  <si>
    <t>Республика Крым</t>
  </si>
  <si>
    <t>г. Севастополь</t>
  </si>
  <si>
    <t>г.Севастополь</t>
  </si>
  <si>
    <t>15-19</t>
  </si>
  <si>
    <t xml:space="preserve"> мертво-   рожденные</t>
  </si>
  <si>
    <t xml:space="preserve">  Число детей, умерших  в  возрасте до 1 года</t>
  </si>
  <si>
    <t xml:space="preserve"> Число детей, умерших  в возрасте до 1 года</t>
  </si>
  <si>
    <t>внешних  причин</t>
  </si>
  <si>
    <t xml:space="preserve"> Прирост,  снижение  / - /</t>
  </si>
  <si>
    <t>Прирост, снижение  / - /</t>
  </si>
  <si>
    <t>Абсолютные данные</t>
  </si>
  <si>
    <t xml:space="preserve">   На 1000 человек населения </t>
  </si>
  <si>
    <t>(  на 1000 человек населения  )</t>
  </si>
  <si>
    <t>Число умерших на 100000 человек населения</t>
  </si>
  <si>
    <t>Число умерших на 100000 человек населения от :</t>
  </si>
  <si>
    <t xml:space="preserve">             Число умерших на 100000 человек населения от:</t>
  </si>
  <si>
    <t>умершие в возрасте                      до 7 дней</t>
  </si>
  <si>
    <r>
      <rPr>
        <vertAlign val="superscript"/>
        <sz val="10"/>
        <color indexed="8"/>
        <rFont val="Arial"/>
        <family val="2"/>
        <charset val="204"/>
      </rPr>
      <t>1)</t>
    </r>
    <r>
      <rPr>
        <sz val="10"/>
        <color indexed="8"/>
        <rFont val="Arial"/>
        <family val="2"/>
        <charset val="204"/>
      </rPr>
      <t xml:space="preserve"> Рассчитывается на 100000 родившихся живыми.</t>
    </r>
  </si>
  <si>
    <r>
      <rPr>
        <vertAlign val="superscript"/>
        <sz val="10"/>
        <color indexed="8"/>
        <rFont val="Arial"/>
        <family val="2"/>
        <charset val="204"/>
      </rPr>
      <t>1)</t>
    </r>
    <r>
      <rPr>
        <sz val="10"/>
        <color indexed="8"/>
        <rFont val="Arial"/>
        <family val="2"/>
        <charset val="204"/>
      </rPr>
      <t xml:space="preserve"> Рассчитывается на 1000 родившихся живыми.</t>
    </r>
  </si>
  <si>
    <t>2015г.</t>
  </si>
  <si>
    <t xml:space="preserve"> Прирост,     снижение  / - /</t>
  </si>
  <si>
    <r>
      <t>10,1</t>
    </r>
    <r>
      <rPr>
        <vertAlign val="superscript"/>
        <sz val="10"/>
        <rFont val="Arial Cyr"/>
        <charset val="204"/>
      </rPr>
      <t>1)</t>
    </r>
  </si>
  <si>
    <t>за  2016 год</t>
  </si>
  <si>
    <t>2016г.</t>
  </si>
  <si>
    <t xml:space="preserve">   Родившихся</t>
  </si>
  <si>
    <t xml:space="preserve">   Умерших</t>
  </si>
  <si>
    <t xml:space="preserve">   Браков         </t>
  </si>
  <si>
    <t xml:space="preserve">   Разводов      </t>
  </si>
  <si>
    <t xml:space="preserve">из них детей 
в возрасте до 1 года               </t>
  </si>
  <si>
    <r>
      <rPr>
        <sz val="10"/>
        <rFont val="Arial Cyr"/>
        <charset val="204"/>
      </rPr>
      <t>6,5</t>
    </r>
    <r>
      <rPr>
        <vertAlign val="superscript"/>
        <sz val="10"/>
        <rFont val="Arial Cyr"/>
        <charset val="204"/>
      </rPr>
      <t>1)</t>
    </r>
  </si>
  <si>
    <t xml:space="preserve">  </t>
  </si>
  <si>
    <t>ПО СУБЪЕКТАМ РОССИЙСКОЙ ФЕДЕРАЦИИ ЗА 2016 ГОД</t>
  </si>
  <si>
    <t>Возраст матери (лет)</t>
  </si>
  <si>
    <t>Всего родившихся живыми</t>
  </si>
  <si>
    <t>в том числе по очередности рождения ребенка:</t>
  </si>
  <si>
    <t>неизвестно</t>
  </si>
  <si>
    <t>60 и старше</t>
  </si>
  <si>
    <t>не указан</t>
  </si>
  <si>
    <t>Итого</t>
  </si>
  <si>
    <t>всего родившихся у женщин вне брака</t>
  </si>
  <si>
    <t>7. ЧИСЛО РОДИВШИХСЯ ЖИВЫМИ ПО ВОЗРАСТУ И ОБРАЗОВАНИЮ МАТЕРИ В 2016 ГОДУ</t>
  </si>
  <si>
    <t xml:space="preserve">от некоторых инфекционных и  паразитарных                   болезней              </t>
  </si>
  <si>
    <t>от болезней системы кровообращения</t>
  </si>
  <si>
    <t>от новообразований</t>
  </si>
  <si>
    <t>от внешних причин смерти</t>
  </si>
  <si>
    <t>от болезней органов дыхания</t>
  </si>
  <si>
    <t>от болезней органов пищеварения</t>
  </si>
  <si>
    <t>от симптомов, признаков и отклонений  от нормы,выявленных при клинических и лабораторных исследованиях, не классифицированных в других рубриках</t>
  </si>
  <si>
    <t>от осложнений беременности, родов  и послеродового периода</t>
  </si>
  <si>
    <t>от болезней кожи и подкожной клетчатки</t>
  </si>
  <si>
    <t>от болезней крови, кроветворных органов и отдельных нарушений с вовлечением иммунного механизма</t>
  </si>
  <si>
    <t>от болезней костно-мышечной системы  и соединительной ткани</t>
  </si>
  <si>
    <t>от психических расстройств  и расстройства поведения</t>
  </si>
  <si>
    <t xml:space="preserve">от болезней уха и сосцевидного отростка </t>
  </si>
  <si>
    <t xml:space="preserve">от болезней глаза и его придаточного аппарата </t>
  </si>
  <si>
    <t>от болезней нервной системы</t>
  </si>
  <si>
    <t>от болезней мочеполовой системы</t>
  </si>
  <si>
    <t xml:space="preserve">от болезней эндокринной системы, расстройства питания и нарушения  обмена веществ </t>
  </si>
  <si>
    <t xml:space="preserve">       из них от злокачественных</t>
  </si>
  <si>
    <t xml:space="preserve">       из них от:   </t>
  </si>
  <si>
    <t xml:space="preserve">       случайных отравлений алкоголем</t>
  </si>
  <si>
    <t xml:space="preserve">       самоубийств</t>
  </si>
  <si>
    <t xml:space="preserve">       убийств</t>
  </si>
  <si>
    <t xml:space="preserve">       всех видов транспортных  несчастных случаев:</t>
  </si>
  <si>
    <t xml:space="preserve">       из них от язвенной болезни (всех форм)</t>
  </si>
  <si>
    <t xml:space="preserve">       кишечных инфекций</t>
  </si>
  <si>
    <t xml:space="preserve">       туберкулеза (всех форм)</t>
  </si>
  <si>
    <t xml:space="preserve">       из них от сахарного диабета</t>
  </si>
  <si>
    <t xml:space="preserve">       из них от анемий</t>
  </si>
  <si>
    <t xml:space="preserve">       из них от материнской смертности</t>
  </si>
  <si>
    <t xml:space="preserve">       старости</t>
  </si>
  <si>
    <t xml:space="preserve">          в том числе от ДТП</t>
  </si>
  <si>
    <t xml:space="preserve">       смерти по неустановленным причинам</t>
  </si>
  <si>
    <t xml:space="preserve"> ЗА 2016 ГОД</t>
  </si>
  <si>
    <t>8. СМЕРТНОСТЬ НАСЕЛЕНИЯ ПО ОСНОВНЫМ КЛАССАМ И ОТДЕЛЬНЫМ ПРИЧИНАМ СМЕРТИ</t>
  </si>
  <si>
    <t xml:space="preserve"> 9.  УМЕРШИЕ ПО ОСНОВНЫМ КЛАССАМ ПРИЧИН СМЕРТИ ПО СУБЪЕКТАМ РОССИЙСКОЙ ФЕДЕРАЦИИ</t>
  </si>
  <si>
    <t>10. СМЕРТНОСТЬ НАСЕЛЕНИЯ  ПО ОСНОВНЫМ КЛАССАМ ПРИЧИН СМЕРТИ  ПО СУБЪЕКТАМ РОССИЙСКОЙ ФЕДЕРАЦИИ</t>
  </si>
  <si>
    <t xml:space="preserve">    ЗА 2016 ГОД</t>
  </si>
  <si>
    <t xml:space="preserve">  11. ЧИСЛО УМЕРШИХ ОТ ВНЕШНИХ ПРИЧИН СМЕРТИ ПО СУБЪЕКТАМ РОССИЙСКОЙ ФЕДЕРАЦИИ</t>
  </si>
  <si>
    <t xml:space="preserve">  12. СМЕРТНОСТЬ НАСЕЛЕНИЯ ОТ ВНЕШНИХ ПРИЧИН СМЕРТИ ПО СУБЪЕКТАМ РОССИЙСКОЙ ФЕДЕРАЦИИ</t>
  </si>
  <si>
    <t>13.  УМЕРШИЕ ПО ВОЗРАСТНЫМ ГРУППАМ И ОСНОВНЫМ КЛАССАМ ПРИЧИН СМЕРТИ В 2016 ГОДУ</t>
  </si>
  <si>
    <t xml:space="preserve">   14. МАТЕРИНСКАЯ СМЕРТНОСТЬ ПО СУБЪЕКТАМ РОССИЙСКОЙ ФЕДЕРАЦИИ</t>
  </si>
  <si>
    <t xml:space="preserve">   15. ПЕРИНАТАЛЬНАЯ  СМЕРТНОСТЬ ПО СУБЪЕКТАМ РОССИЙСКОЙ ФЕДЕРАЦИИ ЗА 2016 ГОД</t>
  </si>
  <si>
    <t>Число детей, умерших в возрасте до 1 года, на 1000 родившихся живыми</t>
  </si>
  <si>
    <t>17. МЛАДЕНЧЕСКАЯ СМЕРТНОСТЬ В РОССИЙСКОЙ ФЕДЕРАЦИИ  ПО ОСНОВНЫМ КЛАССАМ И ОТДЕЛЬНЫМ ПРИЧИНАМ СМЕРТИ</t>
  </si>
  <si>
    <t xml:space="preserve"> в % к общему числу умерших в 2016г.</t>
  </si>
  <si>
    <t xml:space="preserve">   в % к общему  числу умерших в 2016г.</t>
  </si>
  <si>
    <t>от болезней эндокринной системы, расстройства  питания  и  нарушения обмена веществ</t>
  </si>
  <si>
    <t xml:space="preserve">от болезней нервной системы  </t>
  </si>
  <si>
    <t>из них от менингита, за исключением менингита при   инфекционных и паразитарных заболеваниях</t>
  </si>
  <si>
    <t>септицемии</t>
  </si>
  <si>
    <t>кишечных инфекций</t>
  </si>
  <si>
    <t>от врожденных аномалий  (пороков развития), деформаций и хромосомных нарушений</t>
  </si>
  <si>
    <t>от отдельных  состояний,  возникающих  в перинатальном периоде</t>
  </si>
  <si>
    <t>от некоторых инфекционных и паразитарных болезней</t>
  </si>
  <si>
    <t xml:space="preserve">                         16.  МЛАДЕНЧЕСКАЯ СМЕРТНОСТЬ ПО СУБЪЕКТАМ РОССИЙСКОЙ ФЕДЕРАЦИИ</t>
  </si>
  <si>
    <t xml:space="preserve"> 18. УМЕРШИЕ В ВОЗРАСТЕ ДО 1 ГОДА ПО ОСНОВНЫМ КЛАССАМ ПРИЧИН СМЕРТИ</t>
  </si>
  <si>
    <t xml:space="preserve">     ПО СУБЪЕКТАМ РОССИЙСКОЙ ФЕДЕРАЦИИ ЗА 2016 ГОД</t>
  </si>
  <si>
    <t xml:space="preserve"> ПО СУБЪЕКТАМ РОССИЙСКОЙ ФЕДЕРАЦИИ ЗА 2016 ГОД</t>
  </si>
  <si>
    <t xml:space="preserve">19.  КОЭФФИЦИЕНТЫ МЛАДЕНЧЕСКОЙ СМЕРТНОСТИ ПО ОСНОВНЫМ КЛАССАМ ПРИЧИН СМЕРТИ </t>
  </si>
  <si>
    <t xml:space="preserve">  20. ЧИСЛО БРАКОВ И РАЗВОДОВ ПО СУБЪЕКТАМ РОССИЙСКОЙ ФЕДЕРАЦИИ</t>
  </si>
  <si>
    <t>Г.К. ОКСЕНОЙТ</t>
  </si>
  <si>
    <t xml:space="preserve"> На 1000 населения 
браков</t>
  </si>
  <si>
    <t xml:space="preserve"> На 1000 населения 
разводов</t>
  </si>
  <si>
    <t>Число разводов 
на 1000 браков</t>
  </si>
  <si>
    <t xml:space="preserve">  21. ОБЩИЕ КОЭФФИЦИЕНТЫ БРАЧНОСТИ И РАЗВОДИМОСТИ ПО СУБЪЕКТАМ РОССИЙСКОЙ ФЕДЕРАЦИИ</t>
  </si>
  <si>
    <t>новообразо-ваний</t>
  </si>
  <si>
    <t>Архангельская область без автономии</t>
  </si>
  <si>
    <t>Тюменская область без автономий</t>
  </si>
  <si>
    <t xml:space="preserve"> В РОССИЙСКОЙ ФЕДЕРАЦИИ</t>
  </si>
  <si>
    <t xml:space="preserve"> 1. ОБЩИЕ ИТОГИ ЕСТЕСТВЕННОГО ДВИЖЕНИЯ НАСЕЛЕНИЯ </t>
  </si>
  <si>
    <t xml:space="preserve"> новообразо-ваний</t>
  </si>
  <si>
    <t>умершие в возрасте до 7 дней</t>
  </si>
  <si>
    <t>Число детей, умерших в возрасте до 1 года, на 10000 родившихся живыми</t>
  </si>
  <si>
    <t>Число детей, умерших в возрасте до 1 года от:</t>
  </si>
  <si>
    <t>первый</t>
  </si>
  <si>
    <t>второй</t>
  </si>
  <si>
    <t>третий</t>
  </si>
  <si>
    <t>четвертый</t>
  </si>
  <si>
    <t>пятый и более</t>
  </si>
  <si>
    <t>6. ЧИСЛО РОДИВШИХСЯ ЖИВЫМИ ПО ВОЗРАСТУ МАТЕРИ И  ОЧЕРЕДНОСТИ РОЖДЕНИЯ</t>
  </si>
  <si>
    <t>В РОССИЙСКОЙ ФЕДЕРАЦИИ В 2016 ГОДУ</t>
  </si>
  <si>
    <t xml:space="preserve"> врожденных аномалий(пороков развития)</t>
  </si>
  <si>
    <t>Общие итоги естественного движения населения в Российской Федерации……………………………………….………………………………………</t>
  </si>
  <si>
    <t>Родившиеся, умершие и естественный прирост населения по субъектам Российской Федерации………………………………...……………………</t>
  </si>
  <si>
    <t>Общие коэффициенты рождаемости, смертности, естественного прироста населения по субъектам Российской Федерации……………..…</t>
  </si>
  <si>
    <t>Родившиеся  живыми у  женщин,  не состоявших в зарегистрированном браке, по субъектам Российской Федерации……………….……</t>
  </si>
  <si>
    <t>Родившиеся вне брака по возрасту матери по субъектам Российской Федерации в 2016 году……………………………………………………….……..</t>
  </si>
  <si>
    <t>Число родившихся живыми по возрасту матери и очередности рождения в Российской Федерации в 2016 году……………………………...………</t>
  </si>
  <si>
    <t>Число родившихся живыми по возрасту и образованию матери в 2016 году…………………………………………………………………………..……….</t>
  </si>
  <si>
    <t>Смертность населения по основным классам и отдельным причинам смерти……………………………………………………………………..…...…..</t>
  </si>
  <si>
    <t>Умершие по основным классам причин смерти по субъектам  Российской Федерации…………………………………………………….…………….</t>
  </si>
  <si>
    <t>Cмертность населения по основным классам причин смерти по субъектам Российской Федерации………………………………………..……………..</t>
  </si>
  <si>
    <t>Число умерших от внешних причин смерти по субъектам Российской Федерации……………………………………………………………...……………</t>
  </si>
  <si>
    <t>Смертность населения от внешних причин смерти по субъектам Российской Федерации…………………………………………………………..…………….</t>
  </si>
  <si>
    <t>Умершие по возрастным группам и основным классам причин смерти в 2016 году…………………………………………………………….………………</t>
  </si>
  <si>
    <t>Материнская смертность по субъектам Российской Федерации…………………………………………………………………………………...…………………</t>
  </si>
  <si>
    <t>Перинатальная смертность по субъектам Российской Федерации………………………………………………………………………………….……………….</t>
  </si>
  <si>
    <t>Младенческая смертность по субъектам Российской Федерации……………………………………………………………………………….…………..</t>
  </si>
  <si>
    <t>Младенческая смертность в Российской Федерации по основным классам и отдельным причинам смерти……………………………...……………….</t>
  </si>
  <si>
    <t>Умершие в возрасте до 1 года по основным классам причин смерти  по субъектам Российской Федерации…………………………….……………</t>
  </si>
  <si>
    <t>Коэффициенты младенческой смертности по основным классам причин смерти по субъектам Российской Федерации…………………...……..</t>
  </si>
  <si>
    <t>Число браков и разводов по субъектам Российской Федерации………………………………………………………………………………………...…….</t>
  </si>
  <si>
    <t>Общие коэффициенты брачности и разводимости по субъектам Российской Федерации………………………………………………………….…….</t>
  </si>
  <si>
    <t>Предисловие…………………………………………………………………………………………………………...………………………………..………………………………..</t>
  </si>
  <si>
    <t xml:space="preserve"> МОСКВА 2017 г.</t>
  </si>
  <si>
    <r>
      <rPr>
        <sz val="10"/>
        <rFont val="Arial Cyr"/>
        <charset val="204"/>
      </rPr>
      <t>6,0</t>
    </r>
    <r>
      <rPr>
        <vertAlign val="superscript"/>
        <sz val="10"/>
        <rFont val="Arial Cyr"/>
        <charset val="204"/>
      </rPr>
      <t>1)</t>
    </r>
  </si>
  <si>
    <t>Х</t>
  </si>
  <si>
    <r>
      <t xml:space="preserve"> 10,0</t>
    </r>
    <r>
      <rPr>
        <vertAlign val="superscript"/>
        <sz val="10"/>
        <rFont val="Arial Cyr"/>
        <charset val="204"/>
      </rPr>
      <t>1)</t>
    </r>
  </si>
  <si>
    <t xml:space="preserve"> 85 и более </t>
  </si>
  <si>
    <t xml:space="preserve">Прирост, снижение / - / </t>
  </si>
  <si>
    <t xml:space="preserve">         в том числе: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</si>
</sst>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5">
    <numFmt numFmtId="43" formatCode="_-* #,##0.00_р_._-;\-* #,##0.00_р_._-;_-* &quot;-&quot;??_р_._-;_-@_-"/>
    <numFmt numFmtId="164" formatCode="0&quot;      &quot;"/>
    <numFmt numFmtId="165" formatCode="0&quot;       &quot;"/>
    <numFmt numFmtId="166" formatCode="0.0&quot;      &quot;"/>
    <numFmt numFmtId="167" formatCode="0.0&quot;        &quot;"/>
    <numFmt numFmtId="168" formatCode="General&quot;   &quot;"/>
    <numFmt numFmtId="169" formatCode="[=0]&quot; - &quot;;General"/>
    <numFmt numFmtId="170" formatCode="0.0&quot;     &quot;"/>
    <numFmt numFmtId="171" formatCode="0.00&quot;      &quot;;[=0]&quot;-&quot;&quot;      &quot;;General"/>
    <numFmt numFmtId="172" formatCode="0.0"/>
    <numFmt numFmtId="173" formatCode="0&quot;       &quot;;[=0]&quot;-&quot;&quot;         &quot;;General"/>
    <numFmt numFmtId="174" formatCode="0.0&quot;         &quot;;[=0]&quot;-&quot;&quot;       &quot;;General"/>
    <numFmt numFmtId="175" formatCode="0&quot;      &quot;;[=0]&quot;-&quot;&quot;      &quot;;General"/>
    <numFmt numFmtId="176" formatCode="0.0&quot;          &quot;"/>
    <numFmt numFmtId="177" formatCode="0&quot;  &quot;;[=0]&quot;-&quot;&quot;  &quot;;General"/>
    <numFmt numFmtId="178" formatCode="0&quot;   &quot;;[=0]&quot;-&quot;&quot;   &quot;;General"/>
    <numFmt numFmtId="179" formatCode="0&quot;    &quot;;[=0]&quot;-&quot;&quot;    &quot;;General"/>
    <numFmt numFmtId="180" formatCode="0&quot;     &quot;;[=0]&quot;-&quot;&quot;     &quot;;General"/>
    <numFmt numFmtId="181" formatCode="0&quot;          &quot;"/>
    <numFmt numFmtId="182" formatCode="0&quot;        &quot;;[=0]&quot;-&quot;&quot;        &quot;;General"/>
    <numFmt numFmtId="183" formatCode="0&quot;         &quot;;[=0]&quot;-&quot;&quot;         &quot;;General"/>
    <numFmt numFmtId="184" formatCode="0&quot;        &quot;"/>
    <numFmt numFmtId="185" formatCode="0&quot; &quot;;[=0]&quot;-&quot;&quot; &quot;;General"/>
    <numFmt numFmtId="186" formatCode="General&quot;     &quot;"/>
    <numFmt numFmtId="187" formatCode="0.0&quot;         &quot;"/>
    <numFmt numFmtId="188" formatCode="0&quot;        &quot;;[=0]&quot;-&quot;&quot;          &quot;;General"/>
    <numFmt numFmtId="189" formatCode="0&quot;     &quot;;[=0]&quot;-&quot;&quot;       &quot;;General"/>
    <numFmt numFmtId="190" formatCode="0&quot;     &quot;"/>
    <numFmt numFmtId="191" formatCode="0&quot;    &quot;"/>
    <numFmt numFmtId="192" formatCode="0.0&quot;       &quot;"/>
    <numFmt numFmtId="193" formatCode="0&quot;       &quot;;[=0]&quot;-&quot;&quot;       &quot;;General"/>
    <numFmt numFmtId="194" formatCode="General&quot;       &quot;"/>
    <numFmt numFmtId="195" formatCode="0.0&quot;       &quot;;[=0]&quot;-&quot;&quot;       &quot;;General"/>
    <numFmt numFmtId="196" formatCode="0.0&quot;         &quot;;[=0]&quot;-&quot;&quot;         &quot;;General"/>
    <numFmt numFmtId="197" formatCode="0&quot;          &quot;;[=0]&quot;-&quot;&quot;          &quot;;General"/>
    <numFmt numFmtId="198" formatCode="General&quot;      &quot;"/>
    <numFmt numFmtId="199" formatCode="0&quot;           &quot;;[=0]&quot;-&quot;&quot;           &quot;;General"/>
    <numFmt numFmtId="200" formatCode="0.0&quot;          &quot;;[=0]&quot;-&quot;&quot;          &quot;;General"/>
    <numFmt numFmtId="201" formatCode="0.00&quot;       &quot;;[=0]&quot;-&quot;&quot;       &quot;;General"/>
    <numFmt numFmtId="202" formatCode="0.00&quot;        &quot;;[=0]&quot;-&quot;&quot;        &quot;;General"/>
    <numFmt numFmtId="203" formatCode="0.0&quot;           &quot;"/>
    <numFmt numFmtId="204" formatCode="0.0&quot;            &quot;;[=0]&quot;-&quot;&quot;            &quot;;General"/>
    <numFmt numFmtId="205" formatCode="0.0&quot;        &quot;;[=0]&quot;-&quot;&quot;        &quot;;General"/>
    <numFmt numFmtId="206" formatCode="General&quot;    &quot;"/>
    <numFmt numFmtId="207" formatCode="0.0&quot;              &quot;"/>
    <numFmt numFmtId="208" formatCode="General&quot;  &quot;"/>
    <numFmt numFmtId="209" formatCode="0.000&quot;          &quot;"/>
    <numFmt numFmtId="210" formatCode="0.00&quot;         &quot;"/>
    <numFmt numFmtId="211" formatCode="0.000"/>
    <numFmt numFmtId="212" formatCode="0&quot;      &quot;;[=0]&quot;-&quot;&quot;        &quot;;General"/>
    <numFmt numFmtId="213" formatCode="0.0&quot;      &quot;;[=0]&quot;-&quot;&quot;      &quot;;General"/>
    <numFmt numFmtId="214" formatCode="0.0&quot;            &quot;;[=0]&quot;-&quot;&quot;           &quot;;General"/>
    <numFmt numFmtId="215" formatCode="0&quot;             &quot;;[=0]&quot;-&quot;&quot;             &quot;;General"/>
    <numFmt numFmtId="216" formatCode="0.0&quot;             &quot;;[=0]&quot;-&quot;&quot;            &quot;;General"/>
    <numFmt numFmtId="217" formatCode="0&quot;            &quot;;[=0]&quot;-&quot;&quot;            &quot;;General"/>
  </numFmts>
  <fonts count="52" x14ac:knownFonts="1"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2"/>
      <name val="Arial Cyr"/>
      <family val="2"/>
      <charset val="204"/>
    </font>
    <font>
      <sz val="10"/>
      <name val="Arial Cyr"/>
      <charset val="204"/>
    </font>
    <font>
      <sz val="10"/>
      <name val="Courier New Cyr"/>
      <charset val="204"/>
    </font>
    <font>
      <b/>
      <sz val="11"/>
      <name val="Arial Cyr"/>
      <family val="2"/>
      <charset val="204"/>
    </font>
    <font>
      <b/>
      <sz val="12"/>
      <name val="Arial Cyr"/>
      <family val="2"/>
      <charset val="204"/>
    </font>
    <font>
      <sz val="10"/>
      <name val="Arial Cyr"/>
      <family val="2"/>
      <charset val="204"/>
    </font>
    <font>
      <sz val="8"/>
      <name val="Arial Cyr"/>
      <family val="2"/>
      <charset val="204"/>
    </font>
    <font>
      <sz val="11"/>
      <name val="Times New Roman"/>
      <family val="1"/>
      <charset val="204"/>
    </font>
    <font>
      <sz val="11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9"/>
      <name val="Arial Cyr"/>
      <charset val="204"/>
    </font>
    <font>
      <b/>
      <sz val="9"/>
      <name val="Arial Cyr"/>
      <family val="2"/>
      <charset val="204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name val="Arial Cyr"/>
      <charset val="204"/>
    </font>
    <font>
      <b/>
      <sz val="11"/>
      <name val="Arial Cyr"/>
      <charset val="204"/>
    </font>
    <font>
      <sz val="10"/>
      <name val="Arial Cyr"/>
    </font>
    <font>
      <b/>
      <sz val="10"/>
      <name val="Courier New Cyr"/>
    </font>
    <font>
      <b/>
      <sz val="10.5"/>
      <name val="Arial Cyr"/>
      <family val="2"/>
      <charset val="204"/>
    </font>
    <font>
      <sz val="10"/>
      <color indexed="8"/>
      <name val="Arial Cyr"/>
      <family val="2"/>
      <charset val="204"/>
    </font>
    <font>
      <sz val="8"/>
      <color indexed="8"/>
      <name val="Arial"/>
      <family val="2"/>
      <charset val="204"/>
    </font>
    <font>
      <vertAlign val="superscript"/>
      <sz val="10"/>
      <name val="Arial Cyr"/>
      <charset val="204"/>
    </font>
    <font>
      <vertAlign val="superscript"/>
      <sz val="10"/>
      <color indexed="8"/>
      <name val="Arial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10"/>
      <name val="Arial"/>
      <family val="2"/>
      <charset val="204"/>
    </font>
    <font>
      <sz val="10"/>
      <color indexed="10"/>
      <name val="Arial Cyr"/>
      <family val="2"/>
      <charset val="204"/>
    </font>
    <font>
      <sz val="10"/>
      <color indexed="10"/>
      <name val="Arial Cyr"/>
      <charset val="204"/>
    </font>
    <font>
      <vertAlign val="superscript"/>
      <sz val="10"/>
      <name val="Arial Cyr"/>
      <family val="2"/>
      <charset val="204"/>
    </font>
    <font>
      <sz val="10"/>
      <color indexed="8"/>
      <name val="Calibri"/>
      <family val="2"/>
      <charset val="204"/>
    </font>
    <font>
      <sz val="11"/>
      <color indexed="8"/>
      <name val="Arial"/>
      <family val="2"/>
      <charset val="204"/>
    </font>
    <font>
      <sz val="11"/>
      <color indexed="10"/>
      <name val="Arial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indexed="8"/>
      <name val="Arial"/>
      <family val="2"/>
      <charset val="204"/>
    </font>
    <font>
      <sz val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0"/>
      <color theme="1"/>
      <name val="Arial Cyr"/>
      <family val="2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">
    <xf numFmtId="0" fontId="0" fillId="0" borderId="0"/>
    <xf numFmtId="0" fontId="50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9" fillId="0" borderId="0"/>
    <xf numFmtId="0" fontId="51" fillId="0" borderId="0"/>
    <xf numFmtId="0" fontId="31" fillId="0" borderId="0"/>
    <xf numFmtId="0" fontId="1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2" fontId="15" fillId="0" borderId="0"/>
    <xf numFmtId="172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43" fontId="9" fillId="0" borderId="0" applyFont="0" applyFill="0" applyBorder="0" applyAlignment="0" applyProtection="0"/>
  </cellStyleXfs>
  <cellXfs count="587">
    <xf numFmtId="0" fontId="0" fillId="0" borderId="0" xfId="0"/>
    <xf numFmtId="0" fontId="2" fillId="0" borderId="0" xfId="0" applyFont="1"/>
    <xf numFmtId="0" fontId="5" fillId="0" borderId="0" xfId="0" applyFont="1"/>
    <xf numFmtId="0" fontId="9" fillId="0" borderId="0" xfId="2"/>
    <xf numFmtId="0" fontId="12" fillId="0" borderId="0" xfId="2" applyFont="1"/>
    <xf numFmtId="0" fontId="13" fillId="0" borderId="0" xfId="2" applyFont="1"/>
    <xf numFmtId="0" fontId="8" fillId="0" borderId="0" xfId="2" applyFont="1"/>
    <xf numFmtId="0" fontId="14" fillId="0" borderId="0" xfId="2" applyFont="1"/>
    <xf numFmtId="0" fontId="11" fillId="0" borderId="0" xfId="2" applyFont="1"/>
    <xf numFmtId="0" fontId="16" fillId="0" borderId="0" xfId="2" applyFont="1"/>
    <xf numFmtId="168" fontId="18" fillId="0" borderId="0" xfId="2" applyNumberFormat="1" applyFont="1" applyAlignment="1"/>
    <xf numFmtId="168" fontId="9" fillId="0" borderId="0" xfId="2" applyNumberFormat="1" applyFont="1" applyAlignment="1"/>
    <xf numFmtId="1" fontId="13" fillId="0" borderId="0" xfId="6" applyNumberFormat="1" applyFont="1" applyBorder="1"/>
    <xf numFmtId="169" fontId="13" fillId="0" borderId="0" xfId="2" applyNumberFormat="1" applyFont="1"/>
    <xf numFmtId="0" fontId="20" fillId="0" borderId="0" xfId="2" applyFont="1" applyBorder="1" applyAlignment="1">
      <alignment horizontal="right"/>
    </xf>
    <xf numFmtId="1" fontId="13" fillId="0" borderId="0" xfId="6" applyNumberFormat="1" applyFont="1" applyBorder="1" applyAlignment="1">
      <alignment wrapText="1"/>
    </xf>
    <xf numFmtId="0" fontId="21" fillId="0" borderId="0" xfId="2" applyFont="1" applyBorder="1" applyAlignment="1">
      <alignment horizontal="right"/>
    </xf>
    <xf numFmtId="0" fontId="18" fillId="0" borderId="0" xfId="2" applyFont="1"/>
    <xf numFmtId="0" fontId="13" fillId="0" borderId="0" xfId="2" applyFont="1" applyBorder="1"/>
    <xf numFmtId="0" fontId="23" fillId="0" borderId="0" xfId="2" applyFont="1"/>
    <xf numFmtId="0" fontId="22" fillId="0" borderId="0" xfId="2" applyFont="1"/>
    <xf numFmtId="0" fontId="23" fillId="0" borderId="0" xfId="2" applyFont="1" applyBorder="1"/>
    <xf numFmtId="170" fontId="25" fillId="0" borderId="0" xfId="2" applyNumberFormat="1" applyFont="1"/>
    <xf numFmtId="171" fontId="26" fillId="0" borderId="0" xfId="0" applyNumberFormat="1" applyFont="1"/>
    <xf numFmtId="170" fontId="24" fillId="0" borderId="0" xfId="2" applyNumberFormat="1" applyFont="1"/>
    <xf numFmtId="170" fontId="27" fillId="0" borderId="0" xfId="2" applyNumberFormat="1" applyFont="1"/>
    <xf numFmtId="0" fontId="24" fillId="0" borderId="0" xfId="2" applyFont="1"/>
    <xf numFmtId="0" fontId="17" fillId="0" borderId="0" xfId="2" applyFont="1"/>
    <xf numFmtId="0" fontId="13" fillId="0" borderId="0" xfId="21" applyFont="1" applyBorder="1"/>
    <xf numFmtId="0" fontId="13" fillId="0" borderId="0" xfId="21" applyFont="1"/>
    <xf numFmtId="173" fontId="17" fillId="0" borderId="0" xfId="2" applyNumberFormat="1" applyFont="1"/>
    <xf numFmtId="1" fontId="13" fillId="0" borderId="0" xfId="0" applyNumberFormat="1" applyFont="1" applyAlignment="1">
      <alignment horizontal="left" wrapText="1"/>
    </xf>
    <xf numFmtId="173" fontId="9" fillId="0" borderId="0" xfId="2" applyNumberFormat="1" applyFont="1"/>
    <xf numFmtId="173" fontId="18" fillId="0" borderId="0" xfId="2" applyNumberFormat="1" applyFont="1"/>
    <xf numFmtId="175" fontId="13" fillId="0" borderId="0" xfId="2" applyNumberFormat="1" applyFont="1"/>
    <xf numFmtId="172" fontId="13" fillId="0" borderId="0" xfId="2" applyNumberFormat="1" applyFont="1"/>
    <xf numFmtId="49" fontId="11" fillId="0" borderId="0" xfId="14" applyNumberFormat="1" applyFont="1" applyBorder="1" applyAlignment="1">
      <alignment horizontal="center"/>
    </xf>
    <xf numFmtId="0" fontId="0" fillId="0" borderId="0" xfId="0" applyBorder="1"/>
    <xf numFmtId="177" fontId="26" fillId="0" borderId="0" xfId="0" applyNumberFormat="1" applyFont="1" applyAlignment="1">
      <alignment horizontal="right"/>
    </xf>
    <xf numFmtId="178" fontId="26" fillId="0" borderId="0" xfId="0" applyNumberFormat="1" applyFont="1" applyAlignment="1">
      <alignment horizontal="right"/>
    </xf>
    <xf numFmtId="179" fontId="26" fillId="0" borderId="0" xfId="0" applyNumberFormat="1" applyFont="1" applyAlignment="1">
      <alignment horizontal="right"/>
    </xf>
    <xf numFmtId="180" fontId="26" fillId="0" borderId="0" xfId="0" applyNumberFormat="1" applyFont="1" applyAlignment="1">
      <alignment horizontal="right"/>
    </xf>
    <xf numFmtId="177" fontId="28" fillId="0" borderId="0" xfId="0" applyNumberFormat="1" applyFont="1" applyAlignment="1">
      <alignment horizontal="right"/>
    </xf>
    <xf numFmtId="178" fontId="28" fillId="0" borderId="0" xfId="0" applyNumberFormat="1" applyFont="1" applyAlignment="1">
      <alignment horizontal="right"/>
    </xf>
    <xf numFmtId="179" fontId="28" fillId="0" borderId="0" xfId="0" applyNumberFormat="1" applyFont="1" applyAlignment="1">
      <alignment horizontal="right"/>
    </xf>
    <xf numFmtId="180" fontId="28" fillId="0" borderId="0" xfId="0" applyNumberFormat="1" applyFont="1" applyAlignment="1">
      <alignment horizontal="right"/>
    </xf>
    <xf numFmtId="181" fontId="28" fillId="0" borderId="0" xfId="0" applyNumberFormat="1" applyFont="1"/>
    <xf numFmtId="0" fontId="0" fillId="0" borderId="0" xfId="0" applyAlignment="1"/>
    <xf numFmtId="184" fontId="28" fillId="0" borderId="0" xfId="0" applyNumberFormat="1" applyFont="1"/>
    <xf numFmtId="0" fontId="0" fillId="0" borderId="0" xfId="0" applyNumberFormat="1"/>
    <xf numFmtId="185" fontId="26" fillId="0" borderId="0" xfId="0" applyNumberFormat="1" applyFont="1" applyAlignment="1">
      <alignment horizontal="right"/>
    </xf>
    <xf numFmtId="185" fontId="28" fillId="0" borderId="0" xfId="0" applyNumberFormat="1" applyFont="1" applyAlignment="1">
      <alignment horizontal="right"/>
    </xf>
    <xf numFmtId="0" fontId="9" fillId="0" borderId="0" xfId="2" applyBorder="1"/>
    <xf numFmtId="1" fontId="13" fillId="0" borderId="0" xfId="2" applyNumberFormat="1" applyFont="1" applyBorder="1" applyAlignment="1">
      <alignment horizontal="left" wrapText="1"/>
    </xf>
    <xf numFmtId="0" fontId="9" fillId="0" borderId="0" xfId="2" applyFont="1"/>
    <xf numFmtId="0" fontId="29" fillId="0" borderId="0" xfId="2" applyFont="1"/>
    <xf numFmtId="0" fontId="30" fillId="0" borderId="0" xfId="2" applyFont="1"/>
    <xf numFmtId="186" fontId="9" fillId="0" borderId="0" xfId="2" applyNumberFormat="1" applyFont="1"/>
    <xf numFmtId="176" fontId="9" fillId="0" borderId="0" xfId="2" applyNumberFormat="1" applyFont="1"/>
    <xf numFmtId="0" fontId="13" fillId="0" borderId="0" xfId="22" applyFont="1"/>
    <xf numFmtId="0" fontId="24" fillId="0" borderId="0" xfId="2" applyFont="1" applyBorder="1" applyAlignment="1">
      <alignment horizontal="right" wrapText="1"/>
    </xf>
    <xf numFmtId="1" fontId="19" fillId="0" borderId="0" xfId="6" applyNumberFormat="1" applyFont="1" applyBorder="1"/>
    <xf numFmtId="168" fontId="9" fillId="0" borderId="0" xfId="2" applyNumberFormat="1" applyFont="1"/>
    <xf numFmtId="1" fontId="19" fillId="0" borderId="0" xfId="6" applyNumberFormat="1" applyFont="1"/>
    <xf numFmtId="1" fontId="32" fillId="0" borderId="0" xfId="5" applyNumberFormat="1" applyFont="1" applyBorder="1"/>
    <xf numFmtId="0" fontId="13" fillId="0" borderId="0" xfId="23" applyFont="1"/>
    <xf numFmtId="189" fontId="9" fillId="0" borderId="0" xfId="2" applyNumberFormat="1" applyFont="1"/>
    <xf numFmtId="190" fontId="9" fillId="0" borderId="0" xfId="2" applyNumberFormat="1"/>
    <xf numFmtId="191" fontId="9" fillId="0" borderId="0" xfId="2" applyNumberFormat="1"/>
    <xf numFmtId="164" fontId="9" fillId="0" borderId="0" xfId="2" applyNumberFormat="1" applyBorder="1"/>
    <xf numFmtId="190" fontId="9" fillId="0" borderId="0" xfId="2" applyNumberFormat="1" applyFont="1"/>
    <xf numFmtId="164" fontId="9" fillId="0" borderId="0" xfId="2" applyNumberFormat="1"/>
    <xf numFmtId="0" fontId="13" fillId="0" borderId="0" xfId="24" applyFont="1"/>
    <xf numFmtId="192" fontId="26" fillId="0" borderId="0" xfId="0" applyNumberFormat="1" applyFont="1"/>
    <xf numFmtId="192" fontId="17" fillId="0" borderId="0" xfId="2" applyNumberFormat="1" applyFont="1"/>
    <xf numFmtId="192" fontId="28" fillId="0" borderId="0" xfId="0" applyNumberFormat="1" applyFont="1"/>
    <xf numFmtId="192" fontId="13" fillId="0" borderId="0" xfId="2" applyNumberFormat="1" applyFont="1"/>
    <xf numFmtId="192" fontId="9" fillId="0" borderId="0" xfId="2" applyNumberFormat="1" applyFont="1"/>
    <xf numFmtId="166" fontId="9" fillId="0" borderId="0" xfId="2" applyNumberFormat="1" applyFont="1"/>
    <xf numFmtId="192" fontId="26" fillId="0" borderId="0" xfId="0" applyNumberFormat="1" applyFont="1" applyAlignment="1"/>
    <xf numFmtId="192" fontId="17" fillId="0" borderId="0" xfId="2" applyNumberFormat="1" applyFont="1" applyAlignment="1"/>
    <xf numFmtId="167" fontId="9" fillId="0" borderId="0" xfId="2" applyNumberFormat="1"/>
    <xf numFmtId="192" fontId="9" fillId="0" borderId="0" xfId="2" applyNumberFormat="1"/>
    <xf numFmtId="166" fontId="9" fillId="0" borderId="0" xfId="2" applyNumberFormat="1"/>
    <xf numFmtId="193" fontId="26" fillId="0" borderId="0" xfId="0" applyNumberFormat="1" applyFont="1"/>
    <xf numFmtId="193" fontId="28" fillId="0" borderId="0" xfId="0" applyNumberFormat="1" applyFont="1"/>
    <xf numFmtId="194" fontId="9" fillId="0" borderId="0" xfId="2" applyNumberFormat="1" applyFont="1"/>
    <xf numFmtId="195" fontId="26" fillId="0" borderId="0" xfId="0" applyNumberFormat="1" applyFont="1"/>
    <xf numFmtId="195" fontId="28" fillId="0" borderId="0" xfId="0" applyNumberFormat="1" applyFont="1"/>
    <xf numFmtId="198" fontId="18" fillId="0" borderId="0" xfId="2" applyNumberFormat="1" applyFont="1"/>
    <xf numFmtId="0" fontId="0" fillId="0" borderId="0" xfId="0" applyAlignment="1">
      <alignment wrapText="1"/>
    </xf>
    <xf numFmtId="199" fontId="26" fillId="0" borderId="0" xfId="0" applyNumberFormat="1" applyFont="1" applyAlignment="1">
      <alignment horizontal="right"/>
    </xf>
    <xf numFmtId="200" fontId="26" fillId="0" borderId="0" xfId="0" applyNumberFormat="1" applyFont="1" applyAlignment="1">
      <alignment horizontal="right"/>
    </xf>
    <xf numFmtId="199" fontId="28" fillId="0" borderId="0" xfId="0" applyNumberFormat="1" applyFont="1" applyAlignment="1">
      <alignment horizontal="right"/>
    </xf>
    <xf numFmtId="200" fontId="28" fillId="0" borderId="0" xfId="0" applyNumberFormat="1" applyFont="1" applyAlignment="1">
      <alignment horizontal="right"/>
    </xf>
    <xf numFmtId="184" fontId="0" fillId="0" borderId="0" xfId="0" applyNumberFormat="1"/>
    <xf numFmtId="202" fontId="28" fillId="0" borderId="0" xfId="0" applyNumberFormat="1" applyFont="1"/>
    <xf numFmtId="183" fontId="17" fillId="0" borderId="0" xfId="2" applyNumberFormat="1" applyFont="1" applyAlignment="1">
      <alignment horizontal="right"/>
    </xf>
    <xf numFmtId="203" fontId="17" fillId="0" borderId="0" xfId="2" applyNumberFormat="1" applyFont="1"/>
    <xf numFmtId="183" fontId="9" fillId="0" borderId="0" xfId="2" applyNumberFormat="1" applyFont="1" applyAlignment="1">
      <alignment horizontal="right"/>
    </xf>
    <xf numFmtId="203" fontId="9" fillId="0" borderId="0" xfId="2" applyNumberFormat="1" applyFont="1"/>
    <xf numFmtId="183" fontId="18" fillId="0" borderId="0" xfId="2" applyNumberFormat="1" applyFont="1" applyAlignment="1">
      <alignment horizontal="right"/>
    </xf>
    <xf numFmtId="203" fontId="18" fillId="0" borderId="0" xfId="2" applyNumberFormat="1" applyFont="1"/>
    <xf numFmtId="193" fontId="9" fillId="0" borderId="0" xfId="2" applyNumberFormat="1" applyFont="1" applyAlignment="1">
      <alignment horizontal="right"/>
    </xf>
    <xf numFmtId="0" fontId="13" fillId="0" borderId="0" xfId="8" applyFont="1"/>
    <xf numFmtId="196" fontId="9" fillId="0" borderId="0" xfId="2" applyNumberFormat="1" applyFont="1"/>
    <xf numFmtId="204" fontId="9" fillId="0" borderId="0" xfId="2" applyNumberFormat="1" applyFont="1" applyBorder="1" applyAlignment="1">
      <alignment horizontal="right"/>
    </xf>
    <xf numFmtId="187" fontId="16" fillId="0" borderId="0" xfId="2" applyNumberFormat="1" applyFont="1"/>
    <xf numFmtId="164" fontId="9" fillId="0" borderId="0" xfId="2" applyNumberFormat="1" applyFont="1" applyBorder="1" applyAlignment="1">
      <alignment horizontal="right"/>
    </xf>
    <xf numFmtId="187" fontId="13" fillId="0" borderId="0" xfId="2" applyNumberFormat="1" applyFont="1" applyBorder="1"/>
    <xf numFmtId="197" fontId="18" fillId="0" borderId="0" xfId="2" applyNumberFormat="1" applyFont="1"/>
    <xf numFmtId="183" fontId="18" fillId="0" borderId="0" xfId="2" applyNumberFormat="1" applyFont="1"/>
    <xf numFmtId="0" fontId="35" fillId="0" borderId="0" xfId="4" applyFont="1" applyAlignment="1">
      <alignment horizontal="right" vertical="center"/>
    </xf>
    <xf numFmtId="197" fontId="9" fillId="0" borderId="0" xfId="2" applyNumberFormat="1"/>
    <xf numFmtId="182" fontId="9" fillId="0" borderId="0" xfId="2" applyNumberFormat="1"/>
    <xf numFmtId="183" fontId="9" fillId="0" borderId="0" xfId="2" applyNumberFormat="1"/>
    <xf numFmtId="0" fontId="51" fillId="0" borderId="0" xfId="4"/>
    <xf numFmtId="183" fontId="9" fillId="0" borderId="0" xfId="2" applyNumberFormat="1" applyAlignment="1">
      <alignment horizontal="center"/>
    </xf>
    <xf numFmtId="197" fontId="9" fillId="0" borderId="0" xfId="2" applyNumberFormat="1" applyFont="1"/>
    <xf numFmtId="182" fontId="9" fillId="0" borderId="0" xfId="2" applyNumberFormat="1" applyFont="1"/>
    <xf numFmtId="183" fontId="9" fillId="0" borderId="0" xfId="2" applyNumberFormat="1" applyFont="1"/>
    <xf numFmtId="183" fontId="13" fillId="0" borderId="0" xfId="2" applyNumberFormat="1" applyFont="1" applyBorder="1" applyAlignment="1">
      <alignment horizontal="right"/>
    </xf>
    <xf numFmtId="193" fontId="13" fillId="0" borderId="0" xfId="2" applyNumberFormat="1" applyFont="1" applyBorder="1" applyAlignment="1">
      <alignment horizontal="right"/>
    </xf>
    <xf numFmtId="196" fontId="18" fillId="0" borderId="0" xfId="2" applyNumberFormat="1" applyFont="1"/>
    <xf numFmtId="205" fontId="18" fillId="0" borderId="0" xfId="2" applyNumberFormat="1" applyFont="1"/>
    <xf numFmtId="200" fontId="18" fillId="0" borderId="0" xfId="2" applyNumberFormat="1" applyFont="1"/>
    <xf numFmtId="196" fontId="9" fillId="0" borderId="0" xfId="2" applyNumberFormat="1"/>
    <xf numFmtId="205" fontId="9" fillId="0" borderId="0" xfId="2" applyNumberFormat="1"/>
    <xf numFmtId="205" fontId="9" fillId="0" borderId="0" xfId="2" applyNumberFormat="1" applyFont="1"/>
    <xf numFmtId="0" fontId="13" fillId="0" borderId="0" xfId="0" applyFont="1"/>
    <xf numFmtId="195" fontId="9" fillId="0" borderId="0" xfId="2" applyNumberFormat="1"/>
    <xf numFmtId="169" fontId="13" fillId="0" borderId="0" xfId="0" applyNumberFormat="1" applyFont="1"/>
    <xf numFmtId="195" fontId="13" fillId="0" borderId="0" xfId="2" applyNumberFormat="1" applyFont="1" applyBorder="1" applyAlignment="1">
      <alignment horizontal="right"/>
    </xf>
    <xf numFmtId="196" fontId="13" fillId="0" borderId="0" xfId="2" applyNumberFormat="1" applyFont="1" applyBorder="1" applyAlignment="1">
      <alignment horizontal="right"/>
    </xf>
    <xf numFmtId="0" fontId="10" fillId="0" borderId="0" xfId="10" applyFont="1"/>
    <xf numFmtId="191" fontId="0" fillId="0" borderId="0" xfId="0" applyNumberFormat="1"/>
    <xf numFmtId="191" fontId="9" fillId="0" borderId="0" xfId="0" applyNumberFormat="1" applyFont="1" applyAlignment="1">
      <alignment horizontal="right"/>
    </xf>
    <xf numFmtId="191" fontId="18" fillId="0" borderId="0" xfId="0" applyNumberFormat="1" applyFont="1" applyAlignment="1">
      <alignment horizontal="right"/>
    </xf>
    <xf numFmtId="164" fontId="17" fillId="0" borderId="0" xfId="26" applyNumberFormat="1" applyFont="1"/>
    <xf numFmtId="167" fontId="0" fillId="0" borderId="0" xfId="0" applyNumberFormat="1"/>
    <xf numFmtId="164" fontId="9" fillId="0" borderId="0" xfId="26" applyNumberFormat="1" applyFont="1"/>
    <xf numFmtId="164" fontId="18" fillId="0" borderId="0" xfId="26" applyNumberFormat="1" applyFont="1"/>
    <xf numFmtId="0" fontId="16" fillId="0" borderId="0" xfId="0" applyFont="1"/>
    <xf numFmtId="202" fontId="26" fillId="0" borderId="0" xfId="0" applyNumberFormat="1" applyFont="1"/>
    <xf numFmtId="171" fontId="28" fillId="0" borderId="0" xfId="0" applyNumberFormat="1" applyFont="1"/>
    <xf numFmtId="49" fontId="13" fillId="0" borderId="0" xfId="16" applyNumberFormat="1" applyFont="1" applyBorder="1" applyAlignment="1">
      <alignment vertical="center" wrapText="1"/>
    </xf>
    <xf numFmtId="0" fontId="0" fillId="0" borderId="0" xfId="0" applyFill="1" applyAlignment="1">
      <alignment wrapText="1"/>
    </xf>
    <xf numFmtId="192" fontId="18" fillId="0" borderId="0" xfId="0" applyNumberFormat="1" applyFont="1"/>
    <xf numFmtId="192" fontId="9" fillId="0" borderId="0" xfId="0" applyNumberFormat="1" applyFont="1"/>
    <xf numFmtId="172" fontId="13" fillId="0" borderId="0" xfId="7" applyNumberFormat="1" applyFont="1" applyBorder="1" applyAlignment="1" applyProtection="1">
      <alignment horizontal="right" indent="3"/>
      <protection locked="0"/>
    </xf>
    <xf numFmtId="0" fontId="28" fillId="0" borderId="0" xfId="0" applyFont="1" applyAlignment="1">
      <alignment vertical="center"/>
    </xf>
    <xf numFmtId="168" fontId="11" fillId="0" borderId="0" xfId="2" applyNumberFormat="1" applyFont="1"/>
    <xf numFmtId="206" fontId="18" fillId="0" borderId="0" xfId="2" applyNumberFormat="1" applyFont="1" applyAlignment="1"/>
    <xf numFmtId="206" fontId="9" fillId="0" borderId="0" xfId="2" applyNumberFormat="1" applyFont="1" applyAlignment="1"/>
    <xf numFmtId="169" fontId="13" fillId="0" borderId="0" xfId="2" applyNumberFormat="1" applyFont="1" applyAlignment="1">
      <alignment horizontal="right" indent="2"/>
    </xf>
    <xf numFmtId="170" fontId="19" fillId="0" borderId="0" xfId="2" applyNumberFormat="1" applyFont="1"/>
    <xf numFmtId="173" fontId="13" fillId="0" borderId="0" xfId="2" applyNumberFormat="1" applyFont="1"/>
    <xf numFmtId="174" fontId="13" fillId="0" borderId="0" xfId="2" applyNumberFormat="1" applyFont="1"/>
    <xf numFmtId="0" fontId="38" fillId="0" borderId="0" xfId="0" applyFont="1"/>
    <xf numFmtId="0" fontId="9" fillId="0" borderId="0" xfId="2" applyFont="1" applyBorder="1"/>
    <xf numFmtId="176" fontId="9" fillId="0" borderId="0" xfId="2" applyNumberFormat="1" applyFont="1" applyBorder="1"/>
    <xf numFmtId="0" fontId="27" fillId="0" borderId="0" xfId="0" applyFont="1" applyFill="1" applyAlignment="1">
      <alignment wrapText="1"/>
    </xf>
    <xf numFmtId="0" fontId="39" fillId="0" borderId="0" xfId="0" applyFont="1" applyBorder="1"/>
    <xf numFmtId="196" fontId="17" fillId="0" borderId="0" xfId="2" applyNumberFormat="1" applyFont="1" applyBorder="1" applyAlignment="1">
      <alignment horizontal="right"/>
    </xf>
    <xf numFmtId="196" fontId="9" fillId="0" borderId="0" xfId="2" applyNumberFormat="1" applyFont="1" applyBorder="1" applyAlignment="1">
      <alignment horizontal="right"/>
    </xf>
    <xf numFmtId="0" fontId="40" fillId="0" borderId="0" xfId="2" applyFont="1"/>
    <xf numFmtId="183" fontId="41" fillId="0" borderId="0" xfId="2" applyNumberFormat="1" applyFont="1"/>
    <xf numFmtId="183" fontId="40" fillId="0" borderId="0" xfId="2" applyNumberFormat="1" applyFont="1" applyBorder="1" applyAlignment="1">
      <alignment horizontal="right"/>
    </xf>
    <xf numFmtId="182" fontId="17" fillId="0" borderId="0" xfId="2" applyNumberFormat="1" applyFont="1"/>
    <xf numFmtId="182" fontId="13" fillId="0" borderId="0" xfId="2" applyNumberFormat="1" applyFont="1"/>
    <xf numFmtId="193" fontId="13" fillId="0" borderId="0" xfId="2" applyNumberFormat="1" applyFont="1"/>
    <xf numFmtId="164" fontId="13" fillId="0" borderId="0" xfId="7" applyNumberFormat="1" applyFont="1" applyBorder="1" applyAlignment="1" applyProtection="1">
      <alignment horizontal="right"/>
      <protection locked="0"/>
    </xf>
    <xf numFmtId="186" fontId="29" fillId="0" borderId="0" xfId="2" applyNumberFormat="1" applyFont="1"/>
    <xf numFmtId="165" fontId="17" fillId="0" borderId="0" xfId="0" applyNumberFormat="1" applyFont="1" applyAlignment="1">
      <alignment horizontal="right"/>
    </xf>
    <xf numFmtId="165" fontId="9" fillId="0" borderId="0" xfId="0" applyNumberFormat="1" applyFont="1" applyAlignment="1">
      <alignment horizontal="right"/>
    </xf>
    <xf numFmtId="170" fontId="22" fillId="0" borderId="0" xfId="2" applyNumberFormat="1" applyFont="1"/>
    <xf numFmtId="172" fontId="22" fillId="0" borderId="0" xfId="2" applyNumberFormat="1" applyFont="1"/>
    <xf numFmtId="177" fontId="0" fillId="0" borderId="0" xfId="0" applyNumberFormat="1"/>
    <xf numFmtId="185" fontId="0" fillId="0" borderId="0" xfId="0" applyNumberFormat="1"/>
    <xf numFmtId="193" fontId="0" fillId="0" borderId="0" xfId="0" applyNumberFormat="1"/>
    <xf numFmtId="164" fontId="0" fillId="0" borderId="0" xfId="0" applyNumberFormat="1"/>
    <xf numFmtId="196" fontId="9" fillId="0" borderId="0" xfId="2" applyNumberFormat="1" applyFont="1" applyBorder="1"/>
    <xf numFmtId="186" fontId="9" fillId="0" borderId="1" xfId="2" applyNumberFormat="1" applyFont="1" applyBorder="1"/>
    <xf numFmtId="176" fontId="9" fillId="0" borderId="1" xfId="2" applyNumberFormat="1" applyFont="1" applyBorder="1"/>
    <xf numFmtId="208" fontId="18" fillId="0" borderId="0" xfId="2" applyNumberFormat="1" applyFont="1" applyAlignment="1">
      <alignment horizontal="right"/>
    </xf>
    <xf numFmtId="208" fontId="9" fillId="0" borderId="0" xfId="2" applyNumberFormat="1" applyFont="1" applyAlignment="1">
      <alignment horizontal="right"/>
    </xf>
    <xf numFmtId="167" fontId="25" fillId="0" borderId="0" xfId="2" applyNumberFormat="1" applyFont="1"/>
    <xf numFmtId="167" fontId="24" fillId="0" borderId="0" xfId="2" applyNumberFormat="1" applyFont="1"/>
    <xf numFmtId="167" fontId="27" fillId="0" borderId="0" xfId="2" applyNumberFormat="1" applyFont="1"/>
    <xf numFmtId="167" fontId="19" fillId="0" borderId="0" xfId="2" applyNumberFormat="1" applyFont="1"/>
    <xf numFmtId="0" fontId="27" fillId="0" borderId="0" xfId="0" applyFont="1" applyAlignment="1">
      <alignment wrapText="1"/>
    </xf>
    <xf numFmtId="1" fontId="17" fillId="0" borderId="0" xfId="2" applyNumberFormat="1" applyFont="1" applyAlignment="1">
      <alignment horizontal="right"/>
    </xf>
    <xf numFmtId="1" fontId="9" fillId="0" borderId="0" xfId="2" applyNumberFormat="1" applyFont="1" applyAlignment="1">
      <alignment horizontal="right"/>
    </xf>
    <xf numFmtId="1" fontId="18" fillId="0" borderId="0" xfId="2" applyNumberFormat="1" applyFont="1" applyAlignment="1">
      <alignment horizontal="right"/>
    </xf>
    <xf numFmtId="1" fontId="11" fillId="0" borderId="0" xfId="2" applyNumberFormat="1" applyFont="1"/>
    <xf numFmtId="1" fontId="16" fillId="0" borderId="0" xfId="2" applyNumberFormat="1" applyFont="1"/>
    <xf numFmtId="1" fontId="29" fillId="0" borderId="0" xfId="2" applyNumberFormat="1" applyFont="1"/>
    <xf numFmtId="0" fontId="19" fillId="0" borderId="0" xfId="0" applyFont="1" applyAlignment="1">
      <alignment wrapText="1"/>
    </xf>
    <xf numFmtId="172" fontId="9" fillId="0" borderId="0" xfId="2" applyNumberFormat="1" applyFont="1" applyAlignment="1">
      <alignment horizontal="right" indent="4"/>
    </xf>
    <xf numFmtId="209" fontId="9" fillId="0" borderId="0" xfId="2" applyNumberFormat="1" applyFont="1"/>
    <xf numFmtId="170" fontId="17" fillId="0" borderId="0" xfId="2" applyNumberFormat="1" applyFont="1"/>
    <xf numFmtId="170" fontId="13" fillId="0" borderId="0" xfId="2" applyNumberFormat="1" applyFont="1"/>
    <xf numFmtId="170" fontId="9" fillId="0" borderId="0" xfId="2" applyNumberFormat="1" applyFont="1"/>
    <xf numFmtId="170" fontId="17" fillId="0" borderId="0" xfId="2" applyNumberFormat="1" applyFont="1" applyAlignment="1"/>
    <xf numFmtId="172" fontId="9" fillId="0" borderId="1" xfId="2" applyNumberFormat="1" applyFont="1" applyBorder="1" applyAlignment="1">
      <alignment horizontal="right" indent="4"/>
    </xf>
    <xf numFmtId="0" fontId="42" fillId="0" borderId="0" xfId="2" applyFont="1" applyBorder="1"/>
    <xf numFmtId="0" fontId="0" fillId="0" borderId="0" xfId="0" applyBorder="1" applyAlignment="1">
      <alignment wrapText="1"/>
    </xf>
    <xf numFmtId="0" fontId="16" fillId="0" borderId="0" xfId="2" applyFont="1" applyBorder="1"/>
    <xf numFmtId="0" fontId="27" fillId="0" borderId="0" xfId="0" applyFont="1" applyBorder="1" applyAlignment="1">
      <alignment horizontal="right" wrapText="1" indent="3"/>
    </xf>
    <xf numFmtId="0" fontId="43" fillId="0" borderId="0" xfId="0" applyFont="1" applyBorder="1" applyAlignment="1">
      <alignment horizontal="right" indent="3"/>
    </xf>
    <xf numFmtId="0" fontId="19" fillId="0" borderId="0" xfId="0" applyFont="1" applyAlignment="1">
      <alignment horizontal="right" wrapText="1" indent="3"/>
    </xf>
    <xf numFmtId="0" fontId="28" fillId="0" borderId="0" xfId="0" applyFont="1" applyAlignment="1">
      <alignment horizontal="right" indent="3"/>
    </xf>
    <xf numFmtId="0" fontId="28" fillId="0" borderId="0" xfId="0" applyFont="1" applyAlignment="1">
      <alignment horizontal="right" wrapText="1" indent="3"/>
    </xf>
    <xf numFmtId="0" fontId="19" fillId="0" borderId="0" xfId="0" applyFont="1" applyAlignment="1">
      <alignment horizontal="right" wrapText="1" indent="6"/>
    </xf>
    <xf numFmtId="0" fontId="27" fillId="0" borderId="0" xfId="0" applyFont="1" applyBorder="1" applyAlignment="1">
      <alignment horizontal="right" wrapText="1" indent="6"/>
    </xf>
    <xf numFmtId="0" fontId="43" fillId="0" borderId="0" xfId="0" applyFont="1" applyBorder="1" applyAlignment="1">
      <alignment horizontal="right" indent="6"/>
    </xf>
    <xf numFmtId="0" fontId="28" fillId="0" borderId="0" xfId="0" applyFont="1" applyAlignment="1">
      <alignment horizontal="right" indent="6"/>
    </xf>
    <xf numFmtId="0" fontId="28" fillId="0" borderId="0" xfId="0" applyFont="1" applyAlignment="1">
      <alignment horizontal="right" wrapText="1" indent="6"/>
    </xf>
    <xf numFmtId="49" fontId="11" fillId="0" borderId="0" xfId="25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186" fontId="9" fillId="0" borderId="0" xfId="2" applyNumberFormat="1" applyFont="1" applyBorder="1"/>
    <xf numFmtId="172" fontId="9" fillId="0" borderId="0" xfId="2" applyNumberFormat="1" applyFont="1" applyBorder="1" applyAlignment="1">
      <alignment horizontal="right" indent="4"/>
    </xf>
    <xf numFmtId="207" fontId="9" fillId="0" borderId="0" xfId="2" applyNumberFormat="1" applyFont="1" applyBorder="1"/>
    <xf numFmtId="0" fontId="44" fillId="0" borderId="0" xfId="0" applyFont="1"/>
    <xf numFmtId="172" fontId="36" fillId="0" borderId="0" xfId="7" applyNumberFormat="1" applyFont="1" applyBorder="1" applyAlignment="1" applyProtection="1">
      <alignment horizontal="right" indent="3"/>
      <protection locked="0"/>
    </xf>
    <xf numFmtId="0" fontId="13" fillId="0" borderId="2" xfId="7" applyFont="1" applyBorder="1" applyAlignment="1" applyProtection="1">
      <alignment horizontal="center" vertical="center" wrapText="1"/>
      <protection locked="0"/>
    </xf>
    <xf numFmtId="0" fontId="13" fillId="0" borderId="2" xfId="19" applyFont="1" applyBorder="1" applyAlignment="1">
      <alignment horizontal="center" vertical="center"/>
    </xf>
    <xf numFmtId="1" fontId="17" fillId="0" borderId="3" xfId="2" applyNumberFormat="1" applyFont="1" applyBorder="1"/>
    <xf numFmtId="1" fontId="17" fillId="0" borderId="3" xfId="2" applyNumberFormat="1" applyFont="1" applyBorder="1" applyAlignment="1">
      <alignment vertical="top" wrapText="1"/>
    </xf>
    <xf numFmtId="1" fontId="13" fillId="0" borderId="3" xfId="2" applyNumberFormat="1" applyFont="1" applyBorder="1" applyAlignment="1">
      <alignment horizontal="left" wrapText="1"/>
    </xf>
    <xf numFmtId="1" fontId="13" fillId="0" borderId="3" xfId="2" applyNumberFormat="1" applyFont="1" applyBorder="1"/>
    <xf numFmtId="1" fontId="17" fillId="0" borderId="3" xfId="2" applyNumberFormat="1" applyFont="1" applyBorder="1" applyAlignment="1">
      <alignment horizontal="left" vertical="top" wrapText="1"/>
    </xf>
    <xf numFmtId="0" fontId="19" fillId="0" borderId="3" xfId="2" applyFont="1" applyBorder="1" applyAlignment="1">
      <alignment horizontal="left" wrapText="1" indent="1"/>
    </xf>
    <xf numFmtId="1" fontId="17" fillId="0" borderId="3" xfId="2" applyNumberFormat="1" applyFont="1" applyBorder="1" applyAlignment="1">
      <alignment wrapText="1"/>
    </xf>
    <xf numFmtId="1" fontId="18" fillId="0" borderId="3" xfId="2" applyNumberFormat="1" applyFont="1" applyBorder="1" applyAlignment="1">
      <alignment horizontal="left" wrapText="1"/>
    </xf>
    <xf numFmtId="0" fontId="13" fillId="0" borderId="2" xfId="2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4" xfId="7" applyFont="1" applyBorder="1" applyAlignment="1" applyProtection="1">
      <protection locked="0"/>
    </xf>
    <xf numFmtId="0" fontId="13" fillId="0" borderId="3" xfId="7" applyFont="1" applyBorder="1" applyProtection="1">
      <protection locked="0"/>
    </xf>
    <xf numFmtId="0" fontId="13" fillId="0" borderId="3" xfId="7" applyFont="1" applyBorder="1" applyAlignment="1" applyProtection="1">
      <alignment horizontal="left" wrapText="1" indent="3"/>
      <protection locked="0"/>
    </xf>
    <xf numFmtId="0" fontId="13" fillId="0" borderId="3" xfId="7" applyFont="1" applyBorder="1" applyAlignment="1" applyProtection="1">
      <alignment wrapText="1"/>
      <protection locked="0"/>
    </xf>
    <xf numFmtId="1" fontId="17" fillId="0" borderId="4" xfId="2" applyNumberFormat="1" applyFont="1" applyBorder="1"/>
    <xf numFmtId="1" fontId="17" fillId="0" borderId="4" xfId="0" applyNumberFormat="1" applyFont="1" applyBorder="1"/>
    <xf numFmtId="1" fontId="17" fillId="0" borderId="3" xfId="0" applyNumberFormat="1" applyFont="1" applyBorder="1" applyAlignment="1">
      <alignment vertical="top" wrapText="1"/>
    </xf>
    <xf numFmtId="1" fontId="13" fillId="0" borderId="3" xfId="0" applyNumberFormat="1" applyFont="1" applyBorder="1" applyAlignment="1">
      <alignment horizontal="left" wrapText="1"/>
    </xf>
    <xf numFmtId="1" fontId="13" fillId="0" borderId="3" xfId="0" applyNumberFormat="1" applyFont="1" applyBorder="1"/>
    <xf numFmtId="1" fontId="17" fillId="0" borderId="3" xfId="0" applyNumberFormat="1" applyFont="1" applyBorder="1" applyAlignment="1">
      <alignment horizontal="left" vertical="top" wrapText="1"/>
    </xf>
    <xf numFmtId="0" fontId="19" fillId="0" borderId="3" xfId="0" applyFont="1" applyBorder="1" applyAlignment="1">
      <alignment horizontal="left" wrapText="1" indent="1"/>
    </xf>
    <xf numFmtId="1" fontId="17" fillId="0" borderId="3" xfId="0" applyNumberFormat="1" applyFont="1" applyBorder="1" applyAlignment="1">
      <alignment wrapText="1"/>
    </xf>
    <xf numFmtId="1" fontId="18" fillId="0" borderId="3" xfId="0" applyNumberFormat="1" applyFont="1" applyBorder="1" applyAlignment="1">
      <alignment horizontal="left" wrapText="1"/>
    </xf>
    <xf numFmtId="1" fontId="9" fillId="0" borderId="3" xfId="2" applyNumberFormat="1" applyFont="1" applyBorder="1" applyAlignment="1">
      <alignment vertical="top" wrapText="1"/>
    </xf>
    <xf numFmtId="49" fontId="28" fillId="0" borderId="3" xfId="0" applyNumberFormat="1" applyFont="1" applyFill="1" applyBorder="1" applyAlignment="1"/>
    <xf numFmtId="0" fontId="28" fillId="0" borderId="3" xfId="0" applyFont="1" applyBorder="1" applyAlignment="1"/>
    <xf numFmtId="0" fontId="13" fillId="0" borderId="2" xfId="14" applyFont="1" applyBorder="1" applyAlignment="1">
      <alignment horizontal="center" vertical="center"/>
    </xf>
    <xf numFmtId="1" fontId="9" fillId="0" borderId="0" xfId="2" applyNumberFormat="1" applyFont="1" applyBorder="1" applyAlignment="1">
      <alignment wrapText="1"/>
    </xf>
    <xf numFmtId="1" fontId="13" fillId="0" borderId="0" xfId="2" applyNumberFormat="1" applyFont="1" applyBorder="1" applyAlignment="1">
      <alignment wrapText="1"/>
    </xf>
    <xf numFmtId="0" fontId="45" fillId="0" borderId="0" xfId="1" applyFont="1" applyFill="1" applyBorder="1" applyAlignment="1" applyProtection="1">
      <protection locked="0"/>
    </xf>
    <xf numFmtId="0" fontId="46" fillId="0" borderId="0" xfId="0" applyFont="1"/>
    <xf numFmtId="49" fontId="46" fillId="0" borderId="0" xfId="0" applyNumberFormat="1" applyFont="1" applyAlignment="1">
      <alignment horizontal="center"/>
    </xf>
    <xf numFmtId="49" fontId="47" fillId="0" borderId="5" xfId="0" applyNumberFormat="1" applyFont="1" applyBorder="1" applyAlignment="1">
      <alignment horizontal="center" vertical="center"/>
    </xf>
    <xf numFmtId="0" fontId="46" fillId="0" borderId="0" xfId="0" applyFont="1" applyBorder="1"/>
    <xf numFmtId="164" fontId="46" fillId="0" borderId="0" xfId="0" applyNumberFormat="1" applyFont="1" applyBorder="1" applyAlignment="1"/>
    <xf numFmtId="0" fontId="46" fillId="0" borderId="0" xfId="0" applyFont="1" applyFill="1"/>
    <xf numFmtId="165" fontId="45" fillId="0" borderId="0" xfId="0" applyNumberFormat="1" applyFont="1" applyFill="1" applyBorder="1"/>
    <xf numFmtId="0" fontId="45" fillId="0" borderId="0" xfId="0" applyFont="1" applyFill="1"/>
    <xf numFmtId="165" fontId="46" fillId="0" borderId="0" xfId="0" applyNumberFormat="1" applyFont="1" applyFill="1" applyBorder="1" applyAlignment="1">
      <alignment horizontal="center"/>
    </xf>
    <xf numFmtId="0" fontId="46" fillId="0" borderId="0" xfId="0" applyFont="1" applyFill="1" applyAlignment="1" applyProtection="1">
      <protection locked="0"/>
    </xf>
    <xf numFmtId="0" fontId="44" fillId="0" borderId="0" xfId="0" applyFont="1" applyAlignment="1">
      <alignment horizontal="right" indent="2"/>
    </xf>
    <xf numFmtId="0" fontId="13" fillId="0" borderId="3" xfId="22" applyFont="1" applyBorder="1" applyAlignment="1">
      <alignment horizontal="left" wrapText="1" indent="1"/>
    </xf>
    <xf numFmtId="0" fontId="13" fillId="0" borderId="3" xfId="22" applyFont="1" applyBorder="1" applyAlignment="1">
      <alignment wrapText="1"/>
    </xf>
    <xf numFmtId="0" fontId="13" fillId="0" borderId="3" xfId="22" applyFont="1" applyBorder="1" applyAlignment="1">
      <alignment horizontal="left" indent="1"/>
    </xf>
    <xf numFmtId="0" fontId="13" fillId="0" borderId="3" xfId="22" applyFont="1" applyBorder="1"/>
    <xf numFmtId="0" fontId="34" fillId="0" borderId="3" xfId="22" applyFont="1" applyBorder="1" applyAlignment="1">
      <alignment wrapText="1"/>
    </xf>
    <xf numFmtId="0" fontId="34" fillId="0" borderId="7" xfId="22" applyFont="1" applyBorder="1" applyAlignment="1">
      <alignment wrapText="1"/>
    </xf>
    <xf numFmtId="0" fontId="34" fillId="0" borderId="0" xfId="22" applyFont="1" applyBorder="1" applyAlignment="1">
      <alignment wrapText="1"/>
    </xf>
    <xf numFmtId="1" fontId="17" fillId="0" borderId="3" xfId="0" applyNumberFormat="1" applyFont="1" applyBorder="1"/>
    <xf numFmtId="49" fontId="13" fillId="0" borderId="2" xfId="23" applyNumberFormat="1" applyFont="1" applyBorder="1" applyAlignment="1">
      <alignment horizontal="center" wrapText="1"/>
    </xf>
    <xf numFmtId="49" fontId="13" fillId="0" borderId="2" xfId="23" applyNumberFormat="1" applyFont="1" applyBorder="1" applyAlignment="1">
      <alignment horizontal="center" vertical="center" wrapText="1"/>
    </xf>
    <xf numFmtId="49" fontId="13" fillId="0" borderId="5" xfId="25" applyNumberFormat="1" applyFont="1" applyBorder="1" applyAlignment="1">
      <alignment horizontal="center" vertical="center" wrapText="1"/>
    </xf>
    <xf numFmtId="49" fontId="13" fillId="0" borderId="2" xfId="25" applyNumberFormat="1" applyFont="1" applyBorder="1" applyAlignment="1">
      <alignment horizontal="center" vertical="center" wrapText="1"/>
    </xf>
    <xf numFmtId="49" fontId="13" fillId="0" borderId="2" xfId="25" applyNumberFormat="1" applyFont="1" applyBorder="1" applyAlignment="1">
      <alignment horizontal="center" vertical="center"/>
    </xf>
    <xf numFmtId="0" fontId="9" fillId="0" borderId="4" xfId="0" applyFont="1" applyBorder="1" applyAlignment="1" applyProtection="1">
      <alignment horizontal="right" vertical="center" wrapText="1" indent="2"/>
      <protection locked="0"/>
    </xf>
    <xf numFmtId="0" fontId="9" fillId="0" borderId="3" xfId="0" applyFont="1" applyBorder="1" applyAlignment="1" applyProtection="1">
      <alignment horizontal="right" vertical="center" wrapText="1" indent="2"/>
      <protection locked="0"/>
    </xf>
    <xf numFmtId="49" fontId="9" fillId="0" borderId="3" xfId="0" applyNumberFormat="1" applyFont="1" applyBorder="1" applyAlignment="1" applyProtection="1">
      <alignment horizontal="right" vertical="center" wrapText="1" indent="2"/>
      <protection locked="0"/>
    </xf>
    <xf numFmtId="0" fontId="18" fillId="0" borderId="3" xfId="0" applyFont="1" applyBorder="1" applyAlignment="1" applyProtection="1">
      <alignment horizontal="right" vertical="center" wrapText="1" indent="2"/>
      <protection locked="0"/>
    </xf>
    <xf numFmtId="0" fontId="9" fillId="0" borderId="3" xfId="0" applyNumberFormat="1" applyFont="1" applyBorder="1" applyAlignment="1" applyProtection="1">
      <alignment horizontal="right" vertical="center" wrapText="1" indent="2"/>
      <protection locked="0"/>
    </xf>
    <xf numFmtId="49" fontId="13" fillId="0" borderId="5" xfId="23" applyNumberFormat="1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49" fontId="13" fillId="0" borderId="2" xfId="16" applyNumberFormat="1" applyFont="1" applyBorder="1" applyAlignment="1">
      <alignment horizontal="center" vertical="center" wrapText="1"/>
    </xf>
    <xf numFmtId="49" fontId="13" fillId="0" borderId="5" xfId="16" applyNumberFormat="1" applyFont="1" applyBorder="1" applyAlignment="1">
      <alignment horizontal="center" vertical="center" wrapText="1"/>
    </xf>
    <xf numFmtId="172" fontId="13" fillId="0" borderId="2" xfId="13" applyFont="1" applyBorder="1" applyAlignment="1">
      <alignment horizontal="center" vertical="center" wrapText="1"/>
    </xf>
    <xf numFmtId="1" fontId="16" fillId="0" borderId="0" xfId="2" applyNumberFormat="1" applyFont="1" applyAlignment="1">
      <alignment wrapText="1"/>
    </xf>
    <xf numFmtId="1" fontId="16" fillId="0" borderId="0" xfId="2" applyNumberFormat="1" applyFont="1" applyAlignment="1">
      <alignment horizontal="center" wrapText="1"/>
    </xf>
    <xf numFmtId="0" fontId="9" fillId="0" borderId="5" xfId="2" applyBorder="1" applyAlignment="1">
      <alignment horizontal="center" vertical="center"/>
    </xf>
    <xf numFmtId="0" fontId="13" fillId="0" borderId="2" xfId="7" applyFont="1" applyBorder="1" applyAlignment="1" applyProtection="1">
      <alignment horizontal="center" vertical="center"/>
      <protection locked="0"/>
    </xf>
    <xf numFmtId="0" fontId="13" fillId="0" borderId="2" xfId="22" applyFont="1" applyBorder="1" applyAlignment="1">
      <alignment horizontal="center" vertical="center" wrapText="1"/>
    </xf>
    <xf numFmtId="0" fontId="9" fillId="0" borderId="2" xfId="2" applyBorder="1" applyAlignment="1">
      <alignment horizontal="center" vertical="center"/>
    </xf>
    <xf numFmtId="49" fontId="13" fillId="0" borderId="2" xfId="12" applyNumberFormat="1" applyFont="1" applyBorder="1" applyAlignment="1">
      <alignment horizontal="center" vertical="center" wrapText="1"/>
    </xf>
    <xf numFmtId="49" fontId="13" fillId="0" borderId="2" xfId="15" applyNumberFormat="1" applyFont="1" applyBorder="1" applyAlignment="1">
      <alignment horizontal="center" vertical="center" wrapText="1"/>
    </xf>
    <xf numFmtId="0" fontId="17" fillId="0" borderId="4" xfId="22" applyFont="1" applyBorder="1"/>
    <xf numFmtId="0" fontId="13" fillId="0" borderId="3" xfId="22" applyFont="1" applyBorder="1" applyAlignment="1">
      <alignment horizontal="left" wrapText="1" indent="2"/>
    </xf>
    <xf numFmtId="172" fontId="13" fillId="0" borderId="3" xfId="12" applyFont="1" applyBorder="1" applyAlignment="1">
      <alignment horizontal="left" wrapText="1" indent="2"/>
    </xf>
    <xf numFmtId="172" fontId="13" fillId="0" borderId="3" xfId="12" applyFont="1" applyBorder="1"/>
    <xf numFmtId="0" fontId="13" fillId="0" borderId="3" xfId="2" applyFont="1" applyBorder="1"/>
    <xf numFmtId="172" fontId="13" fillId="0" borderId="3" xfId="12" applyFont="1" applyBorder="1" applyAlignment="1">
      <alignment horizontal="left" wrapText="1" indent="1"/>
    </xf>
    <xf numFmtId="172" fontId="13" fillId="0" borderId="3" xfId="12" applyFont="1" applyBorder="1" applyAlignment="1">
      <alignment vertical="top"/>
    </xf>
    <xf numFmtId="0" fontId="16" fillId="0" borderId="0" xfId="2" applyFont="1" applyAlignment="1">
      <alignment vertical="center"/>
    </xf>
    <xf numFmtId="1" fontId="17" fillId="0" borderId="3" xfId="0" applyNumberFormat="1" applyFont="1" applyBorder="1" applyAlignment="1">
      <alignment horizontal="left" wrapText="1"/>
    </xf>
    <xf numFmtId="0" fontId="13" fillId="0" borderId="5" xfId="7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/>
    <xf numFmtId="0" fontId="13" fillId="0" borderId="5" xfId="0" applyFont="1" applyBorder="1" applyAlignment="1" applyProtection="1">
      <alignment horizontal="center" vertical="center"/>
      <protection locked="0"/>
    </xf>
    <xf numFmtId="1" fontId="13" fillId="0" borderId="7" xfId="2" applyNumberFormat="1" applyFont="1" applyBorder="1" applyAlignment="1">
      <alignment horizontal="left" wrapText="1"/>
    </xf>
    <xf numFmtId="168" fontId="9" fillId="0" borderId="1" xfId="2" applyNumberFormat="1" applyFont="1" applyBorder="1" applyAlignment="1"/>
    <xf numFmtId="208" fontId="9" fillId="0" borderId="1" xfId="2" applyNumberFormat="1" applyFont="1" applyBorder="1" applyAlignment="1">
      <alignment horizontal="right"/>
    </xf>
    <xf numFmtId="206" fontId="9" fillId="0" borderId="1" xfId="2" applyNumberFormat="1" applyFont="1" applyBorder="1" applyAlignment="1"/>
    <xf numFmtId="0" fontId="13" fillId="0" borderId="7" xfId="7" applyFont="1" applyBorder="1" applyProtection="1">
      <protection locked="0"/>
    </xf>
    <xf numFmtId="164" fontId="13" fillId="0" borderId="1" xfId="7" applyNumberFormat="1" applyFont="1" applyBorder="1" applyAlignment="1" applyProtection="1">
      <alignment horizontal="right"/>
      <protection locked="0"/>
    </xf>
    <xf numFmtId="172" fontId="13" fillId="0" borderId="1" xfId="7" applyNumberFormat="1" applyFont="1" applyBorder="1" applyAlignment="1" applyProtection="1">
      <alignment horizontal="right" indent="3"/>
      <protection locked="0"/>
    </xf>
    <xf numFmtId="1" fontId="13" fillId="0" borderId="7" xfId="0" applyNumberFormat="1" applyFont="1" applyBorder="1" applyAlignment="1">
      <alignment horizontal="left" wrapText="1"/>
    </xf>
    <xf numFmtId="173" fontId="9" fillId="0" borderId="1" xfId="2" applyNumberFormat="1" applyFont="1" applyBorder="1"/>
    <xf numFmtId="167" fontId="24" fillId="0" borderId="1" xfId="2" applyNumberFormat="1" applyFont="1" applyBorder="1"/>
    <xf numFmtId="177" fontId="28" fillId="0" borderId="1" xfId="0" applyNumberFormat="1" applyFont="1" applyBorder="1" applyAlignment="1">
      <alignment horizontal="right"/>
    </xf>
    <xf numFmtId="178" fontId="28" fillId="0" borderId="1" xfId="0" applyNumberFormat="1" applyFont="1" applyBorder="1" applyAlignment="1">
      <alignment horizontal="right"/>
    </xf>
    <xf numFmtId="179" fontId="28" fillId="0" borderId="1" xfId="0" applyNumberFormat="1" applyFont="1" applyBorder="1" applyAlignment="1">
      <alignment horizontal="right"/>
    </xf>
    <xf numFmtId="180" fontId="28" fillId="0" borderId="1" xfId="0" applyNumberFormat="1" applyFont="1" applyBorder="1" applyAlignment="1">
      <alignment horizontal="right"/>
    </xf>
    <xf numFmtId="49" fontId="28" fillId="0" borderId="7" xfId="0" applyNumberFormat="1" applyFont="1" applyFill="1" applyBorder="1" applyAlignment="1"/>
    <xf numFmtId="185" fontId="28" fillId="0" borderId="1" xfId="0" applyNumberFormat="1" applyFont="1" applyBorder="1" applyAlignment="1">
      <alignment horizontal="right"/>
    </xf>
    <xf numFmtId="192" fontId="28" fillId="0" borderId="1" xfId="0" applyNumberFormat="1" applyFont="1" applyBorder="1"/>
    <xf numFmtId="192" fontId="13" fillId="0" borderId="1" xfId="2" applyNumberFormat="1" applyFont="1" applyBorder="1"/>
    <xf numFmtId="170" fontId="13" fillId="0" borderId="1" xfId="2" applyNumberFormat="1" applyFont="1" applyBorder="1"/>
    <xf numFmtId="193" fontId="28" fillId="0" borderId="1" xfId="0" applyNumberFormat="1" applyFont="1" applyBorder="1"/>
    <xf numFmtId="195" fontId="28" fillId="0" borderId="1" xfId="0" applyNumberFormat="1" applyFont="1" applyBorder="1"/>
    <xf numFmtId="0" fontId="9" fillId="0" borderId="7" xfId="0" applyFont="1" applyBorder="1" applyAlignment="1" applyProtection="1">
      <alignment horizontal="right" vertical="center" wrapText="1" indent="2"/>
      <protection locked="0"/>
    </xf>
    <xf numFmtId="199" fontId="28" fillId="0" borderId="1" xfId="0" applyNumberFormat="1" applyFont="1" applyBorder="1" applyAlignment="1">
      <alignment horizontal="right"/>
    </xf>
    <xf numFmtId="200" fontId="28" fillId="0" borderId="1" xfId="0" applyNumberFormat="1" applyFont="1" applyBorder="1" applyAlignment="1">
      <alignment horizontal="right"/>
    </xf>
    <xf numFmtId="171" fontId="28" fillId="0" borderId="1" xfId="0" applyNumberFormat="1" applyFont="1" applyBorder="1"/>
    <xf numFmtId="202" fontId="28" fillId="0" borderId="1" xfId="0" applyNumberFormat="1" applyFont="1" applyBorder="1"/>
    <xf numFmtId="183" fontId="9" fillId="0" borderId="1" xfId="2" applyNumberFormat="1" applyFont="1" applyBorder="1" applyAlignment="1">
      <alignment horizontal="right"/>
    </xf>
    <xf numFmtId="203" fontId="9" fillId="0" borderId="1" xfId="2" applyNumberFormat="1" applyFont="1" applyBorder="1"/>
    <xf numFmtId="0" fontId="13" fillId="0" borderId="7" xfId="2" applyFont="1" applyBorder="1" applyAlignment="1">
      <alignment horizontal="left" indent="1"/>
    </xf>
    <xf numFmtId="0" fontId="19" fillId="0" borderId="1" xfId="0" applyFont="1" applyBorder="1" applyAlignment="1">
      <alignment horizontal="right" wrapText="1" indent="3"/>
    </xf>
    <xf numFmtId="196" fontId="9" fillId="0" borderId="1" xfId="2" applyNumberFormat="1" applyFont="1" applyBorder="1" applyAlignment="1">
      <alignment horizontal="right"/>
    </xf>
    <xf numFmtId="0" fontId="19" fillId="0" borderId="1" xfId="0" applyFont="1" applyBorder="1" applyAlignment="1">
      <alignment horizontal="right" wrapText="1" indent="6"/>
    </xf>
    <xf numFmtId="49" fontId="13" fillId="0" borderId="5" xfId="15" applyNumberFormat="1" applyFont="1" applyBorder="1" applyAlignment="1">
      <alignment horizontal="center" vertical="center" wrapText="1"/>
    </xf>
    <xf numFmtId="182" fontId="13" fillId="0" borderId="1" xfId="2" applyNumberFormat="1" applyFont="1" applyBorder="1"/>
    <xf numFmtId="197" fontId="9" fillId="0" borderId="1" xfId="2" applyNumberFormat="1" applyFont="1" applyBorder="1"/>
    <xf numFmtId="183" fontId="9" fillId="0" borderId="1" xfId="2" applyNumberFormat="1" applyFont="1" applyBorder="1"/>
    <xf numFmtId="196" fontId="9" fillId="0" borderId="1" xfId="2" applyNumberFormat="1" applyBorder="1"/>
    <xf numFmtId="205" fontId="9" fillId="0" borderId="1" xfId="2" applyNumberFormat="1" applyBorder="1"/>
    <xf numFmtId="1" fontId="17" fillId="0" borderId="0" xfId="0" applyNumberFormat="1" applyFont="1" applyBorder="1" applyAlignment="1">
      <alignment wrapText="1"/>
    </xf>
    <xf numFmtId="196" fontId="18" fillId="0" borderId="8" xfId="2" applyNumberFormat="1" applyFont="1" applyBorder="1"/>
    <xf numFmtId="165" fontId="9" fillId="0" borderId="1" xfId="0" applyNumberFormat="1" applyFont="1" applyBorder="1" applyAlignment="1">
      <alignment horizontal="right"/>
    </xf>
    <xf numFmtId="192" fontId="9" fillId="0" borderId="1" xfId="0" applyNumberFormat="1" applyFont="1" applyBorder="1"/>
    <xf numFmtId="164" fontId="9" fillId="0" borderId="1" xfId="26" applyNumberFormat="1" applyFont="1" applyBorder="1"/>
    <xf numFmtId="0" fontId="13" fillId="0" borderId="0" xfId="0" applyFont="1" applyAlignment="1">
      <alignment horizontal="right"/>
    </xf>
    <xf numFmtId="0" fontId="46" fillId="0" borderId="2" xfId="0" applyFont="1" applyBorder="1" applyAlignment="1">
      <alignment horizontal="center" vertical="center" wrapText="1"/>
    </xf>
    <xf numFmtId="0" fontId="44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left"/>
    </xf>
    <xf numFmtId="0" fontId="44" fillId="0" borderId="0" xfId="0" applyFont="1" applyAlignment="1"/>
    <xf numFmtId="0" fontId="44" fillId="0" borderId="0" xfId="1" applyFont="1" applyAlignment="1" applyProtection="1">
      <alignment horizontal="left" indent="1"/>
    </xf>
    <xf numFmtId="0" fontId="27" fillId="0" borderId="0" xfId="0" applyFont="1" applyAlignment="1">
      <alignment horizontal="right" wrapText="1"/>
    </xf>
    <xf numFmtId="187" fontId="25" fillId="0" borderId="0" xfId="2" applyNumberFormat="1" applyFont="1"/>
    <xf numFmtId="187" fontId="24" fillId="0" borderId="0" xfId="2" applyNumberFormat="1" applyFont="1"/>
    <xf numFmtId="187" fontId="19" fillId="0" borderId="0" xfId="2" applyNumberFormat="1" applyFont="1"/>
    <xf numFmtId="187" fontId="27" fillId="0" borderId="0" xfId="2" applyNumberFormat="1" applyFont="1"/>
    <xf numFmtId="187" fontId="24" fillId="0" borderId="1" xfId="2" applyNumberFormat="1" applyFont="1" applyBorder="1"/>
    <xf numFmtId="2" fontId="13" fillId="0" borderId="0" xfId="7" applyNumberFormat="1" applyFont="1" applyBorder="1" applyAlignment="1" applyProtection="1">
      <alignment horizontal="right" indent="3"/>
      <protection locked="0"/>
    </xf>
    <xf numFmtId="164" fontId="13" fillId="0" borderId="0" xfId="7" applyNumberFormat="1" applyFont="1" applyBorder="1" applyAlignment="1" applyProtection="1">
      <alignment horizontal="center"/>
      <protection locked="0"/>
    </xf>
    <xf numFmtId="168" fontId="18" fillId="0" borderId="0" xfId="2" applyNumberFormat="1" applyFont="1" applyFill="1" applyAlignment="1"/>
    <xf numFmtId="168" fontId="9" fillId="0" borderId="0" xfId="2" applyNumberFormat="1" applyFont="1" applyFill="1" applyAlignment="1"/>
    <xf numFmtId="208" fontId="18" fillId="0" borderId="0" xfId="2" applyNumberFormat="1" applyFont="1" applyFill="1" applyAlignment="1">
      <alignment horizontal="right"/>
    </xf>
    <xf numFmtId="206" fontId="18" fillId="0" borderId="0" xfId="2" applyNumberFormat="1" applyFont="1" applyFill="1" applyAlignment="1"/>
    <xf numFmtId="187" fontId="25" fillId="0" borderId="0" xfId="2" applyNumberFormat="1" applyFont="1" applyFill="1"/>
    <xf numFmtId="0" fontId="23" fillId="0" borderId="0" xfId="2" applyFont="1" applyFill="1"/>
    <xf numFmtId="0" fontId="27" fillId="0" borderId="0" xfId="0" applyFont="1" applyFill="1" applyAlignment="1">
      <alignment horizontal="right" wrapText="1"/>
    </xf>
    <xf numFmtId="170" fontId="22" fillId="0" borderId="0" xfId="2" applyNumberFormat="1" applyFont="1" applyFill="1"/>
    <xf numFmtId="210" fontId="25" fillId="0" borderId="0" xfId="2" applyNumberFormat="1" applyFont="1"/>
    <xf numFmtId="173" fontId="18" fillId="0" borderId="0" xfId="2" applyNumberFormat="1" applyFont="1" applyFill="1"/>
    <xf numFmtId="167" fontId="25" fillId="0" borderId="0" xfId="2" applyNumberFormat="1" applyFont="1" applyFill="1"/>
    <xf numFmtId="0" fontId="9" fillId="0" borderId="2" xfId="0" applyFont="1" applyBorder="1" applyAlignment="1">
      <alignment horizontal="center" vertical="center" wrapText="1"/>
    </xf>
    <xf numFmtId="0" fontId="9" fillId="0" borderId="2" xfId="0" quotePrefix="1" applyFont="1" applyBorder="1" applyAlignment="1">
      <alignment horizontal="center" vertical="center" wrapText="1"/>
    </xf>
    <xf numFmtId="0" fontId="28" fillId="0" borderId="4" xfId="0" applyFont="1" applyBorder="1" applyAlignment="1">
      <alignment horizontal="right" vertical="center" indent="3"/>
    </xf>
    <xf numFmtId="0" fontId="28" fillId="0" borderId="3" xfId="0" applyFont="1" applyBorder="1" applyAlignment="1">
      <alignment horizontal="right" vertical="center" indent="3"/>
    </xf>
    <xf numFmtId="0" fontId="28" fillId="0" borderId="3" xfId="0" applyFont="1" applyBorder="1" applyAlignment="1">
      <alignment horizontal="right" vertical="center" wrapText="1" indent="3"/>
    </xf>
    <xf numFmtId="0" fontId="27" fillId="0" borderId="7" xfId="0" applyFont="1" applyBorder="1" applyAlignment="1">
      <alignment horizontal="right" vertical="center" wrapText="1" indent="3"/>
    </xf>
    <xf numFmtId="211" fontId="9" fillId="0" borderId="0" xfId="2" applyNumberFormat="1" applyFont="1" applyAlignment="1">
      <alignment horizontal="right" indent="4"/>
    </xf>
    <xf numFmtId="166" fontId="9" fillId="0" borderId="0" xfId="2" applyNumberFormat="1" applyFont="1" applyAlignment="1">
      <alignment horizontal="right" indent="4"/>
    </xf>
    <xf numFmtId="199" fontId="26" fillId="0" borderId="0" xfId="0" applyNumberFormat="1" applyFont="1" applyFill="1" applyAlignment="1">
      <alignment horizontal="right"/>
    </xf>
    <xf numFmtId="0" fontId="0" fillId="0" borderId="0" xfId="0" applyFill="1"/>
    <xf numFmtId="200" fontId="26" fillId="0" borderId="0" xfId="0" applyNumberFormat="1" applyFont="1" applyFill="1" applyAlignment="1">
      <alignment horizontal="right"/>
    </xf>
    <xf numFmtId="188" fontId="28" fillId="0" borderId="9" xfId="0" applyNumberFormat="1" applyFont="1" applyBorder="1" applyAlignment="1"/>
    <xf numFmtId="188" fontId="28" fillId="0" borderId="10" xfId="0" applyNumberFormat="1" applyFont="1" applyBorder="1" applyAlignment="1"/>
    <xf numFmtId="188" fontId="26" fillId="0" borderId="0" xfId="0" applyNumberFormat="1" applyFont="1" applyAlignment="1"/>
    <xf numFmtId="188" fontId="38" fillId="0" borderId="0" xfId="0" applyNumberFormat="1" applyFont="1" applyAlignment="1">
      <alignment wrapText="1"/>
    </xf>
    <xf numFmtId="188" fontId="26" fillId="0" borderId="9" xfId="0" applyNumberFormat="1" applyFont="1" applyBorder="1" applyAlignment="1"/>
    <xf numFmtId="188" fontId="26" fillId="0" borderId="0" xfId="0" applyNumberFormat="1" applyFont="1" applyBorder="1" applyAlignment="1"/>
    <xf numFmtId="188" fontId="28" fillId="0" borderId="0" xfId="0" applyNumberFormat="1" applyFont="1" applyBorder="1" applyAlignment="1"/>
    <xf numFmtId="188" fontId="28" fillId="0" borderId="1" xfId="0" applyNumberFormat="1" applyFont="1" applyBorder="1" applyAlignment="1"/>
    <xf numFmtId="189" fontId="28" fillId="0" borderId="0" xfId="0" applyNumberFormat="1" applyFont="1" applyBorder="1" applyAlignment="1"/>
    <xf numFmtId="212" fontId="28" fillId="0" borderId="0" xfId="0" applyNumberFormat="1" applyFont="1" applyBorder="1" applyAlignment="1"/>
    <xf numFmtId="212" fontId="26" fillId="0" borderId="0" xfId="0" applyNumberFormat="1" applyFont="1" applyBorder="1" applyAlignment="1"/>
    <xf numFmtId="212" fontId="28" fillId="0" borderId="1" xfId="0" applyNumberFormat="1" applyFont="1" applyBorder="1" applyAlignment="1"/>
    <xf numFmtId="189" fontId="26" fillId="0" borderId="0" xfId="0" applyNumberFormat="1" applyFont="1" applyBorder="1" applyAlignment="1"/>
    <xf numFmtId="189" fontId="28" fillId="0" borderId="1" xfId="0" applyNumberFormat="1" applyFont="1" applyBorder="1" applyAlignment="1"/>
    <xf numFmtId="1" fontId="17" fillId="0" borderId="3" xfId="0" applyNumberFormat="1" applyFont="1" applyBorder="1" applyAlignment="1"/>
    <xf numFmtId="1" fontId="13" fillId="0" borderId="3" xfId="0" applyNumberFormat="1" applyFont="1" applyBorder="1" applyAlignment="1"/>
    <xf numFmtId="0" fontId="19" fillId="0" borderId="3" xfId="0" applyFont="1" applyBorder="1" applyAlignment="1">
      <alignment horizontal="left" wrapText="1"/>
    </xf>
    <xf numFmtId="0" fontId="19" fillId="0" borderId="6" xfId="0" applyFont="1" applyFill="1" applyBorder="1" applyAlignment="1">
      <alignment horizontal="right" wrapText="1" indent="2"/>
    </xf>
    <xf numFmtId="0" fontId="19" fillId="0" borderId="8" xfId="0" applyFont="1" applyFill="1" applyBorder="1" applyAlignment="1">
      <alignment horizontal="right" wrapText="1" indent="2"/>
    </xf>
    <xf numFmtId="0" fontId="19" fillId="0" borderId="9" xfId="0" applyFont="1" applyFill="1" applyBorder="1" applyAlignment="1">
      <alignment horizontal="right" wrapText="1" indent="2"/>
    </xf>
    <xf numFmtId="0" fontId="19" fillId="0" borderId="0" xfId="0" applyFont="1" applyFill="1" applyBorder="1" applyAlignment="1">
      <alignment horizontal="right" wrapText="1" indent="2"/>
    </xf>
    <xf numFmtId="0" fontId="19" fillId="0" borderId="10" xfId="0" applyFont="1" applyFill="1" applyBorder="1" applyAlignment="1">
      <alignment horizontal="right" wrapText="1" indent="2"/>
    </xf>
    <xf numFmtId="0" fontId="19" fillId="0" borderId="1" xfId="0" applyFont="1" applyFill="1" applyBorder="1" applyAlignment="1">
      <alignment horizontal="right" wrapText="1" indent="2"/>
    </xf>
    <xf numFmtId="175" fontId="26" fillId="0" borderId="0" xfId="0" applyNumberFormat="1" applyFont="1"/>
    <xf numFmtId="175" fontId="28" fillId="0" borderId="0" xfId="0" applyNumberFormat="1" applyFont="1"/>
    <xf numFmtId="175" fontId="28" fillId="0" borderId="1" xfId="0" applyNumberFormat="1" applyFont="1" applyBorder="1"/>
    <xf numFmtId="183" fontId="18" fillId="0" borderId="0" xfId="2" applyNumberFormat="1" applyFont="1" applyFill="1" applyAlignment="1">
      <alignment horizontal="right"/>
    </xf>
    <xf numFmtId="203" fontId="18" fillId="0" borderId="0" xfId="2" applyNumberFormat="1" applyFont="1" applyFill="1"/>
    <xf numFmtId="0" fontId="9" fillId="0" borderId="0" xfId="2" applyNumberFormat="1" applyFont="1" applyBorder="1" applyAlignment="1">
      <alignment horizontal="right" indent="5"/>
    </xf>
    <xf numFmtId="0" fontId="18" fillId="0" borderId="8" xfId="2" applyNumberFormat="1" applyFont="1" applyBorder="1" applyAlignment="1">
      <alignment horizontal="right" indent="5"/>
    </xf>
    <xf numFmtId="0" fontId="18" fillId="0" borderId="0" xfId="2" applyNumberFormat="1" applyFont="1" applyBorder="1" applyAlignment="1">
      <alignment horizontal="right" indent="5"/>
    </xf>
    <xf numFmtId="183" fontId="9" fillId="0" borderId="0" xfId="2" applyNumberFormat="1" applyFont="1" applyAlignment="1">
      <alignment horizontal="right" indent="2"/>
    </xf>
    <xf numFmtId="183" fontId="9" fillId="0" borderId="1" xfId="2" applyNumberFormat="1" applyFont="1" applyBorder="1" applyAlignment="1">
      <alignment horizontal="right" indent="2"/>
    </xf>
    <xf numFmtId="172" fontId="19" fillId="0" borderId="0" xfId="0" applyNumberFormat="1" applyFont="1" applyAlignment="1">
      <alignment horizontal="right" wrapText="1" indent="6"/>
    </xf>
    <xf numFmtId="191" fontId="18" fillId="0" borderId="0" xfId="0" applyNumberFormat="1" applyFont="1" applyFill="1" applyAlignment="1">
      <alignment horizontal="right"/>
    </xf>
    <xf numFmtId="165" fontId="17" fillId="0" borderId="0" xfId="0" applyNumberFormat="1" applyFont="1" applyFill="1" applyAlignment="1">
      <alignment horizontal="right"/>
    </xf>
    <xf numFmtId="191" fontId="0" fillId="0" borderId="0" xfId="0" applyNumberFormat="1" applyFill="1"/>
    <xf numFmtId="193" fontId="18" fillId="0" borderId="0" xfId="2" applyNumberFormat="1" applyFont="1"/>
    <xf numFmtId="193" fontId="9" fillId="0" borderId="0" xfId="2" applyNumberFormat="1"/>
    <xf numFmtId="193" fontId="9" fillId="0" borderId="0" xfId="2" applyNumberFormat="1" applyFont="1"/>
    <xf numFmtId="193" fontId="9" fillId="0" borderId="1" xfId="2" applyNumberFormat="1" applyFont="1" applyBorder="1"/>
    <xf numFmtId="213" fontId="18" fillId="0" borderId="0" xfId="2" applyNumberFormat="1" applyFont="1"/>
    <xf numFmtId="213" fontId="9" fillId="0" borderId="0" xfId="2" applyNumberFormat="1"/>
    <xf numFmtId="213" fontId="28" fillId="0" borderId="0" xfId="0" applyNumberFormat="1" applyFont="1"/>
    <xf numFmtId="213" fontId="9" fillId="0" borderId="0" xfId="2" applyNumberFormat="1" applyFont="1"/>
    <xf numFmtId="213" fontId="9" fillId="0" borderId="1" xfId="2" applyNumberFormat="1" applyBorder="1"/>
    <xf numFmtId="214" fontId="18" fillId="0" borderId="0" xfId="2" applyNumberFormat="1" applyFont="1"/>
    <xf numFmtId="214" fontId="9" fillId="0" borderId="0" xfId="2" applyNumberFormat="1"/>
    <xf numFmtId="214" fontId="9" fillId="0" borderId="0" xfId="2" applyNumberFormat="1" applyFont="1"/>
    <xf numFmtId="214" fontId="9" fillId="0" borderId="1" xfId="2" applyNumberFormat="1" applyBorder="1"/>
    <xf numFmtId="215" fontId="18" fillId="0" borderId="0" xfId="2" applyNumberFormat="1" applyFont="1"/>
    <xf numFmtId="215" fontId="9" fillId="0" borderId="0" xfId="2" applyNumberFormat="1" applyFont="1"/>
    <xf numFmtId="215" fontId="9" fillId="0" borderId="1" xfId="2" applyNumberFormat="1" applyFont="1" applyBorder="1"/>
    <xf numFmtId="216" fontId="9" fillId="0" borderId="0" xfId="2" applyNumberFormat="1"/>
    <xf numFmtId="216" fontId="9" fillId="0" borderId="0" xfId="2" applyNumberFormat="1" applyFont="1"/>
    <xf numFmtId="217" fontId="18" fillId="0" borderId="0" xfId="2" applyNumberFormat="1" applyFont="1"/>
    <xf numFmtId="217" fontId="9" fillId="0" borderId="0" xfId="2" applyNumberFormat="1"/>
    <xf numFmtId="217" fontId="9" fillId="0" borderId="0" xfId="2" applyNumberFormat="1" applyFont="1"/>
    <xf numFmtId="217" fontId="9" fillId="0" borderId="1" xfId="2" applyNumberFormat="1" applyBorder="1"/>
    <xf numFmtId="204" fontId="18" fillId="0" borderId="0" xfId="2" applyNumberFormat="1" applyFont="1"/>
    <xf numFmtId="204" fontId="9" fillId="0" borderId="0" xfId="2" applyNumberFormat="1"/>
    <xf numFmtId="204" fontId="9" fillId="0" borderId="0" xfId="2" applyNumberFormat="1" applyFont="1"/>
    <xf numFmtId="204" fontId="9" fillId="0" borderId="1" xfId="2" applyNumberFormat="1" applyBorder="1"/>
    <xf numFmtId="164" fontId="17" fillId="0" borderId="0" xfId="0" applyNumberFormat="1" applyFont="1" applyAlignment="1">
      <alignment horizontal="right"/>
    </xf>
    <xf numFmtId="164" fontId="9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164" fontId="18" fillId="0" borderId="0" xfId="0" applyNumberFormat="1" applyFont="1" applyFill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5" fontId="18" fillId="0" borderId="0" xfId="0" applyNumberFormat="1" applyFont="1" applyAlignment="1">
      <alignment horizontal="right"/>
    </xf>
    <xf numFmtId="165" fontId="18" fillId="0" borderId="0" xfId="0" applyNumberFormat="1" applyFont="1" applyFill="1" applyAlignment="1">
      <alignment horizontal="right"/>
    </xf>
    <xf numFmtId="192" fontId="18" fillId="0" borderId="0" xfId="0" applyNumberFormat="1" applyFont="1" applyFill="1"/>
    <xf numFmtId="164" fontId="18" fillId="0" borderId="0" xfId="26" applyNumberFormat="1" applyFont="1" applyFill="1"/>
    <xf numFmtId="193" fontId="28" fillId="0" borderId="9" xfId="0" applyNumberFormat="1" applyFont="1" applyBorder="1"/>
    <xf numFmtId="193" fontId="28" fillId="0" borderId="0" xfId="0" applyNumberFormat="1" applyFont="1" applyBorder="1"/>
    <xf numFmtId="193" fontId="26" fillId="0" borderId="10" xfId="0" applyNumberFormat="1" applyFont="1" applyBorder="1"/>
    <xf numFmtId="193" fontId="26" fillId="0" borderId="1" xfId="0" applyNumberFormat="1" applyFont="1" applyBorder="1"/>
    <xf numFmtId="185" fontId="28" fillId="0" borderId="10" xfId="0" applyNumberFormat="1" applyFont="1" applyBorder="1" applyAlignment="1">
      <alignment horizontal="right"/>
    </xf>
    <xf numFmtId="0" fontId="18" fillId="0" borderId="3" xfId="22" applyFont="1" applyBorder="1" applyAlignment="1">
      <alignment horizontal="left" vertical="center"/>
    </xf>
    <xf numFmtId="186" fontId="18" fillId="0" borderId="0" xfId="2" applyNumberFormat="1" applyFont="1"/>
    <xf numFmtId="170" fontId="18" fillId="0" borderId="0" xfId="2" applyNumberFormat="1" applyFont="1"/>
    <xf numFmtId="176" fontId="18" fillId="0" borderId="0" xfId="2" applyNumberFormat="1" applyFont="1"/>
    <xf numFmtId="187" fontId="18" fillId="0" borderId="0" xfId="2" applyNumberFormat="1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0" fontId="11" fillId="0" borderId="0" xfId="7" applyFont="1" applyAlignment="1" applyProtection="1">
      <alignment horizontal="center" wrapText="1"/>
      <protection locked="0"/>
    </xf>
    <xf numFmtId="0" fontId="13" fillId="0" borderId="2" xfId="7" applyFont="1" applyBorder="1" applyAlignment="1" applyProtection="1">
      <alignment horizontal="center" vertical="center"/>
      <protection locked="0"/>
    </xf>
    <xf numFmtId="49" fontId="11" fillId="0" borderId="0" xfId="19" applyNumberFormat="1" applyFont="1" applyAlignment="1">
      <alignment horizontal="center" wrapText="1"/>
    </xf>
    <xf numFmtId="0" fontId="11" fillId="0" borderId="0" xfId="2" applyFont="1" applyAlignment="1">
      <alignment horizontal="center" wrapText="1"/>
    </xf>
    <xf numFmtId="168" fontId="13" fillId="0" borderId="2" xfId="19" applyNumberFormat="1" applyFont="1" applyBorder="1" applyAlignment="1">
      <alignment horizontal="center" vertical="center"/>
    </xf>
    <xf numFmtId="0" fontId="13" fillId="0" borderId="2" xfId="19" applyFont="1" applyBorder="1" applyAlignment="1">
      <alignment horizontal="center" vertical="center"/>
    </xf>
    <xf numFmtId="49" fontId="13" fillId="0" borderId="2" xfId="19" applyNumberFormat="1" applyFont="1" applyBorder="1" applyAlignment="1">
      <alignment horizontal="center" vertical="center"/>
    </xf>
    <xf numFmtId="49" fontId="13" fillId="0" borderId="2" xfId="19" applyNumberFormat="1" applyFont="1" applyBorder="1" applyAlignment="1">
      <alignment horizontal="center" vertical="center" wrapText="1"/>
    </xf>
    <xf numFmtId="49" fontId="13" fillId="0" borderId="2" xfId="19" applyNumberFormat="1" applyFont="1" applyBorder="1" applyAlignment="1">
      <alignment horizontal="center" vertical="top" wrapText="1"/>
    </xf>
    <xf numFmtId="0" fontId="24" fillId="0" borderId="2" xfId="20" applyFont="1" applyBorder="1" applyAlignment="1">
      <alignment horizontal="center" vertical="center"/>
    </xf>
    <xf numFmtId="49" fontId="24" fillId="0" borderId="2" xfId="20" applyNumberFormat="1" applyFont="1" applyBorder="1" applyAlignment="1">
      <alignment horizontal="center" vertical="center"/>
    </xf>
    <xf numFmtId="49" fontId="24" fillId="0" borderId="2" xfId="20" applyNumberFormat="1" applyFont="1" applyBorder="1" applyAlignment="1">
      <alignment horizontal="center" vertical="center" wrapText="1"/>
    </xf>
    <xf numFmtId="49" fontId="22" fillId="0" borderId="0" xfId="20" applyNumberFormat="1" applyFont="1" applyAlignment="1">
      <alignment horizontal="center" wrapText="1"/>
    </xf>
    <xf numFmtId="0" fontId="22" fillId="0" borderId="0" xfId="2" applyFont="1" applyAlignment="1">
      <alignment horizontal="center" wrapText="1"/>
    </xf>
    <xf numFmtId="49" fontId="22" fillId="0" borderId="0" xfId="20" applyNumberFormat="1" applyFont="1" applyBorder="1" applyAlignment="1">
      <alignment horizontal="center"/>
    </xf>
    <xf numFmtId="49" fontId="11" fillId="0" borderId="0" xfId="19" applyNumberFormat="1" applyFont="1" applyAlignment="1">
      <alignment horizontal="center"/>
    </xf>
    <xf numFmtId="0" fontId="11" fillId="0" borderId="0" xfId="21" applyFont="1" applyAlignment="1">
      <alignment horizontal="center"/>
    </xf>
    <xf numFmtId="0" fontId="13" fillId="0" borderId="2" xfId="21" applyFont="1" applyBorder="1" applyAlignment="1">
      <alignment horizontal="center" vertical="center"/>
    </xf>
    <xf numFmtId="0" fontId="13" fillId="0" borderId="2" xfId="19" applyFont="1" applyBorder="1" applyAlignment="1">
      <alignment horizontal="center" vertical="top"/>
    </xf>
    <xf numFmtId="49" fontId="11" fillId="0" borderId="0" xfId="14" applyNumberFormat="1" applyFont="1" applyAlignment="1">
      <alignment horizontal="center"/>
    </xf>
    <xf numFmtId="49" fontId="11" fillId="0" borderId="0" xfId="14" applyNumberFormat="1" applyFont="1" applyBorder="1" applyAlignment="1">
      <alignment horizontal="center"/>
    </xf>
    <xf numFmtId="0" fontId="9" fillId="0" borderId="11" xfId="0" applyFont="1" applyBorder="1" applyAlignment="1">
      <alignment horizontal="center" vertical="center" wrapText="1"/>
    </xf>
    <xf numFmtId="0" fontId="43" fillId="0" borderId="1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43" fillId="0" borderId="2" xfId="0" applyFont="1" applyBorder="1" applyAlignment="1">
      <alignment horizontal="center"/>
    </xf>
    <xf numFmtId="49" fontId="11" fillId="0" borderId="0" xfId="22" applyNumberFormat="1" applyFont="1" applyAlignment="1">
      <alignment horizontal="center" wrapText="1"/>
    </xf>
    <xf numFmtId="0" fontId="13" fillId="0" borderId="2" xfId="14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49" fontId="11" fillId="0" borderId="1" xfId="22" applyNumberFormat="1" applyFont="1" applyBorder="1" applyAlignment="1">
      <alignment horizontal="center" wrapText="1"/>
    </xf>
    <xf numFmtId="49" fontId="17" fillId="0" borderId="0" xfId="22" applyNumberFormat="1" applyFont="1" applyAlignment="1">
      <alignment horizontal="center" wrapText="1"/>
    </xf>
    <xf numFmtId="0" fontId="13" fillId="0" borderId="2" xfId="22" applyFont="1" applyBorder="1" applyAlignment="1">
      <alignment horizontal="center" vertical="center"/>
    </xf>
    <xf numFmtId="49" fontId="13" fillId="0" borderId="6" xfId="22" applyNumberFormat="1" applyFont="1" applyBorder="1" applyAlignment="1">
      <alignment horizontal="center" vertical="center"/>
    </xf>
    <xf numFmtId="49" fontId="13" fillId="0" borderId="8" xfId="22" applyNumberFormat="1" applyFont="1" applyBorder="1" applyAlignment="1">
      <alignment horizontal="center" vertical="center"/>
    </xf>
    <xf numFmtId="49" fontId="13" fillId="0" borderId="4" xfId="22" applyNumberFormat="1" applyFont="1" applyBorder="1" applyAlignment="1">
      <alignment horizontal="center" vertical="center"/>
    </xf>
    <xf numFmtId="49" fontId="13" fillId="0" borderId="10" xfId="22" applyNumberFormat="1" applyFont="1" applyBorder="1" applyAlignment="1">
      <alignment horizontal="center" vertical="center"/>
    </xf>
    <xf numFmtId="49" fontId="13" fillId="0" borderId="1" xfId="22" applyNumberFormat="1" applyFont="1" applyBorder="1" applyAlignment="1">
      <alignment horizontal="center" vertical="center"/>
    </xf>
    <xf numFmtId="49" fontId="13" fillId="0" borderId="7" xfId="22" applyNumberFormat="1" applyFont="1" applyBorder="1" applyAlignment="1">
      <alignment horizontal="center" vertical="center"/>
    </xf>
    <xf numFmtId="49" fontId="13" fillId="0" borderId="6" xfId="22" applyNumberFormat="1" applyFont="1" applyBorder="1" applyAlignment="1">
      <alignment horizontal="center" vertical="center" wrapText="1"/>
    </xf>
    <xf numFmtId="49" fontId="13" fillId="0" borderId="4" xfId="22" applyNumberFormat="1" applyFont="1" applyBorder="1" applyAlignment="1">
      <alignment horizontal="center" vertical="center" wrapText="1"/>
    </xf>
    <xf numFmtId="49" fontId="13" fillId="0" borderId="10" xfId="22" applyNumberFormat="1" applyFont="1" applyBorder="1" applyAlignment="1">
      <alignment horizontal="center" vertical="center" wrapText="1"/>
    </xf>
    <xf numFmtId="49" fontId="13" fillId="0" borderId="7" xfId="22" applyNumberFormat="1" applyFont="1" applyBorder="1" applyAlignment="1">
      <alignment horizontal="center" vertical="center" wrapText="1"/>
    </xf>
    <xf numFmtId="0" fontId="11" fillId="0" borderId="0" xfId="23" applyFont="1" applyAlignment="1">
      <alignment horizontal="center" wrapText="1"/>
    </xf>
    <xf numFmtId="0" fontId="13" fillId="0" borderId="2" xfId="23" applyFont="1" applyBorder="1" applyAlignment="1">
      <alignment horizontal="center" vertical="center"/>
    </xf>
    <xf numFmtId="49" fontId="13" fillId="0" borderId="13" xfId="23" applyNumberFormat="1" applyFont="1" applyBorder="1" applyAlignment="1">
      <alignment horizontal="center" vertical="center"/>
    </xf>
    <xf numFmtId="49" fontId="13" fillId="0" borderId="14" xfId="23" applyNumberFormat="1" applyFont="1" applyBorder="1" applyAlignment="1">
      <alignment horizontal="center" vertical="center"/>
    </xf>
    <xf numFmtId="49" fontId="13" fillId="0" borderId="5" xfId="23" applyNumberFormat="1" applyFont="1" applyBorder="1" applyAlignment="1">
      <alignment horizontal="center" vertical="center"/>
    </xf>
    <xf numFmtId="0" fontId="11" fillId="0" borderId="0" xfId="24" applyFont="1" applyAlignment="1">
      <alignment horizontal="center" wrapText="1"/>
    </xf>
    <xf numFmtId="0" fontId="13" fillId="0" borderId="2" xfId="24" applyFont="1" applyBorder="1" applyAlignment="1">
      <alignment horizontal="center" vertical="center"/>
    </xf>
    <xf numFmtId="49" fontId="13" fillId="0" borderId="13" xfId="24" applyNumberFormat="1" applyFont="1" applyBorder="1" applyAlignment="1">
      <alignment horizontal="center" vertical="center"/>
    </xf>
    <xf numFmtId="49" fontId="13" fillId="0" borderId="14" xfId="24" applyNumberFormat="1" applyFont="1" applyBorder="1" applyAlignment="1">
      <alignment horizontal="center" vertical="center"/>
    </xf>
    <xf numFmtId="49" fontId="13" fillId="0" borderId="5" xfId="24" applyNumberFormat="1" applyFont="1" applyBorder="1" applyAlignment="1">
      <alignment horizontal="center" vertical="center"/>
    </xf>
    <xf numFmtId="49" fontId="11" fillId="0" borderId="0" xfId="25" applyNumberFormat="1" applyFont="1" applyAlignment="1">
      <alignment horizontal="center" wrapText="1"/>
    </xf>
    <xf numFmtId="0" fontId="11" fillId="0" borderId="0" xfId="0" applyFont="1" applyAlignment="1">
      <alignment horizontal="center" wrapText="1"/>
    </xf>
    <xf numFmtId="49" fontId="13" fillId="0" borderId="2" xfId="25" applyNumberFormat="1" applyFont="1" applyBorder="1" applyAlignment="1">
      <alignment horizontal="center" vertical="center"/>
    </xf>
    <xf numFmtId="49" fontId="13" fillId="0" borderId="5" xfId="25" applyNumberFormat="1" applyFont="1" applyBorder="1" applyAlignment="1">
      <alignment horizontal="center"/>
    </xf>
    <xf numFmtId="49" fontId="13" fillId="0" borderId="2" xfId="25" applyNumberFormat="1" applyFont="1" applyBorder="1" applyAlignment="1">
      <alignment horizontal="center"/>
    </xf>
    <xf numFmtId="49" fontId="11" fillId="0" borderId="0" xfId="25" applyNumberFormat="1" applyFont="1" applyBorder="1" applyAlignment="1">
      <alignment horizontal="center" wrapText="1"/>
    </xf>
    <xf numFmtId="0" fontId="11" fillId="0" borderId="0" xfId="0" applyFont="1" applyBorder="1" applyAlignment="1">
      <alignment horizontal="center" wrapText="1"/>
    </xf>
    <xf numFmtId="0" fontId="13" fillId="0" borderId="13" xfId="11" applyFont="1" applyBorder="1" applyAlignment="1" applyProtection="1">
      <alignment horizontal="center" vertical="center"/>
      <protection locked="0"/>
    </xf>
    <xf numFmtId="0" fontId="13" fillId="0" borderId="14" xfId="11" applyFont="1" applyBorder="1" applyAlignment="1" applyProtection="1">
      <alignment horizontal="center" vertical="center"/>
      <protection locked="0"/>
    </xf>
    <xf numFmtId="0" fontId="13" fillId="0" borderId="5" xfId="11" applyFont="1" applyBorder="1" applyAlignment="1" applyProtection="1">
      <alignment horizontal="center" vertical="center"/>
      <protection locked="0"/>
    </xf>
    <xf numFmtId="49" fontId="13" fillId="0" borderId="2" xfId="25" applyNumberFormat="1" applyFont="1" applyBorder="1" applyAlignment="1">
      <alignment horizontal="center" vertical="center" wrapText="1"/>
    </xf>
    <xf numFmtId="49" fontId="13" fillId="0" borderId="11" xfId="25" applyNumberFormat="1" applyFont="1" applyBorder="1" applyAlignment="1">
      <alignment horizontal="center" vertical="center"/>
    </xf>
    <xf numFmtId="49" fontId="13" fillId="0" borderId="15" xfId="25" applyNumberFormat="1" applyFont="1" applyBorder="1" applyAlignment="1">
      <alignment horizontal="center" vertical="center"/>
    </xf>
    <xf numFmtId="201" fontId="48" fillId="0" borderId="0" xfId="0" applyNumberFormat="1" applyFont="1" applyAlignment="1">
      <alignment horizontal="center"/>
    </xf>
    <xf numFmtId="0" fontId="28" fillId="0" borderId="5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13" fillId="0" borderId="2" xfId="16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17" fillId="0" borderId="0" xfId="16" applyFont="1" applyAlignment="1">
      <alignment horizontal="center" wrapText="1"/>
    </xf>
    <xf numFmtId="0" fontId="17" fillId="0" borderId="0" xfId="0" applyFont="1" applyAlignment="1">
      <alignment horizontal="center" wrapText="1"/>
    </xf>
    <xf numFmtId="1" fontId="16" fillId="0" borderId="0" xfId="2" applyNumberFormat="1" applyFont="1" applyAlignment="1">
      <alignment horizontal="center" wrapText="1"/>
    </xf>
    <xf numFmtId="49" fontId="19" fillId="0" borderId="6" xfId="13" applyNumberFormat="1" applyFont="1" applyBorder="1" applyAlignment="1">
      <alignment horizontal="center" vertical="center" wrapText="1"/>
    </xf>
    <xf numFmtId="49" fontId="19" fillId="0" borderId="8" xfId="13" applyNumberFormat="1" applyFont="1" applyBorder="1" applyAlignment="1">
      <alignment horizontal="center" vertical="center" wrapText="1"/>
    </xf>
    <xf numFmtId="49" fontId="19" fillId="0" borderId="10" xfId="13" applyNumberFormat="1" applyFont="1" applyBorder="1" applyAlignment="1">
      <alignment horizontal="center" vertical="center" wrapText="1"/>
    </xf>
    <xf numFmtId="49" fontId="19" fillId="0" borderId="1" xfId="13" applyNumberFormat="1" applyFont="1" applyBorder="1" applyAlignment="1">
      <alignment horizontal="center" vertical="center" wrapText="1"/>
    </xf>
    <xf numFmtId="49" fontId="19" fillId="0" borderId="4" xfId="13" applyNumberFormat="1" applyFont="1" applyBorder="1" applyAlignment="1">
      <alignment horizontal="center" vertical="center" wrapText="1"/>
    </xf>
    <xf numFmtId="49" fontId="19" fillId="0" borderId="7" xfId="13" applyNumberFormat="1" applyFont="1" applyBorder="1" applyAlignment="1">
      <alignment horizontal="center" vertical="center" wrapText="1"/>
    </xf>
    <xf numFmtId="172" fontId="11" fillId="0" borderId="0" xfId="13" applyFont="1" applyBorder="1" applyAlignment="1">
      <alignment horizontal="center" wrapText="1"/>
    </xf>
    <xf numFmtId="172" fontId="13" fillId="0" borderId="0" xfId="13" applyFont="1" applyBorder="1" applyAlignment="1">
      <alignment horizontal="center" wrapText="1"/>
    </xf>
    <xf numFmtId="0" fontId="13" fillId="0" borderId="0" xfId="2" applyFont="1" applyBorder="1" applyAlignment="1">
      <alignment horizontal="center" wrapText="1"/>
    </xf>
    <xf numFmtId="172" fontId="13" fillId="0" borderId="2" xfId="13" applyFont="1" applyBorder="1" applyAlignment="1">
      <alignment horizontal="center" vertical="center"/>
    </xf>
    <xf numFmtId="172" fontId="33" fillId="0" borderId="0" xfId="13" applyFont="1" applyBorder="1" applyAlignment="1">
      <alignment horizontal="center" wrapText="1"/>
    </xf>
    <xf numFmtId="172" fontId="13" fillId="0" borderId="2" xfId="12" applyFont="1" applyBorder="1" applyAlignment="1">
      <alignment horizontal="center" vertical="center"/>
    </xf>
    <xf numFmtId="49" fontId="13" fillId="0" borderId="2" xfId="12" applyNumberFormat="1" applyFont="1" applyBorder="1" applyAlignment="1">
      <alignment horizontal="center" vertical="center" wrapText="1"/>
    </xf>
    <xf numFmtId="49" fontId="11" fillId="0" borderId="0" xfId="15" applyNumberFormat="1" applyFont="1" applyAlignment="1">
      <alignment horizontal="center"/>
    </xf>
    <xf numFmtId="49" fontId="11" fillId="0" borderId="0" xfId="15" applyNumberFormat="1" applyFont="1" applyAlignment="1">
      <alignment horizontal="center" wrapText="1"/>
    </xf>
    <xf numFmtId="0" fontId="13" fillId="0" borderId="2" xfId="15" applyFont="1" applyBorder="1" applyAlignment="1">
      <alignment horizontal="center" vertical="center"/>
    </xf>
    <xf numFmtId="49" fontId="13" fillId="0" borderId="5" xfId="15" applyNumberFormat="1" applyFont="1" applyBorder="1" applyAlignment="1">
      <alignment horizontal="center" vertical="center"/>
    </xf>
    <xf numFmtId="49" fontId="13" fillId="0" borderId="2" xfId="15" applyNumberFormat="1" applyFont="1" applyBorder="1" applyAlignment="1">
      <alignment horizontal="center" vertical="center"/>
    </xf>
    <xf numFmtId="0" fontId="11" fillId="0" borderId="0" xfId="9" applyFont="1" applyAlignment="1" applyProtection="1">
      <alignment horizontal="center" wrapText="1"/>
      <protection locked="0"/>
    </xf>
    <xf numFmtId="0" fontId="13" fillId="0" borderId="2" xfId="9" applyFont="1" applyBorder="1" applyAlignment="1" applyProtection="1">
      <alignment horizontal="center" vertical="center"/>
      <protection locked="0"/>
    </xf>
    <xf numFmtId="0" fontId="17" fillId="0" borderId="2" xfId="9" applyFont="1" applyBorder="1" applyAlignment="1" applyProtection="1">
      <alignment horizontal="center" vertical="center"/>
      <protection locked="0"/>
    </xf>
    <xf numFmtId="49" fontId="11" fillId="0" borderId="0" xfId="17" applyNumberFormat="1" applyFont="1" applyAlignment="1">
      <alignment horizontal="center" wrapText="1"/>
    </xf>
    <xf numFmtId="0" fontId="13" fillId="0" borderId="2" xfId="17" applyFont="1" applyBorder="1" applyAlignment="1">
      <alignment horizontal="center" vertical="center"/>
    </xf>
    <xf numFmtId="49" fontId="13" fillId="0" borderId="5" xfId="17" applyNumberFormat="1" applyFont="1" applyBorder="1" applyAlignment="1">
      <alignment horizontal="center" vertical="center"/>
    </xf>
    <xf numFmtId="49" fontId="13" fillId="0" borderId="2" xfId="17" applyNumberFormat="1" applyFont="1" applyBorder="1" applyAlignment="1">
      <alignment horizontal="center" vertical="center"/>
    </xf>
    <xf numFmtId="49" fontId="13" fillId="0" borderId="2" xfId="17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49" fontId="13" fillId="0" borderId="5" xfId="18" applyNumberFormat="1" applyFont="1" applyBorder="1" applyAlignment="1">
      <alignment horizontal="center" vertical="center" wrapText="1"/>
    </xf>
    <xf numFmtId="49" fontId="13" fillId="0" borderId="2" xfId="18" applyNumberFormat="1" applyFont="1" applyBorder="1" applyAlignment="1">
      <alignment horizontal="center" vertical="center" wrapText="1"/>
    </xf>
    <xf numFmtId="0" fontId="13" fillId="0" borderId="6" xfId="18" applyFont="1" applyBorder="1" applyAlignment="1">
      <alignment horizontal="center" vertical="center" wrapText="1"/>
    </xf>
    <xf numFmtId="0" fontId="13" fillId="0" borderId="4" xfId="18" applyFont="1" applyBorder="1" applyAlignment="1">
      <alignment horizontal="center" vertical="center" wrapText="1"/>
    </xf>
    <xf numFmtId="0" fontId="13" fillId="0" borderId="10" xfId="18" applyFont="1" applyBorder="1" applyAlignment="1">
      <alignment horizontal="center" vertical="center" wrapText="1"/>
    </xf>
    <xf numFmtId="0" fontId="13" fillId="0" borderId="7" xfId="18" applyFont="1" applyBorder="1" applyAlignment="1">
      <alignment horizontal="center" vertical="center" wrapText="1"/>
    </xf>
  </cellXfs>
  <cellStyles count="27">
    <cellStyle name="Гиперссылка" xfId="1" builtinId="8"/>
    <cellStyle name="Обычный" xfId="0" builtinId="0"/>
    <cellStyle name="Обычный 2" xfId="2"/>
    <cellStyle name="Обычный 3" xfId="3"/>
    <cellStyle name="Обычный 6" xfId="4"/>
    <cellStyle name="Обычный_Gol_edn" xfId="5"/>
    <cellStyle name="Обычный_Лист1" xfId="6"/>
    <cellStyle name="Обычный_ТАБ_1" xfId="7"/>
    <cellStyle name="Обычный_ТАБ_10" xfId="8"/>
    <cellStyle name="Обычный_ТАБ_13" xfId="9"/>
    <cellStyle name="Обычный_ТАБ_15" xfId="10"/>
    <cellStyle name="Обычный_ТАБ_9" xfId="11"/>
    <cellStyle name="Обычный_ТАБЛ10~1" xfId="12"/>
    <cellStyle name="Обычный_ТАБЛ11~1" xfId="13"/>
    <cellStyle name="Обычный_ТАБЛ12~1" xfId="14"/>
    <cellStyle name="Обычный_ТАБЛ12~1 2" xfId="15"/>
    <cellStyle name="Обычный_ТАБЛ14~1" xfId="16"/>
    <cellStyle name="Обычный_ТАБЛ15~1" xfId="17"/>
    <cellStyle name="Обычный_ТАБЛ16~1" xfId="18"/>
    <cellStyle name="Обычный_ТАБЛ2~1" xfId="19"/>
    <cellStyle name="Обычный_ТАБЛ3~1 2" xfId="20"/>
    <cellStyle name="Обычный_ТАБЛ4~1" xfId="21"/>
    <cellStyle name="Обычный_ТАБЛ5~1" xfId="22"/>
    <cellStyle name="Обычный_ТАБЛ6~1 2" xfId="23"/>
    <cellStyle name="Обычный_ТАБЛ7~1" xfId="24"/>
    <cellStyle name="Обычный_ТАБЛ8~1 2" xfId="25"/>
    <cellStyle name="Финансовый 2" xf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762000</xdr:colOff>
      <xdr:row>38</xdr:row>
      <xdr:rowOff>133350</xdr:rowOff>
    </xdr:to>
    <xdr:sp macro="" textlink="">
      <xdr:nvSpPr>
        <xdr:cNvPr id="1027" name="Object 1" hidden="1"/>
        <xdr:cNvSpPr>
          <a:spLocks noChangeArrowheads="1"/>
        </xdr:cNvSpPr>
      </xdr:nvSpPr>
      <xdr:spPr bwMode="auto">
        <a:xfrm>
          <a:off x="0" y="0"/>
          <a:ext cx="8705850" cy="6296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41</xdr:row>
      <xdr:rowOff>19050</xdr:rowOff>
    </xdr:from>
    <xdr:to>
      <xdr:col>11</xdr:col>
      <xdr:colOff>657225</xdr:colOff>
      <xdr:row>77</xdr:row>
      <xdr:rowOff>123825</xdr:rowOff>
    </xdr:to>
    <xdr:sp macro="" textlink="">
      <xdr:nvSpPr>
        <xdr:cNvPr id="1028" name="Object 2" hidden="1"/>
        <xdr:cNvSpPr>
          <a:spLocks noChangeArrowheads="1"/>
        </xdr:cNvSpPr>
      </xdr:nvSpPr>
      <xdr:spPr bwMode="auto">
        <a:xfrm>
          <a:off x="0" y="6667500"/>
          <a:ext cx="8601075" cy="593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762000</xdr:colOff>
      <xdr:row>38</xdr:row>
      <xdr:rowOff>133350</xdr:rowOff>
    </xdr:to>
    <xdr:pic>
      <xdr:nvPicPr>
        <xdr:cNvPr id="102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705850" cy="6296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41</xdr:row>
      <xdr:rowOff>19050</xdr:rowOff>
    </xdr:from>
    <xdr:to>
      <xdr:col>11</xdr:col>
      <xdr:colOff>657225</xdr:colOff>
      <xdr:row>77</xdr:row>
      <xdr:rowOff>133350</xdr:rowOff>
    </xdr:to>
    <xdr:pic>
      <xdr:nvPicPr>
        <xdr:cNvPr id="103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00"/>
          <a:ext cx="8601075" cy="5943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11</xdr:col>
          <xdr:colOff>762000</xdr:colOff>
          <xdr:row>38</xdr:row>
          <xdr:rowOff>133350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19050</xdr:rowOff>
        </xdr:from>
        <xdr:to>
          <xdr:col>11</xdr:col>
          <xdr:colOff>657225</xdr:colOff>
          <xdr:row>77</xdr:row>
          <xdr:rowOff>133350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7</xdr:row>
      <xdr:rowOff>200025</xdr:rowOff>
    </xdr:from>
    <xdr:to>
      <xdr:col>6</xdr:col>
      <xdr:colOff>123825</xdr:colOff>
      <xdr:row>7</xdr:row>
      <xdr:rowOff>361950</xdr:rowOff>
    </xdr:to>
    <xdr:sp macro="" textlink="">
      <xdr:nvSpPr>
        <xdr:cNvPr id="2051" name="Object 2" hidden="1"/>
        <xdr:cNvSpPr>
          <a:spLocks noChangeArrowheads="1"/>
        </xdr:cNvSpPr>
      </xdr:nvSpPr>
      <xdr:spPr bwMode="auto">
        <a:xfrm>
          <a:off x="6600825" y="1990725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7</xdr:row>
      <xdr:rowOff>200025</xdr:rowOff>
    </xdr:from>
    <xdr:to>
      <xdr:col>6</xdr:col>
      <xdr:colOff>123825</xdr:colOff>
      <xdr:row>7</xdr:row>
      <xdr:rowOff>361950</xdr:rowOff>
    </xdr:to>
    <xdr:pic>
      <xdr:nvPicPr>
        <xdr:cNvPr id="205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0825" y="1990725"/>
          <a:ext cx="12382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</xdr:row>
          <xdr:rowOff>200025</xdr:rowOff>
        </xdr:from>
        <xdr:to>
          <xdr:col>6</xdr:col>
          <xdr:colOff>123825</xdr:colOff>
          <xdr:row>7</xdr:row>
          <xdr:rowOff>361950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5.emf"/><Relationship Id="rId4" Type="http://schemas.openxmlformats.org/officeDocument/2006/relationships/oleObject" Target="../embeddings/oleObject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3:M31"/>
  <sheetViews>
    <sheetView tabSelected="1" zoomScaleNormal="100" workbookViewId="0">
      <selection activeCell="I39" sqref="I39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74" t="s">
        <v>0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</row>
    <row r="4" spans="1:13" x14ac:dyDescent="0.25">
      <c r="D4" s="475"/>
      <c r="E4" s="475"/>
      <c r="F4" s="475"/>
      <c r="G4" s="475"/>
    </row>
    <row r="5" spans="1:13" ht="15.75" x14ac:dyDescent="0.25">
      <c r="B5" s="474"/>
      <c r="C5" s="474"/>
      <c r="D5" s="474"/>
      <c r="E5" s="474"/>
      <c r="F5" s="474"/>
      <c r="G5" s="474"/>
      <c r="H5" s="474"/>
      <c r="I5" s="474"/>
      <c r="J5" s="474"/>
      <c r="K5" s="474"/>
    </row>
    <row r="13" spans="1:13" ht="20.25" x14ac:dyDescent="0.3">
      <c r="B13" s="476" t="s">
        <v>1</v>
      </c>
      <c r="C13" s="476"/>
      <c r="D13" s="476"/>
      <c r="E13" s="476"/>
      <c r="F13" s="476"/>
      <c r="G13" s="476"/>
      <c r="H13" s="476"/>
      <c r="I13" s="476"/>
      <c r="J13" s="476"/>
      <c r="K13" s="476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76" t="s">
        <v>2</v>
      </c>
      <c r="C15" s="476"/>
      <c r="D15" s="476"/>
      <c r="E15" s="476"/>
      <c r="F15" s="476"/>
      <c r="G15" s="476"/>
      <c r="H15" s="476"/>
      <c r="I15" s="476"/>
      <c r="J15" s="476"/>
      <c r="K15" s="476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76" t="s">
        <v>233</v>
      </c>
      <c r="C17" s="476"/>
      <c r="D17" s="476"/>
      <c r="E17" s="476"/>
      <c r="F17" s="476"/>
      <c r="G17" s="476"/>
      <c r="H17" s="476"/>
      <c r="I17" s="476"/>
      <c r="J17" s="476"/>
      <c r="K17" s="476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77" t="s">
        <v>3</v>
      </c>
      <c r="C21" s="478"/>
      <c r="D21" s="478"/>
      <c r="E21" s="478"/>
      <c r="F21" s="478"/>
      <c r="G21" s="478"/>
      <c r="H21" s="478"/>
      <c r="I21" s="478"/>
      <c r="J21" s="478"/>
      <c r="K21" s="478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74" t="s">
        <v>356</v>
      </c>
      <c r="C31" s="474"/>
      <c r="D31" s="474"/>
      <c r="E31" s="474"/>
      <c r="F31" s="474"/>
      <c r="G31" s="474"/>
      <c r="H31" s="474"/>
      <c r="I31" s="474"/>
      <c r="J31" s="474"/>
      <c r="K31" s="474"/>
    </row>
  </sheetData>
  <mergeCells count="8">
    <mergeCell ref="B31:K31"/>
    <mergeCell ref="A3:M3"/>
    <mergeCell ref="D4:G4"/>
    <mergeCell ref="B5:K5"/>
    <mergeCell ref="B13:K13"/>
    <mergeCell ref="B15:K15"/>
    <mergeCell ref="B17:K17"/>
    <mergeCell ref="B21:K21"/>
  </mergeCells>
  <phoneticPr fontId="49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3:M31"/>
  <sheetViews>
    <sheetView topLeftCell="A2" workbookViewId="0">
      <selection activeCell="G35" sqref="G35"/>
    </sheetView>
  </sheetViews>
  <sheetFormatPr defaultRowHeight="15" x14ac:dyDescent="0.25"/>
  <cols>
    <col min="1" max="12" width="10.28515625" style="1" customWidth="1"/>
  </cols>
  <sheetData>
    <row r="3" spans="1:13" ht="15.75" x14ac:dyDescent="0.25">
      <c r="A3" s="474" t="s">
        <v>0</v>
      </c>
      <c r="B3" s="474"/>
      <c r="C3" s="474"/>
      <c r="D3" s="474"/>
      <c r="E3" s="474"/>
      <c r="F3" s="474"/>
      <c r="G3" s="474"/>
      <c r="H3" s="474"/>
      <c r="I3" s="474"/>
      <c r="J3" s="474"/>
      <c r="K3" s="474"/>
      <c r="L3" s="474"/>
      <c r="M3" s="474"/>
    </row>
    <row r="4" spans="1:13" x14ac:dyDescent="0.25">
      <c r="D4" s="475"/>
      <c r="E4" s="475"/>
      <c r="F4" s="475"/>
      <c r="G4" s="475"/>
    </row>
    <row r="5" spans="1:13" ht="15.75" x14ac:dyDescent="0.25">
      <c r="B5" s="474"/>
      <c r="C5" s="474"/>
      <c r="D5" s="474"/>
      <c r="E5" s="474"/>
      <c r="F5" s="474"/>
      <c r="G5" s="474"/>
      <c r="H5" s="474"/>
      <c r="I5" s="474"/>
      <c r="J5" s="474"/>
      <c r="K5" s="474"/>
    </row>
    <row r="13" spans="1:13" ht="20.25" x14ac:dyDescent="0.3">
      <c r="B13" s="476" t="s">
        <v>1</v>
      </c>
      <c r="C13" s="476"/>
      <c r="D13" s="476"/>
      <c r="E13" s="476"/>
      <c r="F13" s="476"/>
      <c r="G13" s="476"/>
      <c r="H13" s="476"/>
      <c r="I13" s="476"/>
      <c r="J13" s="476"/>
      <c r="K13" s="476"/>
    </row>
    <row r="14" spans="1:13" ht="20.25" x14ac:dyDescent="0.3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3" ht="20.25" x14ac:dyDescent="0.3">
      <c r="B15" s="476" t="s">
        <v>2</v>
      </c>
      <c r="C15" s="476"/>
      <c r="D15" s="476"/>
      <c r="E15" s="476"/>
      <c r="F15" s="476"/>
      <c r="G15" s="476"/>
      <c r="H15" s="476"/>
      <c r="I15" s="476"/>
      <c r="J15" s="476"/>
      <c r="K15" s="476"/>
    </row>
    <row r="16" spans="1:13" ht="20.25" x14ac:dyDescent="0.3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customFormat="1" ht="20.25" x14ac:dyDescent="0.3">
      <c r="B17" s="476" t="s">
        <v>233</v>
      </c>
      <c r="C17" s="476"/>
      <c r="D17" s="476"/>
      <c r="E17" s="476"/>
      <c r="F17" s="476"/>
      <c r="G17" s="476"/>
      <c r="H17" s="476"/>
      <c r="I17" s="476"/>
      <c r="J17" s="476"/>
      <c r="K17" s="476"/>
    </row>
    <row r="18" spans="2:11" customFormat="1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</row>
    <row r="20" spans="2:11" customFormat="1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2:11" customFormat="1" ht="18.75" x14ac:dyDescent="0.3">
      <c r="B21" s="477" t="s">
        <v>3</v>
      </c>
      <c r="C21" s="478"/>
      <c r="D21" s="478"/>
      <c r="E21" s="478"/>
      <c r="F21" s="478"/>
      <c r="G21" s="478"/>
      <c r="H21" s="478"/>
      <c r="I21" s="478"/>
      <c r="J21" s="478"/>
      <c r="K21" s="478"/>
    </row>
    <row r="22" spans="2:11" customFormat="1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2:11" customFormat="1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</row>
    <row r="29" spans="2:11" customFormat="1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</row>
    <row r="31" spans="2:11" customFormat="1" ht="15.75" x14ac:dyDescent="0.25">
      <c r="B31" s="474" t="s">
        <v>356</v>
      </c>
      <c r="C31" s="474"/>
      <c r="D31" s="474"/>
      <c r="E31" s="474"/>
      <c r="F31" s="474"/>
      <c r="G31" s="474"/>
      <c r="H31" s="474"/>
      <c r="I31" s="474"/>
      <c r="J31" s="474"/>
      <c r="K31" s="474"/>
    </row>
  </sheetData>
  <mergeCells count="8">
    <mergeCell ref="B21:K21"/>
    <mergeCell ref="B31:K31"/>
    <mergeCell ref="A3:M3"/>
    <mergeCell ref="D4:G4"/>
    <mergeCell ref="B5:K5"/>
    <mergeCell ref="B13:K13"/>
    <mergeCell ref="B15:K15"/>
    <mergeCell ref="B17:K17"/>
  </mergeCells>
  <phoneticPr fontId="49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B1:E38"/>
  <sheetViews>
    <sheetView zoomScaleNormal="100" zoomScaleSheetLayoutView="90" workbookViewId="0">
      <selection activeCell="C31" sqref="C31"/>
    </sheetView>
  </sheetViews>
  <sheetFormatPr defaultColWidth="10.28515625" defaultRowHeight="14.25" x14ac:dyDescent="0.2"/>
  <cols>
    <col min="1" max="1" width="2.140625" style="258" customWidth="1"/>
    <col min="2" max="2" width="6.140625" style="258" customWidth="1"/>
    <col min="3" max="3" width="125.42578125" style="258" customWidth="1"/>
    <col min="4" max="4" width="6" style="223" customWidth="1"/>
    <col min="5" max="16384" width="10.28515625" style="258"/>
  </cols>
  <sheetData>
    <row r="1" spans="2:5" x14ac:dyDescent="0.2">
      <c r="C1" s="259"/>
    </row>
    <row r="2" spans="2:5" ht="27.75" customHeight="1" x14ac:dyDescent="0.2">
      <c r="B2" s="357" t="s">
        <v>4</v>
      </c>
      <c r="C2" s="260" t="s">
        <v>5</v>
      </c>
      <c r="D2" s="358" t="s">
        <v>6</v>
      </c>
    </row>
    <row r="3" spans="2:5" x14ac:dyDescent="0.2">
      <c r="B3" s="261"/>
      <c r="C3" s="223"/>
      <c r="D3" s="359"/>
    </row>
    <row r="4" spans="2:5" ht="15" customHeight="1" x14ac:dyDescent="0.2">
      <c r="B4" s="261"/>
      <c r="C4" s="361" t="s">
        <v>355</v>
      </c>
      <c r="D4" s="268">
        <v>3</v>
      </c>
    </row>
    <row r="5" spans="2:5" ht="15" customHeight="1" x14ac:dyDescent="0.2">
      <c r="B5" s="360">
        <v>1</v>
      </c>
      <c r="C5" s="361" t="s">
        <v>334</v>
      </c>
      <c r="D5" s="268">
        <v>5</v>
      </c>
    </row>
    <row r="6" spans="2:5" ht="15" customHeight="1" x14ac:dyDescent="0.2">
      <c r="B6" s="360">
        <v>2</v>
      </c>
      <c r="C6" s="361" t="s">
        <v>335</v>
      </c>
      <c r="D6" s="268">
        <v>6</v>
      </c>
    </row>
    <row r="7" spans="2:5" ht="15" customHeight="1" x14ac:dyDescent="0.2">
      <c r="B7" s="360">
        <v>3</v>
      </c>
      <c r="C7" s="361" t="s">
        <v>336</v>
      </c>
      <c r="D7" s="268">
        <v>9</v>
      </c>
    </row>
    <row r="8" spans="2:5" ht="15" customHeight="1" x14ac:dyDescent="0.2">
      <c r="B8" s="360">
        <v>4</v>
      </c>
      <c r="C8" s="361" t="s">
        <v>337</v>
      </c>
      <c r="D8" s="268">
        <v>12</v>
      </c>
    </row>
    <row r="9" spans="2:5" ht="15" customHeight="1" x14ac:dyDescent="0.2">
      <c r="B9" s="360">
        <v>5</v>
      </c>
      <c r="C9" s="361" t="s">
        <v>338</v>
      </c>
      <c r="D9" s="268">
        <v>15</v>
      </c>
      <c r="E9" s="262"/>
    </row>
    <row r="10" spans="2:5" ht="15" customHeight="1" x14ac:dyDescent="0.2">
      <c r="B10" s="360">
        <v>6</v>
      </c>
      <c r="C10" s="361" t="s">
        <v>339</v>
      </c>
      <c r="D10" s="268">
        <v>18</v>
      </c>
      <c r="E10" s="262"/>
    </row>
    <row r="11" spans="2:5" ht="15" customHeight="1" x14ac:dyDescent="0.2">
      <c r="B11" s="360">
        <v>7</v>
      </c>
      <c r="C11" s="361" t="s">
        <v>340</v>
      </c>
      <c r="D11" s="268">
        <v>19</v>
      </c>
      <c r="E11" s="262"/>
    </row>
    <row r="12" spans="2:5" s="263" customFormat="1" ht="15" customHeight="1" x14ac:dyDescent="0.2">
      <c r="B12" s="360">
        <v>8</v>
      </c>
      <c r="C12" s="361" t="s">
        <v>341</v>
      </c>
      <c r="D12" s="268">
        <v>20</v>
      </c>
    </row>
    <row r="13" spans="2:5" s="263" customFormat="1" ht="15" customHeight="1" x14ac:dyDescent="0.2">
      <c r="B13" s="360">
        <v>9</v>
      </c>
      <c r="C13" s="361" t="s">
        <v>342</v>
      </c>
      <c r="D13" s="268">
        <v>22</v>
      </c>
    </row>
    <row r="14" spans="2:5" s="263" customFormat="1" ht="15" customHeight="1" x14ac:dyDescent="0.2">
      <c r="B14" s="360">
        <v>10</v>
      </c>
      <c r="C14" s="361" t="s">
        <v>343</v>
      </c>
      <c r="D14" s="268">
        <v>25</v>
      </c>
    </row>
    <row r="15" spans="2:5" s="263" customFormat="1" ht="15" customHeight="1" x14ac:dyDescent="0.2">
      <c r="B15" s="360">
        <v>11</v>
      </c>
      <c r="C15" s="361" t="s">
        <v>344</v>
      </c>
      <c r="D15" s="268">
        <v>28</v>
      </c>
    </row>
    <row r="16" spans="2:5" s="263" customFormat="1" ht="15" customHeight="1" x14ac:dyDescent="0.2">
      <c r="B16" s="360">
        <v>12</v>
      </c>
      <c r="C16" s="361" t="s">
        <v>345</v>
      </c>
      <c r="D16" s="268">
        <v>31</v>
      </c>
    </row>
    <row r="17" spans="2:4" s="263" customFormat="1" ht="15" customHeight="1" x14ac:dyDescent="0.2">
      <c r="B17" s="360">
        <v>13</v>
      </c>
      <c r="C17" s="361" t="s">
        <v>346</v>
      </c>
      <c r="D17" s="268">
        <v>34</v>
      </c>
    </row>
    <row r="18" spans="2:4" s="263" customFormat="1" ht="15" customHeight="1" x14ac:dyDescent="0.2">
      <c r="B18" s="360">
        <v>14</v>
      </c>
      <c r="C18" s="361" t="s">
        <v>347</v>
      </c>
      <c r="D18" s="268">
        <v>35</v>
      </c>
    </row>
    <row r="19" spans="2:4" s="263" customFormat="1" ht="15" customHeight="1" x14ac:dyDescent="0.2">
      <c r="B19" s="360">
        <v>15</v>
      </c>
      <c r="C19" s="361" t="s">
        <v>348</v>
      </c>
      <c r="D19" s="268">
        <v>38</v>
      </c>
    </row>
    <row r="20" spans="2:4" s="263" customFormat="1" ht="15" customHeight="1" x14ac:dyDescent="0.2">
      <c r="B20" s="360">
        <v>16</v>
      </c>
      <c r="C20" s="361" t="s">
        <v>349</v>
      </c>
      <c r="D20" s="268">
        <v>41</v>
      </c>
    </row>
    <row r="21" spans="2:4" s="263" customFormat="1" ht="15" customHeight="1" x14ac:dyDescent="0.2">
      <c r="B21" s="360">
        <v>17</v>
      </c>
      <c r="C21" s="361" t="s">
        <v>350</v>
      </c>
      <c r="D21" s="268">
        <v>44</v>
      </c>
    </row>
    <row r="22" spans="2:4" s="263" customFormat="1" ht="15" customHeight="1" x14ac:dyDescent="0.2">
      <c r="B22" s="360">
        <v>18</v>
      </c>
      <c r="C22" s="361" t="s">
        <v>351</v>
      </c>
      <c r="D22" s="268">
        <v>45</v>
      </c>
    </row>
    <row r="23" spans="2:4" s="263" customFormat="1" ht="15" customHeight="1" x14ac:dyDescent="0.2">
      <c r="B23" s="360">
        <v>19</v>
      </c>
      <c r="C23" s="361" t="s">
        <v>352</v>
      </c>
      <c r="D23" s="268">
        <v>48</v>
      </c>
    </row>
    <row r="24" spans="2:4" s="263" customFormat="1" ht="15" customHeight="1" x14ac:dyDescent="0.2">
      <c r="B24" s="360">
        <v>20</v>
      </c>
      <c r="C24" s="361" t="s">
        <v>353</v>
      </c>
      <c r="D24" s="268">
        <v>51</v>
      </c>
    </row>
    <row r="25" spans="2:4" s="263" customFormat="1" ht="15" customHeight="1" x14ac:dyDescent="0.2">
      <c r="B25" s="360">
        <v>21</v>
      </c>
      <c r="C25" s="361" t="s">
        <v>354</v>
      </c>
      <c r="D25" s="268">
        <v>54</v>
      </c>
    </row>
    <row r="26" spans="2:4" s="265" customFormat="1" x14ac:dyDescent="0.2">
      <c r="B26" s="264"/>
      <c r="C26" s="257"/>
      <c r="D26" s="223"/>
    </row>
    <row r="27" spans="2:4" s="263" customFormat="1" ht="15.75" customHeight="1" x14ac:dyDescent="0.2">
      <c r="B27" s="223"/>
      <c r="C27" s="223"/>
      <c r="D27" s="223"/>
    </row>
    <row r="28" spans="2:4" s="263" customFormat="1" x14ac:dyDescent="0.2">
      <c r="B28" s="223"/>
      <c r="C28" s="223"/>
      <c r="D28" s="223"/>
    </row>
    <row r="29" spans="2:4" s="263" customFormat="1" x14ac:dyDescent="0.2">
      <c r="B29" s="223"/>
      <c r="C29" s="223"/>
      <c r="D29" s="223"/>
    </row>
    <row r="30" spans="2:4" s="263" customFormat="1" x14ac:dyDescent="0.2">
      <c r="B30" s="223"/>
      <c r="C30" s="223"/>
      <c r="D30" s="223"/>
    </row>
    <row r="31" spans="2:4" s="263" customFormat="1" x14ac:dyDescent="0.2">
      <c r="B31" s="266"/>
      <c r="C31" s="267"/>
      <c r="D31" s="223"/>
    </row>
    <row r="32" spans="2:4" s="263" customFormat="1" x14ac:dyDescent="0.2">
      <c r="B32" s="266"/>
      <c r="C32" s="267"/>
      <c r="D32" s="223"/>
    </row>
    <row r="33" spans="4:4" s="263" customFormat="1" x14ac:dyDescent="0.2">
      <c r="D33" s="223"/>
    </row>
    <row r="34" spans="4:4" s="263" customFormat="1" x14ac:dyDescent="0.2">
      <c r="D34" s="223"/>
    </row>
    <row r="35" spans="4:4" s="263" customFormat="1" x14ac:dyDescent="0.2">
      <c r="D35" s="223"/>
    </row>
    <row r="36" spans="4:4" s="263" customFormat="1" x14ac:dyDescent="0.2">
      <c r="D36" s="223"/>
    </row>
    <row r="37" spans="4:4" s="263" customFormat="1" x14ac:dyDescent="0.2">
      <c r="D37" s="223"/>
    </row>
    <row r="38" spans="4:4" s="263" customFormat="1" x14ac:dyDescent="0.2">
      <c r="D38" s="223"/>
    </row>
  </sheetData>
  <phoneticPr fontId="49" type="noConversion"/>
  <hyperlinks>
    <hyperlink ref="C4" location="предисловие!A1" display="Предисловие…………………………………………………………………………………………………………...………………………………..……………………………….."/>
    <hyperlink ref="C5" location="'ТАБ_1 '!A1" display="Общие итоги естественного движения населения в Российской Федерации……………………………………….………………………………………"/>
    <hyperlink ref="C6" location="ТАБ_2!A1" display="Родившиеся, умершие и естественный прирост населения по субъектам Российской Федерации………………………………...……………………"/>
    <hyperlink ref="C7" location="ТАБ_3!A1" display="Общие коэффициенты рождаемости, смертности, естественного прироста населения по субъектам Российской Федерации……………..…"/>
    <hyperlink ref="C8" location="ТАБ_4!A1" display="Родившиеся  живыми у  женщин,  не состоявших в зарегистрированном браке, по субъектам Российской Федерации……………….……"/>
    <hyperlink ref="C9" location="ТАБ_5!A1" display="Родившиеся вне брака по возрасту матери по субъектам Российской Федерации в 2016 году……………………………………………………….…….."/>
    <hyperlink ref="C10" location="ТАБ_6!A1" display="Число родившихся живыми по возрасту матери и очередности рождения в Российской Федерации в 2016 году……………………………...………"/>
    <hyperlink ref="C11" location="ТАБ_7!A1" display="Число родившихся живыми по возрасту и образованию матери в 2016 году…………………………………………………………………………..………."/>
    <hyperlink ref="C12" location="ТАБ_8!A1" display="Смертность населения по основным классам и отдельным причинам смерти……………………………………………………………………..…...….."/>
    <hyperlink ref="C13" location="ТАБ_9!A1" display="Умершие по основным классам причин смерти по субъектам  Российской Федерации…………………………………………………….……………."/>
    <hyperlink ref="C14" location="ТАБ_10!A1" display="Cмертность населения по основным классам причин смерти по субъектам Российской Федерации………………………………………..…………….."/>
    <hyperlink ref="C15" location="ТАБ_11!A1" display="Число умерших от внешних причин смерти по субъектам Российской Федерации……………………………………………………………...……………"/>
    <hyperlink ref="C16" location="ТАБ_12!A1" display="Смертность населения от внешних причин смерти по субъектам Российской Федерации…………………………………………………………..……………."/>
    <hyperlink ref="C17" location="ТАБ_13!A1" display="Умершие по возрастным группам и основным классам причин смерти в 2016 году…………………………………………………………….………………"/>
    <hyperlink ref="C18" location="ТАБ_14!A1" display="Материнская смертность по субъектам Российской Федерации…………………………………………………………………………………...…………………"/>
    <hyperlink ref="C19" location="ТАБ_15!A1" display="Перинатальная смертность по субъектам Российской Федерации………………………………………………………………………………….………………."/>
    <hyperlink ref="C20" location="ТАБ_16!A1" display="Младенческая смертность по субъектам Российской Федерации……………………………………………………………………………….………….."/>
    <hyperlink ref="C21" location="ТАБ_17!A1" display="Младенческая смертность в Российской Федерации по основным классам и отдельным причинам смерти……………………………...………………."/>
    <hyperlink ref="C22" location="ТАБ_18!A1" display="Умершие в возрасте до 1 года по основным классам причин смерти  по субъектам Российской Федерации…………………………….……………"/>
    <hyperlink ref="C23" location="ТАБ_19!A1" display="Коэффициенты младенческой смертности по основным классам причин смерти по субъектам Российской Федерации…………………...…….."/>
    <hyperlink ref="C24" location="ТАБ_20!A1" display="Число браков и разводов по субъектам Российской Федерации………………………………………………………………………………………...……."/>
    <hyperlink ref="C25" location="ТАБ_21!A1" display="Общие коэффициенты брачности и разводимости по субъектам Российской Федерации………………………………………………………….……."/>
  </hyperlinks>
  <printOptions horizontalCentered="1"/>
  <pageMargins left="0" right="0" top="0.74803149606299213" bottom="0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4"/>
  <dimension ref="A6"/>
  <sheetViews>
    <sheetView topLeftCell="A54" zoomScaleNormal="100" workbookViewId="0">
      <selection activeCell="N62" sqref="N62"/>
    </sheetView>
  </sheetViews>
  <sheetFormatPr defaultColWidth="10.28515625" defaultRowHeight="12.75" x14ac:dyDescent="0.2"/>
  <cols>
    <col min="1" max="1" width="27.7109375" style="3" customWidth="1"/>
    <col min="2" max="11" width="9.140625" style="3" customWidth="1"/>
    <col min="12" max="12" width="15.42578125" style="3" customWidth="1"/>
    <col min="13" max="16384" width="10.28515625" style="3"/>
  </cols>
  <sheetData>
    <row r="6" ht="13.5" customHeight="1" x14ac:dyDescent="0.2"/>
  </sheetData>
  <phoneticPr fontId="49" type="noConversion"/>
  <pageMargins left="0.78740157480314965" right="0.19685039370078741" top="0.70866141732283472" bottom="0.6692913385826772" header="0.31496062992125984" footer="0.51181102362204722"/>
  <pageSetup paperSize="9" firstPageNumber="3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Документ" shapeId="1025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11</xdr:col>
                <xdr:colOff>762000</xdr:colOff>
                <xdr:row>38</xdr:row>
                <xdr:rowOff>133350</xdr:rowOff>
              </to>
            </anchor>
          </objectPr>
        </oleObject>
      </mc:Choice>
      <mc:Fallback>
        <oleObject progId="Документ" shapeId="1025" r:id="rId4"/>
      </mc:Fallback>
    </mc:AlternateContent>
    <mc:AlternateContent xmlns:mc="http://schemas.openxmlformats.org/markup-compatibility/2006">
      <mc:Choice Requires="x14">
        <oleObject progId="Документ" shapeId="1026" r:id="rId6">
          <objectPr defaultSize="0" r:id="rId7">
            <anchor moveWithCells="1">
              <from>
                <xdr:col>0</xdr:col>
                <xdr:colOff>0</xdr:colOff>
                <xdr:row>41</xdr:row>
                <xdr:rowOff>19050</xdr:rowOff>
              </from>
              <to>
                <xdr:col>11</xdr:col>
                <xdr:colOff>657225</xdr:colOff>
                <xdr:row>77</xdr:row>
                <xdr:rowOff>133350</xdr:rowOff>
              </to>
            </anchor>
          </objectPr>
        </oleObject>
      </mc:Choice>
      <mc:Fallback>
        <oleObject progId="Документ" shapeId="1026" r:id="rId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5"/>
  <dimension ref="A1:K16"/>
  <sheetViews>
    <sheetView zoomScaleNormal="100" zoomScaleSheetLayoutView="100" workbookViewId="0">
      <selection activeCell="C20" sqref="C20"/>
    </sheetView>
  </sheetViews>
  <sheetFormatPr defaultColWidth="10.28515625" defaultRowHeight="12.75" x14ac:dyDescent="0.2"/>
  <cols>
    <col min="1" max="1" width="30.5703125" style="5" customWidth="1"/>
    <col min="2" max="3" width="13.7109375" style="5" customWidth="1"/>
    <col min="4" max="4" width="13.5703125" style="5" customWidth="1"/>
    <col min="5" max="6" width="13.7109375" style="5" customWidth="1"/>
    <col min="7" max="16384" width="10.28515625" style="7"/>
  </cols>
  <sheetData>
    <row r="1" spans="1:11" s="4" customFormat="1" ht="15.75" x14ac:dyDescent="0.25">
      <c r="A1" s="480" t="s">
        <v>321</v>
      </c>
      <c r="B1" s="480"/>
      <c r="C1" s="480"/>
      <c r="D1" s="480"/>
      <c r="E1" s="480"/>
      <c r="F1" s="480"/>
    </row>
    <row r="2" spans="1:11" s="4" customFormat="1" ht="15.75" x14ac:dyDescent="0.25">
      <c r="A2" s="480" t="s">
        <v>320</v>
      </c>
      <c r="B2" s="480"/>
      <c r="C2" s="480"/>
      <c r="D2" s="480"/>
      <c r="E2" s="480"/>
      <c r="F2" s="480"/>
    </row>
    <row r="3" spans="1:11" s="6" customFormat="1" ht="15" x14ac:dyDescent="0.2">
      <c r="A3" s="5"/>
      <c r="B3" s="5"/>
      <c r="C3" s="5"/>
      <c r="D3" s="5"/>
      <c r="E3" s="5"/>
      <c r="F3" s="5"/>
    </row>
    <row r="4" spans="1:11" s="6" customFormat="1" ht="15" x14ac:dyDescent="0.2">
      <c r="A4" s="481"/>
      <c r="B4" s="481" t="s">
        <v>221</v>
      </c>
      <c r="C4" s="481"/>
      <c r="D4" s="481"/>
      <c r="E4" s="481" t="s">
        <v>222</v>
      </c>
      <c r="F4" s="481"/>
    </row>
    <row r="5" spans="1:11" s="6" customFormat="1" ht="30" customHeight="1" x14ac:dyDescent="0.2">
      <c r="A5" s="481"/>
      <c r="B5" s="295" t="s">
        <v>234</v>
      </c>
      <c r="C5" s="295" t="s">
        <v>230</v>
      </c>
      <c r="D5" s="225" t="s">
        <v>220</v>
      </c>
      <c r="E5" s="295" t="s">
        <v>234</v>
      </c>
      <c r="F5" s="295" t="s">
        <v>230</v>
      </c>
    </row>
    <row r="6" spans="1:11" s="6" customFormat="1" ht="24.95" customHeight="1" x14ac:dyDescent="0.2">
      <c r="A6" s="238" t="s">
        <v>235</v>
      </c>
      <c r="B6" s="171">
        <v>1888729</v>
      </c>
      <c r="C6" s="171">
        <v>1940579</v>
      </c>
      <c r="D6" s="171">
        <f>B6-C6</f>
        <v>-51850</v>
      </c>
      <c r="E6" s="149">
        <v>12.9</v>
      </c>
      <c r="F6" s="149">
        <v>13.3</v>
      </c>
    </row>
    <row r="7" spans="1:11" s="6" customFormat="1" ht="24.95" customHeight="1" x14ac:dyDescent="0.2">
      <c r="A7" s="239" t="s">
        <v>236</v>
      </c>
      <c r="B7" s="171">
        <v>1891015</v>
      </c>
      <c r="C7" s="171">
        <v>1908541</v>
      </c>
      <c r="D7" s="171">
        <f>B7-C7</f>
        <v>-17526</v>
      </c>
      <c r="E7" s="149">
        <v>12.9</v>
      </c>
      <c r="F7" s="149">
        <v>13</v>
      </c>
      <c r="H7" s="6" t="s">
        <v>210</v>
      </c>
    </row>
    <row r="8" spans="1:11" s="6" customFormat="1" ht="30" customHeight="1" x14ac:dyDescent="0.2">
      <c r="A8" s="240" t="s">
        <v>239</v>
      </c>
      <c r="B8" s="171">
        <v>11428</v>
      </c>
      <c r="C8" s="171">
        <v>12664</v>
      </c>
      <c r="D8" s="171">
        <f>B8-C8</f>
        <v>-1236</v>
      </c>
      <c r="E8" s="224" t="s">
        <v>357</v>
      </c>
      <c r="F8" s="224" t="s">
        <v>240</v>
      </c>
    </row>
    <row r="9" spans="1:11" s="6" customFormat="1" ht="24.95" customHeight="1" x14ac:dyDescent="0.2">
      <c r="A9" s="241" t="s">
        <v>7</v>
      </c>
      <c r="B9" s="171">
        <v>-2286</v>
      </c>
      <c r="C9" s="171">
        <v>32038</v>
      </c>
      <c r="D9" s="369" t="s">
        <v>358</v>
      </c>
      <c r="E9" s="368">
        <v>-0.01</v>
      </c>
      <c r="F9" s="149">
        <v>0.3</v>
      </c>
      <c r="K9" s="6" t="s">
        <v>241</v>
      </c>
    </row>
    <row r="10" spans="1:11" s="6" customFormat="1" ht="24.95" customHeight="1" x14ac:dyDescent="0.2">
      <c r="A10" s="239" t="s">
        <v>237</v>
      </c>
      <c r="B10" s="171">
        <v>985836</v>
      </c>
      <c r="C10" s="171">
        <v>1161068</v>
      </c>
      <c r="D10" s="171">
        <f>B10-C10</f>
        <v>-175232</v>
      </c>
      <c r="E10" s="149">
        <v>6.7</v>
      </c>
      <c r="F10" s="149">
        <v>7.9</v>
      </c>
    </row>
    <row r="11" spans="1:11" s="6" customFormat="1" ht="24.95" customHeight="1" x14ac:dyDescent="0.2">
      <c r="A11" s="317" t="s">
        <v>238</v>
      </c>
      <c r="B11" s="318">
        <v>608336</v>
      </c>
      <c r="C11" s="318">
        <v>611646</v>
      </c>
      <c r="D11" s="318">
        <f>B11-C11</f>
        <v>-3310</v>
      </c>
      <c r="E11" s="319">
        <v>4.0999999999999996</v>
      </c>
      <c r="F11" s="319">
        <v>4.2</v>
      </c>
    </row>
    <row r="12" spans="1:11" s="6" customFormat="1" ht="15" x14ac:dyDescent="0.2">
      <c r="A12" s="5"/>
      <c r="B12" s="5"/>
      <c r="C12" s="5"/>
      <c r="D12" s="5"/>
      <c r="E12" s="5"/>
      <c r="F12" s="5"/>
    </row>
    <row r="13" spans="1:11" s="6" customFormat="1" ht="15" x14ac:dyDescent="0.2">
      <c r="A13" s="479" t="s">
        <v>229</v>
      </c>
      <c r="B13" s="479"/>
      <c r="C13" s="479"/>
      <c r="D13" s="479"/>
      <c r="E13" s="479"/>
      <c r="F13" s="479"/>
    </row>
    <row r="14" spans="1:11" s="6" customFormat="1" ht="25.5" customHeight="1" x14ac:dyDescent="0.2">
      <c r="A14" s="5"/>
      <c r="B14" s="5"/>
      <c r="C14" s="5"/>
      <c r="D14" s="5"/>
      <c r="E14" s="5"/>
      <c r="F14" s="5"/>
    </row>
    <row r="15" spans="1:11" s="6" customFormat="1" ht="16.5" customHeight="1" x14ac:dyDescent="0.2">
      <c r="A15" s="5"/>
      <c r="B15" s="5"/>
      <c r="C15" s="5"/>
      <c r="D15" s="5"/>
      <c r="E15" s="5"/>
      <c r="F15" s="5"/>
    </row>
    <row r="16" spans="1:11" ht="17.25" customHeight="1" x14ac:dyDescent="0.2"/>
  </sheetData>
  <mergeCells count="6">
    <mergeCell ref="A13:F13"/>
    <mergeCell ref="A1:F1"/>
    <mergeCell ref="A4:A5"/>
    <mergeCell ref="B4:D4"/>
    <mergeCell ref="E4:F4"/>
    <mergeCell ref="A2:F2"/>
  </mergeCells>
  <phoneticPr fontId="49" type="noConversion"/>
  <printOptions horizontalCentered="1"/>
  <pageMargins left="1.3385826771653544" right="0.78740157480314965" top="0.70866141732283472" bottom="0.98425196850393704" header="0.31496062992125984" footer="0.31496062992125984"/>
  <pageSetup paperSize="9" firstPageNumber="5" orientation="landscape" useFirstPageNumber="1" r:id="rId1"/>
  <headerFooter alignWithMargins="0">
    <oddHeader>&amp;C&amp;"Arial,обычный"&amp;10 &amp;P</oddHeader>
  </headerFooter>
  <drawing r:id="rId2"/>
  <legacyDrawing r:id="rId3"/>
  <oleObjects>
    <mc:AlternateContent xmlns:mc="http://schemas.openxmlformats.org/markup-compatibility/2006">
      <mc:Choice Requires="x14">
        <oleObject progId="Word.Document.8" shapeId="2050" r:id="rId4">
          <objectPr defaultSize="0" autoPict="0" r:id="rId5">
            <anchor moveWithCells="1">
              <from>
                <xdr:col>6</xdr:col>
                <xdr:colOff>0</xdr:colOff>
                <xdr:row>7</xdr:row>
                <xdr:rowOff>200025</xdr:rowOff>
              </from>
              <to>
                <xdr:col>6</xdr:col>
                <xdr:colOff>123825</xdr:colOff>
                <xdr:row>7</xdr:row>
                <xdr:rowOff>361950</xdr:rowOff>
              </to>
            </anchor>
          </objectPr>
        </oleObject>
      </mc:Choice>
      <mc:Fallback>
        <oleObject progId="Word.Document.8" shapeId="2050" r:id="rId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M162"/>
  <sheetViews>
    <sheetView zoomScaleNormal="100" zoomScaleSheetLayoutView="100" workbookViewId="0">
      <selection sqref="A1:I1"/>
    </sheetView>
  </sheetViews>
  <sheetFormatPr defaultColWidth="33" defaultRowHeight="14.1" customHeight="1" x14ac:dyDescent="0.2"/>
  <cols>
    <col min="1" max="1" width="41.7109375" style="5" customWidth="1"/>
    <col min="2" max="9" width="10.7109375" style="5" customWidth="1"/>
    <col min="10" max="16384" width="33" style="9"/>
  </cols>
  <sheetData>
    <row r="1" spans="1:13" s="8" customFormat="1" ht="15" customHeight="1" x14ac:dyDescent="0.25">
      <c r="A1" s="482" t="s">
        <v>8</v>
      </c>
      <c r="B1" s="483"/>
      <c r="C1" s="483"/>
      <c r="D1" s="483"/>
      <c r="E1" s="483"/>
      <c r="F1" s="483"/>
      <c r="G1" s="483"/>
      <c r="H1" s="483"/>
      <c r="I1" s="483"/>
    </row>
    <row r="3" spans="1:13" ht="15" customHeight="1" x14ac:dyDescent="0.2">
      <c r="A3" s="484"/>
      <c r="B3" s="486" t="s">
        <v>9</v>
      </c>
      <c r="C3" s="486"/>
      <c r="D3" s="487" t="s">
        <v>10</v>
      </c>
      <c r="E3" s="486" t="s">
        <v>11</v>
      </c>
      <c r="F3" s="486"/>
      <c r="G3" s="487" t="s">
        <v>10</v>
      </c>
      <c r="H3" s="488" t="s">
        <v>12</v>
      </c>
      <c r="I3" s="488"/>
    </row>
    <row r="4" spans="1:13" ht="15" customHeight="1" x14ac:dyDescent="0.2">
      <c r="A4" s="485"/>
      <c r="B4" s="486"/>
      <c r="C4" s="486"/>
      <c r="D4" s="487"/>
      <c r="E4" s="486"/>
      <c r="F4" s="486"/>
      <c r="G4" s="487"/>
      <c r="H4" s="488"/>
      <c r="I4" s="488"/>
    </row>
    <row r="5" spans="1:13" ht="15" customHeight="1" x14ac:dyDescent="0.2">
      <c r="A5" s="485"/>
      <c r="B5" s="226" t="s">
        <v>234</v>
      </c>
      <c r="C5" s="295" t="s">
        <v>230</v>
      </c>
      <c r="D5" s="487"/>
      <c r="E5" s="226" t="s">
        <v>234</v>
      </c>
      <c r="F5" s="295" t="s">
        <v>230</v>
      </c>
      <c r="G5" s="487"/>
      <c r="H5" s="226" t="s">
        <v>234</v>
      </c>
      <c r="I5" s="295" t="s">
        <v>230</v>
      </c>
    </row>
    <row r="6" spans="1:13" s="8" customFormat="1" ht="14.1" customHeight="1" x14ac:dyDescent="0.25">
      <c r="A6" s="242" t="s">
        <v>13</v>
      </c>
      <c r="B6" s="10">
        <v>1888729</v>
      </c>
      <c r="C6" s="10">
        <v>1940579</v>
      </c>
      <c r="D6" s="10">
        <f>B6-C6</f>
        <v>-51850</v>
      </c>
      <c r="E6" s="184">
        <v>1891015</v>
      </c>
      <c r="F6" s="184">
        <v>1908541</v>
      </c>
      <c r="G6" s="10">
        <f>E6-F6</f>
        <v>-17526</v>
      </c>
      <c r="H6" s="152">
        <v>-2286</v>
      </c>
      <c r="I6" s="152">
        <v>32038</v>
      </c>
      <c r="J6" s="151"/>
      <c r="K6" s="151"/>
      <c r="L6" s="151"/>
      <c r="M6" s="151"/>
    </row>
    <row r="7" spans="1:13" s="8" customFormat="1" ht="14.1" customHeight="1" x14ac:dyDescent="0.25">
      <c r="A7" s="228" t="s">
        <v>14</v>
      </c>
      <c r="B7" s="10">
        <v>455865</v>
      </c>
      <c r="C7" s="10">
        <v>456969</v>
      </c>
      <c r="D7" s="10">
        <f t="shared" ref="D7:D70" si="0">B7-C7</f>
        <v>-1104</v>
      </c>
      <c r="E7" s="184">
        <v>526885</v>
      </c>
      <c r="F7" s="184">
        <v>525885</v>
      </c>
      <c r="G7" s="10">
        <f t="shared" ref="G7:G70" si="1">E7-F7</f>
        <v>1000</v>
      </c>
      <c r="H7" s="152">
        <v>-71020</v>
      </c>
      <c r="I7" s="152">
        <v>-68916</v>
      </c>
      <c r="J7" s="151"/>
      <c r="K7" s="151"/>
    </row>
    <row r="8" spans="1:13" ht="14.1" customHeight="1" x14ac:dyDescent="0.25">
      <c r="A8" s="229" t="s">
        <v>15</v>
      </c>
      <c r="B8" s="11">
        <v>17247</v>
      </c>
      <c r="C8" s="11">
        <v>17773</v>
      </c>
      <c r="D8" s="11">
        <f t="shared" si="0"/>
        <v>-526</v>
      </c>
      <c r="E8" s="185">
        <v>21586</v>
      </c>
      <c r="F8" s="185">
        <v>21490</v>
      </c>
      <c r="G8" s="11">
        <f t="shared" si="1"/>
        <v>96</v>
      </c>
      <c r="H8" s="153">
        <v>-4339</v>
      </c>
      <c r="I8" s="153">
        <v>-3717</v>
      </c>
      <c r="J8" s="151"/>
      <c r="K8" s="151"/>
    </row>
    <row r="9" spans="1:13" ht="14.1" customHeight="1" x14ac:dyDescent="0.25">
      <c r="A9" s="229" t="s">
        <v>16</v>
      </c>
      <c r="B9" s="11">
        <v>13364</v>
      </c>
      <c r="C9" s="11">
        <v>14070</v>
      </c>
      <c r="D9" s="11">
        <f t="shared" si="0"/>
        <v>-706</v>
      </c>
      <c r="E9" s="185">
        <v>19042</v>
      </c>
      <c r="F9" s="185">
        <v>19447</v>
      </c>
      <c r="G9" s="11">
        <f t="shared" si="1"/>
        <v>-405</v>
      </c>
      <c r="H9" s="153">
        <v>-5678</v>
      </c>
      <c r="I9" s="153">
        <v>-5377</v>
      </c>
      <c r="J9" s="151"/>
      <c r="K9" s="151"/>
    </row>
    <row r="10" spans="1:13" ht="14.1" customHeight="1" x14ac:dyDescent="0.25">
      <c r="A10" s="229" t="s">
        <v>17</v>
      </c>
      <c r="B10" s="11">
        <v>15654</v>
      </c>
      <c r="C10" s="11">
        <v>16214</v>
      </c>
      <c r="D10" s="11">
        <f t="shared" si="0"/>
        <v>-560</v>
      </c>
      <c r="E10" s="185">
        <v>22947</v>
      </c>
      <c r="F10" s="185">
        <v>23117</v>
      </c>
      <c r="G10" s="11">
        <f t="shared" si="1"/>
        <v>-170</v>
      </c>
      <c r="H10" s="153">
        <v>-7293</v>
      </c>
      <c r="I10" s="153">
        <v>-6903</v>
      </c>
      <c r="J10" s="151"/>
      <c r="K10" s="151"/>
    </row>
    <row r="11" spans="1:13" ht="14.1" customHeight="1" x14ac:dyDescent="0.25">
      <c r="A11" s="229" t="s">
        <v>18</v>
      </c>
      <c r="B11" s="11">
        <v>24936</v>
      </c>
      <c r="C11" s="11">
        <v>25801</v>
      </c>
      <c r="D11" s="11">
        <f t="shared" si="0"/>
        <v>-865</v>
      </c>
      <c r="E11" s="185">
        <v>35551</v>
      </c>
      <c r="F11" s="185">
        <v>35684</v>
      </c>
      <c r="G11" s="11">
        <f t="shared" si="1"/>
        <v>-133</v>
      </c>
      <c r="H11" s="153">
        <v>-10615</v>
      </c>
      <c r="I11" s="153">
        <v>-9883</v>
      </c>
      <c r="J11" s="151"/>
      <c r="K11" s="151"/>
    </row>
    <row r="12" spans="1:13" ht="14.1" customHeight="1" x14ac:dyDescent="0.25">
      <c r="A12" s="229" t="s">
        <v>19</v>
      </c>
      <c r="B12" s="11">
        <v>11147</v>
      </c>
      <c r="C12" s="11">
        <v>11753</v>
      </c>
      <c r="D12" s="11">
        <f t="shared" si="0"/>
        <v>-606</v>
      </c>
      <c r="E12" s="185">
        <v>16489</v>
      </c>
      <c r="F12" s="185">
        <v>16584</v>
      </c>
      <c r="G12" s="11">
        <f t="shared" si="1"/>
        <v>-95</v>
      </c>
      <c r="H12" s="153">
        <v>-5342</v>
      </c>
      <c r="I12" s="153">
        <v>-4831</v>
      </c>
      <c r="J12" s="151"/>
      <c r="K12" s="151"/>
    </row>
    <row r="13" spans="1:13" ht="14.1" customHeight="1" x14ac:dyDescent="0.25">
      <c r="A13" s="229" t="s">
        <v>20</v>
      </c>
      <c r="B13" s="11">
        <v>12252</v>
      </c>
      <c r="C13" s="11">
        <v>12774</v>
      </c>
      <c r="D13" s="11">
        <f t="shared" si="0"/>
        <v>-522</v>
      </c>
      <c r="E13" s="185">
        <v>15210</v>
      </c>
      <c r="F13" s="185">
        <v>15200</v>
      </c>
      <c r="G13" s="11">
        <f t="shared" si="1"/>
        <v>10</v>
      </c>
      <c r="H13" s="153">
        <v>-2958</v>
      </c>
      <c r="I13" s="153">
        <v>-2426</v>
      </c>
      <c r="J13" s="151"/>
      <c r="K13" s="151"/>
    </row>
    <row r="14" spans="1:13" ht="14.1" customHeight="1" x14ac:dyDescent="0.25">
      <c r="A14" s="230" t="s">
        <v>21</v>
      </c>
      <c r="B14" s="11">
        <v>7829</v>
      </c>
      <c r="C14" s="11">
        <v>8151</v>
      </c>
      <c r="D14" s="11">
        <f t="shared" si="0"/>
        <v>-322</v>
      </c>
      <c r="E14" s="185">
        <v>10148</v>
      </c>
      <c r="F14" s="185">
        <v>10454</v>
      </c>
      <c r="G14" s="11">
        <f t="shared" si="1"/>
        <v>-306</v>
      </c>
      <c r="H14" s="153">
        <v>-2319</v>
      </c>
      <c r="I14" s="153">
        <v>-2303</v>
      </c>
      <c r="J14" s="151"/>
      <c r="K14" s="151"/>
    </row>
    <row r="15" spans="1:13" ht="14.1" customHeight="1" x14ac:dyDescent="0.25">
      <c r="A15" s="229" t="s">
        <v>22</v>
      </c>
      <c r="B15" s="11">
        <v>12403</v>
      </c>
      <c r="C15" s="11">
        <v>13032</v>
      </c>
      <c r="D15" s="11">
        <f t="shared" si="0"/>
        <v>-629</v>
      </c>
      <c r="E15" s="185">
        <v>18015</v>
      </c>
      <c r="F15" s="185">
        <v>18205</v>
      </c>
      <c r="G15" s="11">
        <f t="shared" si="1"/>
        <v>-190</v>
      </c>
      <c r="H15" s="153">
        <v>-5612</v>
      </c>
      <c r="I15" s="153">
        <v>-5173</v>
      </c>
      <c r="J15" s="151"/>
      <c r="K15" s="151"/>
    </row>
    <row r="16" spans="1:13" ht="14.1" customHeight="1" x14ac:dyDescent="0.25">
      <c r="A16" s="229" t="s">
        <v>23</v>
      </c>
      <c r="B16" s="11">
        <v>13094</v>
      </c>
      <c r="C16" s="11">
        <v>13428</v>
      </c>
      <c r="D16" s="11">
        <f t="shared" si="0"/>
        <v>-334</v>
      </c>
      <c r="E16" s="185">
        <v>17538</v>
      </c>
      <c r="F16" s="185">
        <v>17725</v>
      </c>
      <c r="G16" s="11">
        <f t="shared" si="1"/>
        <v>-187</v>
      </c>
      <c r="H16" s="153">
        <v>-4444</v>
      </c>
      <c r="I16" s="153">
        <v>-4297</v>
      </c>
      <c r="J16" s="151"/>
      <c r="K16" s="151"/>
    </row>
    <row r="17" spans="1:11" ht="14.1" customHeight="1" x14ac:dyDescent="0.25">
      <c r="A17" s="229" t="s">
        <v>24</v>
      </c>
      <c r="B17" s="11">
        <v>96643</v>
      </c>
      <c r="C17" s="11">
        <v>94186</v>
      </c>
      <c r="D17" s="11">
        <f t="shared" si="0"/>
        <v>2457</v>
      </c>
      <c r="E17" s="185">
        <v>95561</v>
      </c>
      <c r="F17" s="185">
        <v>94210</v>
      </c>
      <c r="G17" s="11">
        <f t="shared" si="1"/>
        <v>1351</v>
      </c>
      <c r="H17" s="153">
        <v>1082</v>
      </c>
      <c r="I17" s="153">
        <v>-24</v>
      </c>
      <c r="J17" s="151"/>
      <c r="K17" s="151"/>
    </row>
    <row r="18" spans="1:11" ht="14.1" customHeight="1" x14ac:dyDescent="0.25">
      <c r="A18" s="229" t="s">
        <v>25</v>
      </c>
      <c r="B18" s="11">
        <v>8272</v>
      </c>
      <c r="C18" s="11">
        <v>8562</v>
      </c>
      <c r="D18" s="11">
        <f t="shared" si="0"/>
        <v>-290</v>
      </c>
      <c r="E18" s="185">
        <v>12446</v>
      </c>
      <c r="F18" s="185">
        <v>12473</v>
      </c>
      <c r="G18" s="11">
        <f t="shared" si="1"/>
        <v>-27</v>
      </c>
      <c r="H18" s="153">
        <v>-4174</v>
      </c>
      <c r="I18" s="153">
        <v>-3911</v>
      </c>
      <c r="J18" s="151"/>
      <c r="K18" s="151"/>
    </row>
    <row r="19" spans="1:11" ht="14.1" customHeight="1" x14ac:dyDescent="0.25">
      <c r="A19" s="230" t="s">
        <v>26</v>
      </c>
      <c r="B19" s="11">
        <v>12792</v>
      </c>
      <c r="C19" s="11">
        <v>12560</v>
      </c>
      <c r="D19" s="11">
        <f t="shared" si="0"/>
        <v>232</v>
      </c>
      <c r="E19" s="185">
        <v>18020</v>
      </c>
      <c r="F19" s="185">
        <v>17896</v>
      </c>
      <c r="G19" s="11">
        <f t="shared" si="1"/>
        <v>124</v>
      </c>
      <c r="H19" s="153">
        <v>-5228</v>
      </c>
      <c r="I19" s="153">
        <v>-5336</v>
      </c>
      <c r="J19" s="151"/>
      <c r="K19" s="151"/>
    </row>
    <row r="20" spans="1:11" ht="14.1" customHeight="1" x14ac:dyDescent="0.25">
      <c r="A20" s="229" t="s">
        <v>27</v>
      </c>
      <c r="B20" s="11">
        <v>9845</v>
      </c>
      <c r="C20" s="11">
        <v>10133</v>
      </c>
      <c r="D20" s="11">
        <f t="shared" si="0"/>
        <v>-288</v>
      </c>
      <c r="E20" s="185">
        <v>15469</v>
      </c>
      <c r="F20" s="185">
        <v>15708</v>
      </c>
      <c r="G20" s="11">
        <f t="shared" si="1"/>
        <v>-239</v>
      </c>
      <c r="H20" s="153">
        <v>-5624</v>
      </c>
      <c r="I20" s="153">
        <v>-5575</v>
      </c>
      <c r="J20" s="151"/>
      <c r="K20" s="151"/>
    </row>
    <row r="21" spans="1:11" ht="14.1" customHeight="1" x14ac:dyDescent="0.25">
      <c r="A21" s="229" t="s">
        <v>28</v>
      </c>
      <c r="B21" s="11">
        <v>10047</v>
      </c>
      <c r="C21" s="11">
        <v>10324</v>
      </c>
      <c r="D21" s="11">
        <f t="shared" si="0"/>
        <v>-277</v>
      </c>
      <c r="E21" s="185">
        <v>16594</v>
      </c>
      <c r="F21" s="185">
        <v>16991</v>
      </c>
      <c r="G21" s="11">
        <f t="shared" si="1"/>
        <v>-397</v>
      </c>
      <c r="H21" s="153">
        <v>-6547</v>
      </c>
      <c r="I21" s="153">
        <v>-6667</v>
      </c>
      <c r="J21" s="151"/>
      <c r="K21" s="151"/>
    </row>
    <row r="22" spans="1:11" ht="14.1" customHeight="1" x14ac:dyDescent="0.25">
      <c r="A22" s="229" t="s">
        <v>29</v>
      </c>
      <c r="B22" s="11">
        <v>14489</v>
      </c>
      <c r="C22" s="11">
        <v>14720</v>
      </c>
      <c r="D22" s="11">
        <f t="shared" si="0"/>
        <v>-231</v>
      </c>
      <c r="E22" s="185">
        <v>22980</v>
      </c>
      <c r="F22" s="185">
        <v>23153</v>
      </c>
      <c r="G22" s="11">
        <f t="shared" si="1"/>
        <v>-173</v>
      </c>
      <c r="H22" s="153">
        <v>-8491</v>
      </c>
      <c r="I22" s="153">
        <v>-8433</v>
      </c>
      <c r="J22" s="151"/>
      <c r="K22" s="151"/>
    </row>
    <row r="23" spans="1:11" ht="14.1" customHeight="1" x14ac:dyDescent="0.25">
      <c r="A23" s="229" t="s">
        <v>30</v>
      </c>
      <c r="B23" s="11">
        <v>15264</v>
      </c>
      <c r="C23" s="11">
        <v>15817</v>
      </c>
      <c r="D23" s="11">
        <f t="shared" si="0"/>
        <v>-553</v>
      </c>
      <c r="E23" s="185">
        <v>25515</v>
      </c>
      <c r="F23" s="185">
        <v>25817</v>
      </c>
      <c r="G23" s="11">
        <f t="shared" si="1"/>
        <v>-302</v>
      </c>
      <c r="H23" s="153">
        <v>-10251</v>
      </c>
      <c r="I23" s="153">
        <v>-10000</v>
      </c>
      <c r="J23" s="151"/>
      <c r="K23" s="151"/>
    </row>
    <row r="24" spans="1:11" ht="14.1" customHeight="1" x14ac:dyDescent="0.25">
      <c r="A24" s="229" t="s">
        <v>31</v>
      </c>
      <c r="B24" s="11">
        <v>15323</v>
      </c>
      <c r="C24" s="11">
        <v>15461</v>
      </c>
      <c r="D24" s="11">
        <f t="shared" si="0"/>
        <v>-138</v>
      </c>
      <c r="E24" s="185">
        <v>19996</v>
      </c>
      <c r="F24" s="185">
        <v>19840</v>
      </c>
      <c r="G24" s="11">
        <f t="shared" si="1"/>
        <v>156</v>
      </c>
      <c r="H24" s="153">
        <v>-4673</v>
      </c>
      <c r="I24" s="153">
        <v>-4379</v>
      </c>
      <c r="J24" s="151"/>
      <c r="K24" s="151"/>
    </row>
    <row r="25" spans="1:11" ht="14.1" customHeight="1" x14ac:dyDescent="0.25">
      <c r="A25" s="229" t="s">
        <v>32</v>
      </c>
      <c r="B25" s="11">
        <v>145264</v>
      </c>
      <c r="C25" s="11">
        <v>142210</v>
      </c>
      <c r="D25" s="11">
        <f t="shared" si="0"/>
        <v>3054</v>
      </c>
      <c r="E25" s="185">
        <v>123778</v>
      </c>
      <c r="F25" s="185">
        <v>121891</v>
      </c>
      <c r="G25" s="11">
        <f t="shared" si="1"/>
        <v>1887</v>
      </c>
      <c r="H25" s="153">
        <v>21486</v>
      </c>
      <c r="I25" s="153">
        <v>20319</v>
      </c>
      <c r="J25" s="151"/>
      <c r="K25" s="151"/>
    </row>
    <row r="26" spans="1:11" s="8" customFormat="1" ht="14.1" customHeight="1" x14ac:dyDescent="0.25">
      <c r="A26" s="231" t="s">
        <v>33</v>
      </c>
      <c r="B26" s="10">
        <v>172742</v>
      </c>
      <c r="C26" s="10">
        <v>173333</v>
      </c>
      <c r="D26" s="10">
        <f t="shared" si="0"/>
        <v>-591</v>
      </c>
      <c r="E26" s="184">
        <v>183348</v>
      </c>
      <c r="F26" s="184">
        <v>184967</v>
      </c>
      <c r="G26" s="10">
        <f t="shared" si="1"/>
        <v>-1619</v>
      </c>
      <c r="H26" s="152">
        <v>-10606</v>
      </c>
      <c r="I26" s="152">
        <v>-11634</v>
      </c>
      <c r="J26" s="151"/>
      <c r="K26" s="151"/>
    </row>
    <row r="27" spans="1:11" ht="14.1" customHeight="1" x14ac:dyDescent="0.25">
      <c r="A27" s="229" t="s">
        <v>34</v>
      </c>
      <c r="B27" s="11">
        <v>7528</v>
      </c>
      <c r="C27" s="11">
        <v>7726</v>
      </c>
      <c r="D27" s="11">
        <f t="shared" si="0"/>
        <v>-198</v>
      </c>
      <c r="E27" s="185">
        <v>9312</v>
      </c>
      <c r="F27" s="185">
        <v>9650</v>
      </c>
      <c r="G27" s="11">
        <f t="shared" si="1"/>
        <v>-338</v>
      </c>
      <c r="H27" s="153">
        <v>-1784</v>
      </c>
      <c r="I27" s="153">
        <v>-1924</v>
      </c>
      <c r="J27" s="151"/>
      <c r="K27" s="151"/>
    </row>
    <row r="28" spans="1:11" ht="14.1" customHeight="1" x14ac:dyDescent="0.25">
      <c r="A28" s="229" t="s">
        <v>35</v>
      </c>
      <c r="B28" s="11">
        <v>11220</v>
      </c>
      <c r="C28" s="11">
        <v>11789</v>
      </c>
      <c r="D28" s="11">
        <f t="shared" si="0"/>
        <v>-569</v>
      </c>
      <c r="E28" s="185">
        <v>10565</v>
      </c>
      <c r="F28" s="185">
        <v>10644</v>
      </c>
      <c r="G28" s="11">
        <f t="shared" si="1"/>
        <v>-79</v>
      </c>
      <c r="H28" s="153">
        <v>655</v>
      </c>
      <c r="I28" s="153">
        <v>1145</v>
      </c>
      <c r="J28" s="151"/>
      <c r="K28" s="151"/>
    </row>
    <row r="29" spans="1:11" ht="14.1" customHeight="1" x14ac:dyDescent="0.25">
      <c r="A29" s="229" t="s">
        <v>36</v>
      </c>
      <c r="B29" s="11">
        <v>14086</v>
      </c>
      <c r="C29" s="11">
        <v>14662</v>
      </c>
      <c r="D29" s="11">
        <f t="shared" si="0"/>
        <v>-576</v>
      </c>
      <c r="E29" s="185">
        <v>15828</v>
      </c>
      <c r="F29" s="185">
        <v>15889</v>
      </c>
      <c r="G29" s="11">
        <f t="shared" si="1"/>
        <v>-61</v>
      </c>
      <c r="H29" s="153">
        <v>-1742</v>
      </c>
      <c r="I29" s="153">
        <v>-1227</v>
      </c>
      <c r="J29" s="151"/>
      <c r="K29" s="151"/>
    </row>
    <row r="30" spans="1:11" ht="14.1" customHeight="1" x14ac:dyDescent="0.25">
      <c r="A30" s="229" t="s">
        <v>37</v>
      </c>
      <c r="B30" s="11">
        <v>810</v>
      </c>
      <c r="C30" s="11">
        <v>767</v>
      </c>
      <c r="D30" s="11">
        <f t="shared" si="0"/>
        <v>43</v>
      </c>
      <c r="E30" s="185">
        <v>391</v>
      </c>
      <c r="F30" s="185">
        <v>403</v>
      </c>
      <c r="G30" s="11">
        <f t="shared" si="1"/>
        <v>-12</v>
      </c>
      <c r="H30" s="153">
        <v>419</v>
      </c>
      <c r="I30" s="153">
        <v>364</v>
      </c>
      <c r="J30" s="151"/>
      <c r="K30" s="151"/>
    </row>
    <row r="31" spans="1:11" ht="14.1" customHeight="1" x14ac:dyDescent="0.25">
      <c r="A31" s="232" t="s">
        <v>318</v>
      </c>
      <c r="B31" s="11">
        <v>13276</v>
      </c>
      <c r="C31" s="11">
        <v>13895</v>
      </c>
      <c r="D31" s="11">
        <f t="shared" si="0"/>
        <v>-619</v>
      </c>
      <c r="E31" s="185">
        <v>15437</v>
      </c>
      <c r="F31" s="185">
        <v>15486</v>
      </c>
      <c r="G31" s="11">
        <f t="shared" si="1"/>
        <v>-49</v>
      </c>
      <c r="H31" s="153">
        <v>-2161</v>
      </c>
      <c r="I31" s="153">
        <v>-1591</v>
      </c>
      <c r="J31" s="151"/>
      <c r="K31" s="151"/>
    </row>
    <row r="32" spans="1:11" ht="14.1" customHeight="1" x14ac:dyDescent="0.25">
      <c r="A32" s="229" t="s">
        <v>38</v>
      </c>
      <c r="B32" s="11">
        <v>15725</v>
      </c>
      <c r="C32" s="11">
        <v>16350</v>
      </c>
      <c r="D32" s="11">
        <f t="shared" si="0"/>
        <v>-625</v>
      </c>
      <c r="E32" s="185">
        <v>17808</v>
      </c>
      <c r="F32" s="185">
        <v>17612</v>
      </c>
      <c r="G32" s="11">
        <f t="shared" si="1"/>
        <v>196</v>
      </c>
      <c r="H32" s="153">
        <v>-2083</v>
      </c>
      <c r="I32" s="153">
        <v>-1262</v>
      </c>
      <c r="J32" s="151"/>
      <c r="K32" s="151"/>
    </row>
    <row r="33" spans="1:11" ht="14.1" customHeight="1" x14ac:dyDescent="0.25">
      <c r="A33" s="229" t="s">
        <v>39</v>
      </c>
      <c r="B33" s="11">
        <v>12189</v>
      </c>
      <c r="C33" s="11">
        <v>12399</v>
      </c>
      <c r="D33" s="11">
        <f t="shared" si="0"/>
        <v>-210</v>
      </c>
      <c r="E33" s="185">
        <v>12293</v>
      </c>
      <c r="F33" s="185">
        <v>12842</v>
      </c>
      <c r="G33" s="11">
        <f t="shared" si="1"/>
        <v>-549</v>
      </c>
      <c r="H33" s="153">
        <v>-104</v>
      </c>
      <c r="I33" s="153">
        <v>-443</v>
      </c>
      <c r="J33" s="151"/>
      <c r="K33" s="151"/>
    </row>
    <row r="34" spans="1:11" ht="14.1" customHeight="1" x14ac:dyDescent="0.25">
      <c r="A34" s="229" t="s">
        <v>40</v>
      </c>
      <c r="B34" s="11">
        <v>16358</v>
      </c>
      <c r="C34" s="11">
        <v>16068</v>
      </c>
      <c r="D34" s="11">
        <f t="shared" si="0"/>
        <v>290</v>
      </c>
      <c r="E34" s="185">
        <v>24958</v>
      </c>
      <c r="F34" s="185">
        <v>24896</v>
      </c>
      <c r="G34" s="11">
        <f t="shared" si="1"/>
        <v>62</v>
      </c>
      <c r="H34" s="153">
        <v>-8600</v>
      </c>
      <c r="I34" s="153">
        <v>-8828</v>
      </c>
      <c r="J34" s="151"/>
      <c r="K34" s="151"/>
    </row>
    <row r="35" spans="1:11" ht="14.1" customHeight="1" x14ac:dyDescent="0.25">
      <c r="A35" s="229" t="s">
        <v>41</v>
      </c>
      <c r="B35" s="11">
        <v>8530</v>
      </c>
      <c r="C35" s="11">
        <v>9111</v>
      </c>
      <c r="D35" s="11">
        <f t="shared" si="0"/>
        <v>-581</v>
      </c>
      <c r="E35" s="185">
        <v>8739</v>
      </c>
      <c r="F35" s="185">
        <v>8835</v>
      </c>
      <c r="G35" s="11">
        <f t="shared" si="1"/>
        <v>-96</v>
      </c>
      <c r="H35" s="153">
        <v>-209</v>
      </c>
      <c r="I35" s="153">
        <v>276</v>
      </c>
      <c r="J35" s="151"/>
      <c r="K35" s="151"/>
    </row>
    <row r="36" spans="1:11" ht="14.1" customHeight="1" x14ac:dyDescent="0.25">
      <c r="A36" s="229" t="s">
        <v>42</v>
      </c>
      <c r="B36" s="11">
        <v>7204</v>
      </c>
      <c r="C36" s="11">
        <v>7345</v>
      </c>
      <c r="D36" s="11">
        <f t="shared" si="0"/>
        <v>-141</v>
      </c>
      <c r="E36" s="185">
        <v>10736</v>
      </c>
      <c r="F36" s="185">
        <v>10795</v>
      </c>
      <c r="G36" s="11">
        <f t="shared" si="1"/>
        <v>-59</v>
      </c>
      <c r="H36" s="153">
        <v>-3532</v>
      </c>
      <c r="I36" s="153">
        <v>-3450</v>
      </c>
      <c r="J36" s="151"/>
      <c r="K36" s="151"/>
    </row>
    <row r="37" spans="1:11" ht="14.1" customHeight="1" x14ac:dyDescent="0.25">
      <c r="A37" s="229" t="s">
        <v>43</v>
      </c>
      <c r="B37" s="11">
        <v>7170</v>
      </c>
      <c r="C37" s="11">
        <v>7150</v>
      </c>
      <c r="D37" s="11">
        <f t="shared" si="0"/>
        <v>20</v>
      </c>
      <c r="E37" s="185">
        <v>11557</v>
      </c>
      <c r="F37" s="185">
        <v>11808</v>
      </c>
      <c r="G37" s="11">
        <f t="shared" si="1"/>
        <v>-251</v>
      </c>
      <c r="H37" s="153">
        <v>-4387</v>
      </c>
      <c r="I37" s="153">
        <v>-4658</v>
      </c>
      <c r="J37" s="151"/>
      <c r="K37" s="151"/>
    </row>
    <row r="38" spans="1:11" s="8" customFormat="1" ht="14.1" customHeight="1" x14ac:dyDescent="0.25">
      <c r="A38" s="229" t="s">
        <v>44</v>
      </c>
      <c r="B38" s="11">
        <v>72732</v>
      </c>
      <c r="C38" s="11">
        <v>70733</v>
      </c>
      <c r="D38" s="11">
        <f t="shared" si="0"/>
        <v>1999</v>
      </c>
      <c r="E38" s="185">
        <v>61552</v>
      </c>
      <c r="F38" s="185">
        <v>61996</v>
      </c>
      <c r="G38" s="11">
        <f t="shared" si="1"/>
        <v>-444</v>
      </c>
      <c r="H38" s="153">
        <v>11180</v>
      </c>
      <c r="I38" s="153">
        <v>8737</v>
      </c>
      <c r="J38" s="362"/>
      <c r="K38" s="151"/>
    </row>
    <row r="39" spans="1:11" ht="14.1" customHeight="1" x14ac:dyDescent="0.25">
      <c r="A39" s="233" t="s">
        <v>45</v>
      </c>
      <c r="B39" s="10">
        <v>201869</v>
      </c>
      <c r="C39" s="370">
        <v>208330</v>
      </c>
      <c r="D39" s="370">
        <f t="shared" si="0"/>
        <v>-6461</v>
      </c>
      <c r="E39" s="372">
        <v>220636</v>
      </c>
      <c r="F39" s="372">
        <v>221638</v>
      </c>
      <c r="G39" s="10">
        <f t="shared" si="1"/>
        <v>-1002</v>
      </c>
      <c r="H39" s="373">
        <v>-18767</v>
      </c>
      <c r="I39" s="373">
        <v>-13308</v>
      </c>
      <c r="K39" s="151"/>
    </row>
    <row r="40" spans="1:11" ht="14.1" customHeight="1" x14ac:dyDescent="0.25">
      <c r="A40" s="229" t="s">
        <v>46</v>
      </c>
      <c r="B40" s="371">
        <v>5411</v>
      </c>
      <c r="C40" s="11">
        <v>5627</v>
      </c>
      <c r="D40" s="11">
        <f t="shared" si="0"/>
        <v>-216</v>
      </c>
      <c r="E40" s="185">
        <v>5850</v>
      </c>
      <c r="F40" s="185">
        <v>5845</v>
      </c>
      <c r="G40" s="11">
        <f t="shared" si="1"/>
        <v>5</v>
      </c>
      <c r="H40" s="153">
        <v>-439</v>
      </c>
      <c r="I40" s="153">
        <v>-218</v>
      </c>
      <c r="J40" s="151"/>
      <c r="K40" s="151"/>
    </row>
    <row r="41" spans="1:11" ht="14.1" customHeight="1" x14ac:dyDescent="0.25">
      <c r="A41" s="229" t="s">
        <v>47</v>
      </c>
      <c r="B41" s="11">
        <v>3464</v>
      </c>
      <c r="C41" s="11">
        <v>3799</v>
      </c>
      <c r="D41" s="11">
        <f t="shared" si="0"/>
        <v>-335</v>
      </c>
      <c r="E41" s="185">
        <v>2717</v>
      </c>
      <c r="F41" s="185">
        <v>2751</v>
      </c>
      <c r="G41" s="11">
        <f t="shared" si="1"/>
        <v>-34</v>
      </c>
      <c r="H41" s="153">
        <v>747</v>
      </c>
      <c r="I41" s="153">
        <v>1048</v>
      </c>
      <c r="J41" s="151"/>
      <c r="K41" s="151"/>
    </row>
    <row r="42" spans="1:11" ht="14.1" customHeight="1" x14ac:dyDescent="0.25">
      <c r="A42" s="229" t="s">
        <v>211</v>
      </c>
      <c r="B42" s="11">
        <v>22944</v>
      </c>
      <c r="C42" s="11">
        <v>24039</v>
      </c>
      <c r="D42" s="11">
        <f t="shared" si="0"/>
        <v>-1095</v>
      </c>
      <c r="E42" s="185">
        <v>28973</v>
      </c>
      <c r="F42" s="185">
        <v>29145</v>
      </c>
      <c r="G42" s="11">
        <f t="shared" si="1"/>
        <v>-172</v>
      </c>
      <c r="H42" s="154">
        <v>-6029</v>
      </c>
      <c r="I42" s="154">
        <v>-5106</v>
      </c>
      <c r="J42" s="151"/>
      <c r="K42" s="151"/>
    </row>
    <row r="43" spans="1:11" ht="14.1" customHeight="1" x14ac:dyDescent="0.25">
      <c r="A43" s="229" t="s">
        <v>48</v>
      </c>
      <c r="B43" s="11">
        <v>72986</v>
      </c>
      <c r="C43" s="11">
        <v>74117</v>
      </c>
      <c r="D43" s="11">
        <f t="shared" si="0"/>
        <v>-1131</v>
      </c>
      <c r="E43" s="185">
        <v>71550</v>
      </c>
      <c r="F43" s="185">
        <v>71378</v>
      </c>
      <c r="G43" s="11">
        <f t="shared" si="1"/>
        <v>172</v>
      </c>
      <c r="H43" s="153">
        <v>1436</v>
      </c>
      <c r="I43" s="153">
        <v>2739</v>
      </c>
      <c r="J43" s="151"/>
      <c r="K43" s="151"/>
    </row>
    <row r="44" spans="1:11" ht="14.1" customHeight="1" x14ac:dyDescent="0.25">
      <c r="A44" s="229" t="s">
        <v>49</v>
      </c>
      <c r="B44" s="11">
        <v>14239</v>
      </c>
      <c r="C44" s="11">
        <v>14834</v>
      </c>
      <c r="D44" s="11">
        <f t="shared" si="0"/>
        <v>-595</v>
      </c>
      <c r="E44" s="185">
        <v>12229</v>
      </c>
      <c r="F44" s="185">
        <v>12537</v>
      </c>
      <c r="G44" s="11">
        <f t="shared" si="1"/>
        <v>-308</v>
      </c>
      <c r="H44" s="153">
        <v>2010</v>
      </c>
      <c r="I44" s="153">
        <v>2297</v>
      </c>
      <c r="J44" s="151"/>
      <c r="K44" s="151"/>
    </row>
    <row r="45" spans="1:11" ht="14.1" customHeight="1" x14ac:dyDescent="0.25">
      <c r="A45" s="229" t="s">
        <v>50</v>
      </c>
      <c r="B45" s="11">
        <v>28436</v>
      </c>
      <c r="C45" s="11">
        <v>29335</v>
      </c>
      <c r="D45" s="11">
        <f t="shared" si="0"/>
        <v>-899</v>
      </c>
      <c r="E45" s="185">
        <v>34718</v>
      </c>
      <c r="F45" s="185">
        <v>35128</v>
      </c>
      <c r="G45" s="11">
        <f t="shared" si="1"/>
        <v>-410</v>
      </c>
      <c r="H45" s="153">
        <v>-6282</v>
      </c>
      <c r="I45" s="153">
        <v>-5793</v>
      </c>
      <c r="J45" s="151"/>
      <c r="K45" s="151"/>
    </row>
    <row r="46" spans="1:11" ht="14.1" customHeight="1" x14ac:dyDescent="0.25">
      <c r="A46" s="229" t="s">
        <v>51</v>
      </c>
      <c r="B46" s="11">
        <v>49038</v>
      </c>
      <c r="C46" s="11">
        <v>51081</v>
      </c>
      <c r="D46" s="11">
        <f t="shared" si="0"/>
        <v>-2043</v>
      </c>
      <c r="E46" s="185">
        <v>58718</v>
      </c>
      <c r="F46" s="185">
        <v>58763</v>
      </c>
      <c r="G46" s="11">
        <f t="shared" si="1"/>
        <v>-45</v>
      </c>
      <c r="H46" s="153">
        <v>-9680</v>
      </c>
      <c r="I46" s="153">
        <v>-7682</v>
      </c>
      <c r="J46" s="151"/>
      <c r="K46" s="151"/>
    </row>
    <row r="47" spans="1:11" ht="14.1" customHeight="1" x14ac:dyDescent="0.25">
      <c r="A47" s="229" t="s">
        <v>212</v>
      </c>
      <c r="B47" s="11">
        <v>5351</v>
      </c>
      <c r="C47" s="11">
        <v>5498</v>
      </c>
      <c r="D47" s="11">
        <f t="shared" si="0"/>
        <v>-147</v>
      </c>
      <c r="E47" s="185">
        <v>5881</v>
      </c>
      <c r="F47" s="185">
        <v>6091</v>
      </c>
      <c r="G47" s="11">
        <f t="shared" si="1"/>
        <v>-210</v>
      </c>
      <c r="H47" s="154">
        <v>-530</v>
      </c>
      <c r="I47" s="154">
        <v>-593</v>
      </c>
      <c r="J47" s="151"/>
      <c r="K47" s="151"/>
    </row>
    <row r="48" spans="1:11" ht="14.1" customHeight="1" x14ac:dyDescent="0.25">
      <c r="A48" s="234" t="s">
        <v>52</v>
      </c>
      <c r="B48" s="10">
        <v>154533</v>
      </c>
      <c r="C48" s="10">
        <v>160400</v>
      </c>
      <c r="D48" s="10">
        <f t="shared" si="0"/>
        <v>-5867</v>
      </c>
      <c r="E48" s="184">
        <v>75973</v>
      </c>
      <c r="F48" s="184">
        <v>76632</v>
      </c>
      <c r="G48" s="11">
        <f t="shared" si="1"/>
        <v>-659</v>
      </c>
      <c r="H48" s="152">
        <v>78560</v>
      </c>
      <c r="I48" s="152">
        <v>83768</v>
      </c>
      <c r="J48" s="151"/>
      <c r="K48" s="151"/>
    </row>
    <row r="49" spans="1:11" ht="14.1" customHeight="1" x14ac:dyDescent="0.25">
      <c r="A49" s="229" t="s">
        <v>53</v>
      </c>
      <c r="B49" s="11">
        <v>52867</v>
      </c>
      <c r="C49" s="11">
        <v>54867</v>
      </c>
      <c r="D49" s="11">
        <f t="shared" si="0"/>
        <v>-2000</v>
      </c>
      <c r="E49" s="185">
        <v>15719</v>
      </c>
      <c r="F49" s="185">
        <v>16188</v>
      </c>
      <c r="G49" s="11">
        <f t="shared" si="1"/>
        <v>-469</v>
      </c>
      <c r="H49" s="153">
        <v>37148</v>
      </c>
      <c r="I49" s="153">
        <v>38679</v>
      </c>
      <c r="J49" s="151"/>
      <c r="K49" s="151"/>
    </row>
    <row r="50" spans="1:11" ht="14.1" customHeight="1" x14ac:dyDescent="0.25">
      <c r="A50" s="229" t="s">
        <v>54</v>
      </c>
      <c r="B50" s="11">
        <v>7750</v>
      </c>
      <c r="C50" s="11">
        <v>8647</v>
      </c>
      <c r="D50" s="11">
        <f t="shared" si="0"/>
        <v>-897</v>
      </c>
      <c r="E50" s="185">
        <v>1555</v>
      </c>
      <c r="F50" s="185">
        <v>1557</v>
      </c>
      <c r="G50" s="11">
        <f t="shared" si="1"/>
        <v>-2</v>
      </c>
      <c r="H50" s="153">
        <v>6195</v>
      </c>
      <c r="I50" s="153">
        <v>7090</v>
      </c>
      <c r="J50" s="151"/>
      <c r="K50" s="151"/>
    </row>
    <row r="51" spans="1:11" ht="14.1" customHeight="1" x14ac:dyDescent="0.25">
      <c r="A51" s="229" t="s">
        <v>55</v>
      </c>
      <c r="B51" s="11">
        <v>12129</v>
      </c>
      <c r="C51" s="11">
        <v>12596</v>
      </c>
      <c r="D51" s="11">
        <f t="shared" si="0"/>
        <v>-467</v>
      </c>
      <c r="E51" s="185">
        <v>7437</v>
      </c>
      <c r="F51" s="185">
        <v>7555</v>
      </c>
      <c r="G51" s="11">
        <f t="shared" si="1"/>
        <v>-118</v>
      </c>
      <c r="H51" s="153">
        <v>4692</v>
      </c>
      <c r="I51" s="153">
        <v>5041</v>
      </c>
      <c r="J51" s="151"/>
      <c r="K51" s="151"/>
    </row>
    <row r="52" spans="1:11" ht="14.1" customHeight="1" x14ac:dyDescent="0.25">
      <c r="A52" s="229" t="s">
        <v>56</v>
      </c>
      <c r="B52" s="11">
        <v>5570</v>
      </c>
      <c r="C52" s="11">
        <v>5776</v>
      </c>
      <c r="D52" s="11">
        <f t="shared" si="0"/>
        <v>-206</v>
      </c>
      <c r="E52" s="185">
        <v>4452</v>
      </c>
      <c r="F52" s="185">
        <v>4512</v>
      </c>
      <c r="G52" s="11">
        <f t="shared" si="1"/>
        <v>-60</v>
      </c>
      <c r="H52" s="153">
        <v>1118</v>
      </c>
      <c r="I52" s="153">
        <v>1264</v>
      </c>
      <c r="J52" s="151"/>
      <c r="K52" s="151"/>
    </row>
    <row r="53" spans="1:11" ht="14.1" customHeight="1" x14ac:dyDescent="0.25">
      <c r="A53" s="229" t="s">
        <v>57</v>
      </c>
      <c r="B53" s="11">
        <v>9901</v>
      </c>
      <c r="C53" s="11">
        <v>10261</v>
      </c>
      <c r="D53" s="11">
        <f t="shared" si="0"/>
        <v>-360</v>
      </c>
      <c r="E53" s="185">
        <v>7344</v>
      </c>
      <c r="F53" s="185">
        <v>7511</v>
      </c>
      <c r="G53" s="11">
        <f t="shared" si="1"/>
        <v>-167</v>
      </c>
      <c r="H53" s="153">
        <v>2557</v>
      </c>
      <c r="I53" s="153">
        <v>2750</v>
      </c>
      <c r="J53" s="151"/>
      <c r="K53" s="151"/>
    </row>
    <row r="54" spans="1:11" ht="14.1" customHeight="1" x14ac:dyDescent="0.25">
      <c r="A54" s="229" t="s">
        <v>58</v>
      </c>
      <c r="B54" s="11">
        <v>29980</v>
      </c>
      <c r="C54" s="11">
        <v>31868</v>
      </c>
      <c r="D54" s="11">
        <f t="shared" si="0"/>
        <v>-1888</v>
      </c>
      <c r="E54" s="185">
        <v>6653</v>
      </c>
      <c r="F54" s="185">
        <v>6806</v>
      </c>
      <c r="G54" s="11">
        <f t="shared" si="1"/>
        <v>-153</v>
      </c>
      <c r="H54" s="153">
        <v>23327</v>
      </c>
      <c r="I54" s="153">
        <v>25062</v>
      </c>
      <c r="J54" s="151"/>
      <c r="K54" s="151"/>
    </row>
    <row r="55" spans="1:11" s="8" customFormat="1" ht="14.1" customHeight="1" x14ac:dyDescent="0.25">
      <c r="A55" s="229" t="s">
        <v>59</v>
      </c>
      <c r="B55" s="11">
        <v>36336</v>
      </c>
      <c r="C55" s="11">
        <v>36385</v>
      </c>
      <c r="D55" s="11">
        <f t="shared" si="0"/>
        <v>-49</v>
      </c>
      <c r="E55" s="185">
        <v>32813</v>
      </c>
      <c r="F55" s="185">
        <v>32503</v>
      </c>
      <c r="G55" s="11">
        <f t="shared" si="1"/>
        <v>310</v>
      </c>
      <c r="H55" s="153">
        <v>3523</v>
      </c>
      <c r="I55" s="153">
        <v>3882</v>
      </c>
      <c r="J55" s="151"/>
      <c r="K55" s="151"/>
    </row>
    <row r="56" spans="1:11" ht="14.1" customHeight="1" x14ac:dyDescent="0.25">
      <c r="A56" s="228" t="s">
        <v>60</v>
      </c>
      <c r="B56" s="10">
        <v>380517</v>
      </c>
      <c r="C56" s="10">
        <v>395571</v>
      </c>
      <c r="D56" s="10">
        <f t="shared" si="0"/>
        <v>-15054</v>
      </c>
      <c r="E56" s="184">
        <v>403230</v>
      </c>
      <c r="F56" s="184">
        <v>412786</v>
      </c>
      <c r="G56" s="10">
        <f t="shared" si="1"/>
        <v>-9556</v>
      </c>
      <c r="H56" s="152">
        <v>-22713</v>
      </c>
      <c r="I56" s="152">
        <v>-17215</v>
      </c>
      <c r="J56" s="151"/>
      <c r="K56" s="151"/>
    </row>
    <row r="57" spans="1:11" ht="14.1" customHeight="1" x14ac:dyDescent="0.25">
      <c r="A57" s="229" t="s">
        <v>61</v>
      </c>
      <c r="B57" s="11">
        <v>55628</v>
      </c>
      <c r="C57" s="11">
        <v>59028</v>
      </c>
      <c r="D57" s="11">
        <f t="shared" si="0"/>
        <v>-3400</v>
      </c>
      <c r="E57" s="185">
        <v>52330</v>
      </c>
      <c r="F57" s="185">
        <v>54024</v>
      </c>
      <c r="G57" s="11">
        <f t="shared" si="1"/>
        <v>-1694</v>
      </c>
      <c r="H57" s="153">
        <v>3298</v>
      </c>
      <c r="I57" s="153">
        <v>5004</v>
      </c>
      <c r="J57" s="151"/>
      <c r="K57" s="151"/>
    </row>
    <row r="58" spans="1:11" ht="14.1" customHeight="1" x14ac:dyDescent="0.25">
      <c r="A58" s="229" t="s">
        <v>62</v>
      </c>
      <c r="B58" s="11">
        <v>9537</v>
      </c>
      <c r="C58" s="11">
        <v>9915</v>
      </c>
      <c r="D58" s="11">
        <f t="shared" si="0"/>
        <v>-378</v>
      </c>
      <c r="E58" s="185">
        <v>9045</v>
      </c>
      <c r="F58" s="185">
        <v>9444</v>
      </c>
      <c r="G58" s="11">
        <f t="shared" si="1"/>
        <v>-399</v>
      </c>
      <c r="H58" s="153">
        <v>492</v>
      </c>
      <c r="I58" s="153">
        <v>471</v>
      </c>
      <c r="J58" s="151"/>
      <c r="K58" s="151"/>
    </row>
    <row r="59" spans="1:11" ht="14.1" customHeight="1" x14ac:dyDescent="0.25">
      <c r="A59" s="229" t="s">
        <v>63</v>
      </c>
      <c r="B59" s="11">
        <v>7933</v>
      </c>
      <c r="C59" s="11">
        <v>7867</v>
      </c>
      <c r="D59" s="11">
        <f t="shared" si="0"/>
        <v>66</v>
      </c>
      <c r="E59" s="185">
        <v>11390</v>
      </c>
      <c r="F59" s="185">
        <v>11395</v>
      </c>
      <c r="G59" s="11">
        <f t="shared" si="1"/>
        <v>-5</v>
      </c>
      <c r="H59" s="153">
        <v>-3457</v>
      </c>
      <c r="I59" s="153">
        <v>-3528</v>
      </c>
      <c r="J59" s="151"/>
      <c r="K59" s="151"/>
    </row>
    <row r="60" spans="1:11" ht="14.1" customHeight="1" x14ac:dyDescent="0.25">
      <c r="A60" s="229" t="s">
        <v>64</v>
      </c>
      <c r="B60" s="11">
        <v>55592</v>
      </c>
      <c r="C60" s="11">
        <v>56598</v>
      </c>
      <c r="D60" s="11">
        <f t="shared" si="0"/>
        <v>-1006</v>
      </c>
      <c r="E60" s="185">
        <v>44949</v>
      </c>
      <c r="F60" s="185">
        <v>46478</v>
      </c>
      <c r="G60" s="11">
        <f t="shared" si="1"/>
        <v>-1529</v>
      </c>
      <c r="H60" s="153">
        <v>10643</v>
      </c>
      <c r="I60" s="153">
        <v>10120</v>
      </c>
      <c r="J60" s="151"/>
      <c r="K60" s="151"/>
    </row>
    <row r="61" spans="1:11" ht="14.1" customHeight="1" x14ac:dyDescent="0.25">
      <c r="A61" s="229" t="s">
        <v>65</v>
      </c>
      <c r="B61" s="11">
        <v>20995</v>
      </c>
      <c r="C61" s="11">
        <v>22145</v>
      </c>
      <c r="D61" s="11">
        <f t="shared" si="0"/>
        <v>-1150</v>
      </c>
      <c r="E61" s="185">
        <v>19173</v>
      </c>
      <c r="F61" s="185">
        <v>19515</v>
      </c>
      <c r="G61" s="11">
        <f t="shared" si="1"/>
        <v>-342</v>
      </c>
      <c r="H61" s="153">
        <v>1822</v>
      </c>
      <c r="I61" s="153">
        <v>2630</v>
      </c>
      <c r="J61" s="151"/>
      <c r="K61" s="151"/>
    </row>
    <row r="62" spans="1:11" ht="14.1" customHeight="1" x14ac:dyDescent="0.25">
      <c r="A62" s="229" t="s">
        <v>66</v>
      </c>
      <c r="B62" s="11">
        <v>16358</v>
      </c>
      <c r="C62" s="11">
        <v>17133</v>
      </c>
      <c r="D62" s="11">
        <f t="shared" si="0"/>
        <v>-775</v>
      </c>
      <c r="E62" s="185">
        <v>16296</v>
      </c>
      <c r="F62" s="185">
        <v>16242</v>
      </c>
      <c r="G62" s="11">
        <f t="shared" si="1"/>
        <v>54</v>
      </c>
      <c r="H62" s="153">
        <v>62</v>
      </c>
      <c r="I62" s="153">
        <v>891</v>
      </c>
      <c r="J62" s="151"/>
      <c r="K62" s="151"/>
    </row>
    <row r="63" spans="1:11" ht="14.1" customHeight="1" x14ac:dyDescent="0.25">
      <c r="A63" s="229" t="s">
        <v>67</v>
      </c>
      <c r="B63" s="11">
        <v>37258</v>
      </c>
      <c r="C63" s="11">
        <v>38761</v>
      </c>
      <c r="D63" s="11">
        <f t="shared" si="0"/>
        <v>-1503</v>
      </c>
      <c r="E63" s="185">
        <v>36369</v>
      </c>
      <c r="F63" s="185">
        <v>37370</v>
      </c>
      <c r="G63" s="11">
        <f t="shared" si="1"/>
        <v>-1001</v>
      </c>
      <c r="H63" s="153">
        <v>889</v>
      </c>
      <c r="I63" s="153">
        <v>1391</v>
      </c>
      <c r="J63" s="151"/>
      <c r="K63" s="151"/>
    </row>
    <row r="64" spans="1:11" ht="14.1" customHeight="1" x14ac:dyDescent="0.25">
      <c r="A64" s="229" t="s">
        <v>68</v>
      </c>
      <c r="B64" s="11">
        <v>16299</v>
      </c>
      <c r="C64" s="11">
        <v>16544</v>
      </c>
      <c r="D64" s="11">
        <f t="shared" si="0"/>
        <v>-245</v>
      </c>
      <c r="E64" s="185">
        <v>19309</v>
      </c>
      <c r="F64" s="185">
        <v>19755</v>
      </c>
      <c r="G64" s="11">
        <f t="shared" si="1"/>
        <v>-446</v>
      </c>
      <c r="H64" s="153">
        <v>-3010</v>
      </c>
      <c r="I64" s="153">
        <v>-3211</v>
      </c>
      <c r="J64" s="151"/>
      <c r="K64" s="151"/>
    </row>
    <row r="65" spans="1:11" ht="14.1" customHeight="1" x14ac:dyDescent="0.25">
      <c r="A65" s="229" t="s">
        <v>69</v>
      </c>
      <c r="B65" s="11">
        <v>38678</v>
      </c>
      <c r="C65" s="11">
        <v>40094</v>
      </c>
      <c r="D65" s="11">
        <f t="shared" si="0"/>
        <v>-1416</v>
      </c>
      <c r="E65" s="185">
        <v>50098</v>
      </c>
      <c r="F65" s="185">
        <v>50732</v>
      </c>
      <c r="G65" s="11">
        <f t="shared" si="1"/>
        <v>-634</v>
      </c>
      <c r="H65" s="153">
        <v>-11420</v>
      </c>
      <c r="I65" s="153">
        <v>-10638</v>
      </c>
      <c r="J65" s="151"/>
      <c r="K65" s="151"/>
    </row>
    <row r="66" spans="1:11" ht="14.1" customHeight="1" x14ac:dyDescent="0.25">
      <c r="A66" s="229" t="s">
        <v>70</v>
      </c>
      <c r="B66" s="11">
        <v>26704</v>
      </c>
      <c r="C66" s="11">
        <v>28377</v>
      </c>
      <c r="D66" s="11">
        <f t="shared" si="0"/>
        <v>-1673</v>
      </c>
      <c r="E66" s="185">
        <v>26900</v>
      </c>
      <c r="F66" s="185">
        <v>28044</v>
      </c>
      <c r="G66" s="11">
        <f t="shared" si="1"/>
        <v>-1144</v>
      </c>
      <c r="H66" s="153">
        <v>-196</v>
      </c>
      <c r="I66" s="153">
        <v>333</v>
      </c>
      <c r="J66" s="151"/>
      <c r="K66" s="151"/>
    </row>
    <row r="67" spans="1:11" ht="14.1" customHeight="1" x14ac:dyDescent="0.25">
      <c r="A67" s="229" t="s">
        <v>71</v>
      </c>
      <c r="B67" s="11">
        <v>13705</v>
      </c>
      <c r="C67" s="11">
        <v>14471</v>
      </c>
      <c r="D67" s="11">
        <f t="shared" si="0"/>
        <v>-766</v>
      </c>
      <c r="E67" s="185">
        <v>19562</v>
      </c>
      <c r="F67" s="185">
        <v>20071</v>
      </c>
      <c r="G67" s="11">
        <f t="shared" si="1"/>
        <v>-509</v>
      </c>
      <c r="H67" s="153">
        <v>-5857</v>
      </c>
      <c r="I67" s="153">
        <v>-5600</v>
      </c>
      <c r="J67" s="151"/>
      <c r="K67" s="151"/>
    </row>
    <row r="68" spans="1:11" ht="14.1" customHeight="1" x14ac:dyDescent="0.25">
      <c r="A68" s="229" t="s">
        <v>72</v>
      </c>
      <c r="B68" s="11">
        <v>40151</v>
      </c>
      <c r="C68" s="11">
        <v>40986</v>
      </c>
      <c r="D68" s="11">
        <f t="shared" si="0"/>
        <v>-835</v>
      </c>
      <c r="E68" s="185">
        <v>44428</v>
      </c>
      <c r="F68" s="185">
        <v>45636</v>
      </c>
      <c r="G68" s="11">
        <f t="shared" si="1"/>
        <v>-1208</v>
      </c>
      <c r="H68" s="153">
        <v>-4277</v>
      </c>
      <c r="I68" s="153">
        <v>-4650</v>
      </c>
      <c r="J68" s="151"/>
      <c r="K68" s="151"/>
    </row>
    <row r="69" spans="1:11" ht="14.1" customHeight="1" x14ac:dyDescent="0.25">
      <c r="A69" s="230" t="s">
        <v>73</v>
      </c>
      <c r="B69" s="11">
        <v>27135</v>
      </c>
      <c r="C69" s="11">
        <v>28647</v>
      </c>
      <c r="D69" s="11">
        <f t="shared" si="0"/>
        <v>-1512</v>
      </c>
      <c r="E69" s="185">
        <v>34840</v>
      </c>
      <c r="F69" s="185">
        <v>35332</v>
      </c>
      <c r="G69" s="11">
        <f t="shared" si="1"/>
        <v>-492</v>
      </c>
      <c r="H69" s="153">
        <v>-7705</v>
      </c>
      <c r="I69" s="153">
        <v>-6685</v>
      </c>
      <c r="J69" s="151"/>
      <c r="K69" s="151"/>
    </row>
    <row r="70" spans="1:11" s="8" customFormat="1" ht="14.1" customHeight="1" x14ac:dyDescent="0.25">
      <c r="A70" s="229" t="s">
        <v>74</v>
      </c>
      <c r="B70" s="11">
        <v>14544</v>
      </c>
      <c r="C70" s="11">
        <v>15005</v>
      </c>
      <c r="D70" s="11">
        <f t="shared" si="0"/>
        <v>-461</v>
      </c>
      <c r="E70" s="185">
        <v>18541</v>
      </c>
      <c r="F70" s="185">
        <v>18748</v>
      </c>
      <c r="G70" s="11">
        <f t="shared" si="1"/>
        <v>-207</v>
      </c>
      <c r="H70" s="153">
        <v>-3997</v>
      </c>
      <c r="I70" s="153">
        <v>-3743</v>
      </c>
      <c r="J70" s="151"/>
      <c r="K70" s="151"/>
    </row>
    <row r="71" spans="1:11" ht="14.1" customHeight="1" x14ac:dyDescent="0.25">
      <c r="A71" s="233" t="s">
        <v>75</v>
      </c>
      <c r="B71" s="10">
        <v>174314</v>
      </c>
      <c r="C71" s="10">
        <v>182281</v>
      </c>
      <c r="D71" s="10">
        <f t="shared" ref="D71:D101" si="2">B71-C71</f>
        <v>-7967</v>
      </c>
      <c r="E71" s="184">
        <v>151886</v>
      </c>
      <c r="F71" s="184">
        <v>153498</v>
      </c>
      <c r="G71" s="10">
        <f t="shared" ref="G71:G101" si="3">E71-F71</f>
        <v>-1612</v>
      </c>
      <c r="H71" s="152">
        <v>22428</v>
      </c>
      <c r="I71" s="152">
        <v>28783</v>
      </c>
      <c r="J71" s="151"/>
      <c r="K71" s="151"/>
    </row>
    <row r="72" spans="1:11" ht="14.1" customHeight="1" x14ac:dyDescent="0.25">
      <c r="A72" s="229" t="s">
        <v>76</v>
      </c>
      <c r="B72" s="11">
        <v>10666</v>
      </c>
      <c r="C72" s="11">
        <v>11568</v>
      </c>
      <c r="D72" s="11">
        <f t="shared" si="2"/>
        <v>-902</v>
      </c>
      <c r="E72" s="185">
        <v>13608</v>
      </c>
      <c r="F72" s="185">
        <v>13950</v>
      </c>
      <c r="G72" s="11">
        <f t="shared" si="3"/>
        <v>-342</v>
      </c>
      <c r="H72" s="153">
        <v>-2942</v>
      </c>
      <c r="I72" s="153">
        <v>-2382</v>
      </c>
      <c r="J72" s="151"/>
      <c r="K72" s="151"/>
    </row>
    <row r="73" spans="1:11" ht="14.1" customHeight="1" x14ac:dyDescent="0.25">
      <c r="A73" s="229" t="s">
        <v>77</v>
      </c>
      <c r="B73" s="11">
        <v>59840</v>
      </c>
      <c r="C73" s="11">
        <v>62232</v>
      </c>
      <c r="D73" s="11">
        <f t="shared" si="2"/>
        <v>-2392</v>
      </c>
      <c r="E73" s="185">
        <v>60831</v>
      </c>
      <c r="F73" s="185">
        <v>61222</v>
      </c>
      <c r="G73" s="11">
        <f t="shared" si="3"/>
        <v>-391</v>
      </c>
      <c r="H73" s="153">
        <v>-991</v>
      </c>
      <c r="I73" s="153">
        <v>1010</v>
      </c>
      <c r="J73" s="151"/>
      <c r="K73" s="151"/>
    </row>
    <row r="74" spans="1:11" ht="14.1" customHeight="1" x14ac:dyDescent="0.25">
      <c r="A74" s="229" t="s">
        <v>78</v>
      </c>
      <c r="B74" s="11">
        <v>57159</v>
      </c>
      <c r="C74" s="11">
        <v>59889</v>
      </c>
      <c r="D74" s="11">
        <f t="shared" si="2"/>
        <v>-2730</v>
      </c>
      <c r="E74" s="185">
        <v>29730</v>
      </c>
      <c r="F74" s="185">
        <v>29810</v>
      </c>
      <c r="G74" s="11">
        <f t="shared" si="3"/>
        <v>-80</v>
      </c>
      <c r="H74" s="153">
        <v>27429</v>
      </c>
      <c r="I74" s="153">
        <v>30079</v>
      </c>
      <c r="J74" s="151"/>
      <c r="K74" s="151"/>
    </row>
    <row r="75" spans="1:11" ht="14.1" customHeight="1" x14ac:dyDescent="0.25">
      <c r="A75" s="229" t="s">
        <v>79</v>
      </c>
      <c r="B75" s="11">
        <v>25639</v>
      </c>
      <c r="C75" s="11">
        <v>26864</v>
      </c>
      <c r="D75" s="11">
        <f t="shared" si="2"/>
        <v>-1225</v>
      </c>
      <c r="E75" s="185">
        <v>10180</v>
      </c>
      <c r="F75" s="185">
        <v>10337</v>
      </c>
      <c r="G75" s="11">
        <f t="shared" si="3"/>
        <v>-157</v>
      </c>
      <c r="H75" s="153">
        <v>15459</v>
      </c>
      <c r="I75" s="153">
        <v>16527</v>
      </c>
      <c r="J75" s="151"/>
      <c r="K75" s="151"/>
    </row>
    <row r="76" spans="1:11" ht="14.1" customHeight="1" x14ac:dyDescent="0.25">
      <c r="A76" s="229" t="s">
        <v>80</v>
      </c>
      <c r="B76" s="11">
        <v>8251</v>
      </c>
      <c r="C76" s="11">
        <v>8913</v>
      </c>
      <c r="D76" s="11">
        <f t="shared" si="2"/>
        <v>-662</v>
      </c>
      <c r="E76" s="185">
        <v>2815</v>
      </c>
      <c r="F76" s="185">
        <v>2822</v>
      </c>
      <c r="G76" s="11">
        <f t="shared" si="3"/>
        <v>-7</v>
      </c>
      <c r="H76" s="153">
        <v>5436</v>
      </c>
      <c r="I76" s="153">
        <v>6091</v>
      </c>
      <c r="J76" s="151"/>
      <c r="K76" s="151"/>
    </row>
    <row r="77" spans="1:11" ht="14.1" customHeight="1" x14ac:dyDescent="0.25">
      <c r="A77" s="232" t="s">
        <v>319</v>
      </c>
      <c r="B77" s="11">
        <v>23269</v>
      </c>
      <c r="C77" s="11">
        <v>24112</v>
      </c>
      <c r="D77" s="11">
        <f t="shared" si="2"/>
        <v>-843</v>
      </c>
      <c r="E77" s="185">
        <v>16735</v>
      </c>
      <c r="F77" s="185">
        <v>16651</v>
      </c>
      <c r="G77" s="11">
        <f t="shared" si="3"/>
        <v>84</v>
      </c>
      <c r="H77" s="153">
        <v>6534</v>
      </c>
      <c r="I77" s="153">
        <v>7461</v>
      </c>
      <c r="J77" s="151"/>
      <c r="K77" s="151"/>
    </row>
    <row r="78" spans="1:11" ht="14.1" customHeight="1" x14ac:dyDescent="0.25">
      <c r="A78" s="229" t="s">
        <v>81</v>
      </c>
      <c r="B78" s="11">
        <v>46649</v>
      </c>
      <c r="C78" s="11">
        <v>48592</v>
      </c>
      <c r="D78" s="11">
        <f t="shared" si="2"/>
        <v>-1943</v>
      </c>
      <c r="E78" s="185">
        <v>47717</v>
      </c>
      <c r="F78" s="185">
        <v>48516</v>
      </c>
      <c r="G78" s="11">
        <f t="shared" si="3"/>
        <v>-799</v>
      </c>
      <c r="H78" s="153">
        <v>-1068</v>
      </c>
      <c r="I78" s="153">
        <v>76</v>
      </c>
      <c r="J78" s="151"/>
      <c r="K78" s="151"/>
    </row>
    <row r="79" spans="1:11" ht="14.1" customHeight="1" x14ac:dyDescent="0.25">
      <c r="A79" s="228" t="s">
        <v>82</v>
      </c>
      <c r="B79" s="10">
        <v>266282</v>
      </c>
      <c r="C79" s="10">
        <v>277389</v>
      </c>
      <c r="D79" s="10">
        <f t="shared" si="2"/>
        <v>-11107</v>
      </c>
      <c r="E79" s="184">
        <v>251527</v>
      </c>
      <c r="F79" s="184">
        <v>254941</v>
      </c>
      <c r="G79" s="10">
        <f t="shared" si="3"/>
        <v>-3414</v>
      </c>
      <c r="H79" s="152">
        <v>14755</v>
      </c>
      <c r="I79" s="152">
        <v>22448</v>
      </c>
      <c r="J79" s="151"/>
      <c r="K79" s="151"/>
    </row>
    <row r="80" spans="1:11" ht="14.1" customHeight="1" x14ac:dyDescent="0.25">
      <c r="A80" s="229" t="s">
        <v>83</v>
      </c>
      <c r="B80" s="11">
        <v>3895</v>
      </c>
      <c r="C80" s="11">
        <v>4023</v>
      </c>
      <c r="D80" s="11">
        <f t="shared" si="2"/>
        <v>-128</v>
      </c>
      <c r="E80" s="185">
        <v>2146</v>
      </c>
      <c r="F80" s="185">
        <v>2345</v>
      </c>
      <c r="G80" s="11">
        <f t="shared" si="3"/>
        <v>-199</v>
      </c>
      <c r="H80" s="153">
        <v>1749</v>
      </c>
      <c r="I80" s="153">
        <v>1678</v>
      </c>
      <c r="J80" s="151"/>
      <c r="K80" s="151"/>
    </row>
    <row r="81" spans="1:11" ht="14.1" customHeight="1" x14ac:dyDescent="0.25">
      <c r="A81" s="229" t="s">
        <v>84</v>
      </c>
      <c r="B81" s="11">
        <v>16109</v>
      </c>
      <c r="C81" s="11">
        <v>16937</v>
      </c>
      <c r="D81" s="11">
        <f t="shared" si="2"/>
        <v>-828</v>
      </c>
      <c r="E81" s="185">
        <v>11046</v>
      </c>
      <c r="F81" s="185">
        <v>11142</v>
      </c>
      <c r="G81" s="11">
        <f t="shared" si="3"/>
        <v>-96</v>
      </c>
      <c r="H81" s="153">
        <v>5063</v>
      </c>
      <c r="I81" s="153">
        <v>5795</v>
      </c>
      <c r="J81" s="151"/>
      <c r="K81" s="151"/>
    </row>
    <row r="82" spans="1:11" ht="14.1" customHeight="1" x14ac:dyDescent="0.25">
      <c r="A82" s="229" t="s">
        <v>85</v>
      </c>
      <c r="B82" s="11">
        <v>7372</v>
      </c>
      <c r="C82" s="11">
        <v>7492</v>
      </c>
      <c r="D82" s="11">
        <f t="shared" si="2"/>
        <v>-120</v>
      </c>
      <c r="E82" s="185">
        <v>3116</v>
      </c>
      <c r="F82" s="185">
        <v>3252</v>
      </c>
      <c r="G82" s="11">
        <f t="shared" si="3"/>
        <v>-136</v>
      </c>
      <c r="H82" s="153">
        <v>4256</v>
      </c>
      <c r="I82" s="153">
        <v>4240</v>
      </c>
      <c r="J82" s="151"/>
      <c r="K82" s="151"/>
    </row>
    <row r="83" spans="1:11" ht="14.1" customHeight="1" x14ac:dyDescent="0.25">
      <c r="A83" s="229" t="s">
        <v>86</v>
      </c>
      <c r="B83" s="11">
        <v>7597</v>
      </c>
      <c r="C83" s="11">
        <v>7872</v>
      </c>
      <c r="D83" s="11">
        <f t="shared" si="2"/>
        <v>-275</v>
      </c>
      <c r="E83" s="185">
        <v>6900</v>
      </c>
      <c r="F83" s="185">
        <v>7200</v>
      </c>
      <c r="G83" s="11">
        <f t="shared" si="3"/>
        <v>-300</v>
      </c>
      <c r="H83" s="153">
        <v>697</v>
      </c>
      <c r="I83" s="153">
        <v>672</v>
      </c>
      <c r="J83" s="151"/>
      <c r="K83" s="151"/>
    </row>
    <row r="84" spans="1:11" ht="14.1" customHeight="1" x14ac:dyDescent="0.25">
      <c r="A84" s="229" t="s">
        <v>87</v>
      </c>
      <c r="B84" s="11">
        <v>28734</v>
      </c>
      <c r="C84" s="11">
        <v>30080</v>
      </c>
      <c r="D84" s="11">
        <f t="shared" si="2"/>
        <v>-1346</v>
      </c>
      <c r="E84" s="185">
        <v>33356</v>
      </c>
      <c r="F84" s="185">
        <v>33661</v>
      </c>
      <c r="G84" s="11">
        <f t="shared" si="3"/>
        <v>-305</v>
      </c>
      <c r="H84" s="153">
        <v>-4622</v>
      </c>
      <c r="I84" s="153">
        <v>-3581</v>
      </c>
      <c r="J84" s="151"/>
      <c r="K84" s="151"/>
    </row>
    <row r="85" spans="1:11" ht="14.1" customHeight="1" x14ac:dyDescent="0.25">
      <c r="A85" s="229" t="s">
        <v>88</v>
      </c>
      <c r="B85" s="11">
        <v>15763</v>
      </c>
      <c r="C85" s="11">
        <v>16744</v>
      </c>
      <c r="D85" s="11">
        <f t="shared" si="2"/>
        <v>-981</v>
      </c>
      <c r="E85" s="185">
        <v>13338</v>
      </c>
      <c r="F85" s="185">
        <v>13977</v>
      </c>
      <c r="G85" s="11">
        <f t="shared" si="3"/>
        <v>-639</v>
      </c>
      <c r="H85" s="153">
        <v>2425</v>
      </c>
      <c r="I85" s="153">
        <v>2767</v>
      </c>
      <c r="J85" s="151"/>
      <c r="K85" s="151"/>
    </row>
    <row r="86" spans="1:11" ht="14.1" customHeight="1" x14ac:dyDescent="0.25">
      <c r="A86" s="229" t="s">
        <v>89</v>
      </c>
      <c r="B86" s="11">
        <v>39828</v>
      </c>
      <c r="C86" s="11">
        <v>41186</v>
      </c>
      <c r="D86" s="11">
        <f t="shared" si="2"/>
        <v>-1358</v>
      </c>
      <c r="E86" s="185">
        <v>35845</v>
      </c>
      <c r="F86" s="185">
        <v>36222</v>
      </c>
      <c r="G86" s="11">
        <f t="shared" si="3"/>
        <v>-377</v>
      </c>
      <c r="H86" s="153">
        <v>3983</v>
      </c>
      <c r="I86" s="153">
        <v>4964</v>
      </c>
      <c r="J86" s="151"/>
      <c r="K86" s="151"/>
    </row>
    <row r="87" spans="1:11" ht="14.1" customHeight="1" x14ac:dyDescent="0.25">
      <c r="A87" s="229" t="s">
        <v>90</v>
      </c>
      <c r="B87" s="11">
        <v>35579</v>
      </c>
      <c r="C87" s="11">
        <v>36904</v>
      </c>
      <c r="D87" s="11">
        <f t="shared" si="2"/>
        <v>-1325</v>
      </c>
      <c r="E87" s="185">
        <v>32332</v>
      </c>
      <c r="F87" s="185">
        <v>32903</v>
      </c>
      <c r="G87" s="11">
        <f t="shared" si="3"/>
        <v>-571</v>
      </c>
      <c r="H87" s="153">
        <v>3247</v>
      </c>
      <c r="I87" s="153">
        <v>4001</v>
      </c>
      <c r="J87" s="151"/>
      <c r="K87" s="151"/>
    </row>
    <row r="88" spans="1:11" ht="14.1" customHeight="1" x14ac:dyDescent="0.25">
      <c r="A88" s="229" t="s">
        <v>91</v>
      </c>
      <c r="B88" s="11">
        <v>32704</v>
      </c>
      <c r="C88" s="11">
        <v>33933</v>
      </c>
      <c r="D88" s="11">
        <f t="shared" si="2"/>
        <v>-1229</v>
      </c>
      <c r="E88" s="185">
        <v>38872</v>
      </c>
      <c r="F88" s="185">
        <v>39355</v>
      </c>
      <c r="G88" s="11">
        <f t="shared" si="3"/>
        <v>-483</v>
      </c>
      <c r="H88" s="153">
        <v>-6168</v>
      </c>
      <c r="I88" s="153">
        <v>-5422</v>
      </c>
      <c r="J88" s="151"/>
      <c r="K88" s="151"/>
    </row>
    <row r="89" spans="1:11" ht="14.1" customHeight="1" x14ac:dyDescent="0.25">
      <c r="A89" s="229" t="s">
        <v>92</v>
      </c>
      <c r="B89" s="11">
        <v>38185</v>
      </c>
      <c r="C89" s="11">
        <v>39078</v>
      </c>
      <c r="D89" s="11">
        <f t="shared" si="2"/>
        <v>-893</v>
      </c>
      <c r="E89" s="185">
        <v>36151</v>
      </c>
      <c r="F89" s="185">
        <v>36028</v>
      </c>
      <c r="G89" s="11">
        <f t="shared" si="3"/>
        <v>123</v>
      </c>
      <c r="H89" s="153">
        <v>2034</v>
      </c>
      <c r="I89" s="153">
        <v>3050</v>
      </c>
      <c r="J89" s="151"/>
      <c r="K89" s="151"/>
    </row>
    <row r="90" spans="1:11" s="8" customFormat="1" ht="14.1" customHeight="1" x14ac:dyDescent="0.25">
      <c r="A90" s="229" t="s">
        <v>93</v>
      </c>
      <c r="B90" s="11">
        <v>26310</v>
      </c>
      <c r="C90" s="11">
        <v>28526</v>
      </c>
      <c r="D90" s="11">
        <f t="shared" si="2"/>
        <v>-2216</v>
      </c>
      <c r="E90" s="185">
        <v>26152</v>
      </c>
      <c r="F90" s="185">
        <v>26443</v>
      </c>
      <c r="G90" s="11">
        <f t="shared" si="3"/>
        <v>-291</v>
      </c>
      <c r="H90" s="153">
        <v>158</v>
      </c>
      <c r="I90" s="153">
        <v>2083</v>
      </c>
      <c r="J90" s="151"/>
      <c r="K90" s="151"/>
    </row>
    <row r="91" spans="1:11" ht="14.1" customHeight="1" x14ac:dyDescent="0.25">
      <c r="A91" s="229" t="s">
        <v>94</v>
      </c>
      <c r="B91" s="11">
        <v>14206</v>
      </c>
      <c r="C91" s="11">
        <v>14614</v>
      </c>
      <c r="D91" s="11">
        <f t="shared" si="2"/>
        <v>-408</v>
      </c>
      <c r="E91" s="185">
        <v>12273</v>
      </c>
      <c r="F91" s="185">
        <v>12413</v>
      </c>
      <c r="G91" s="11">
        <f t="shared" si="3"/>
        <v>-140</v>
      </c>
      <c r="H91" s="153">
        <v>1933</v>
      </c>
      <c r="I91" s="153">
        <v>2201</v>
      </c>
      <c r="J91" s="151"/>
      <c r="K91" s="151"/>
    </row>
    <row r="92" spans="1:11" ht="14.1" customHeight="1" x14ac:dyDescent="0.25">
      <c r="A92" s="233" t="s">
        <v>95</v>
      </c>
      <c r="B92" s="10">
        <v>82607</v>
      </c>
      <c r="C92" s="10">
        <v>86306</v>
      </c>
      <c r="D92" s="10">
        <f t="shared" si="2"/>
        <v>-3699</v>
      </c>
      <c r="E92" s="184">
        <v>77530</v>
      </c>
      <c r="F92" s="184">
        <v>78194</v>
      </c>
      <c r="G92" s="10">
        <f t="shared" si="3"/>
        <v>-664</v>
      </c>
      <c r="H92" s="152">
        <v>5077</v>
      </c>
      <c r="I92" s="152">
        <v>8112</v>
      </c>
      <c r="J92" s="151"/>
      <c r="K92" s="151"/>
    </row>
    <row r="93" spans="1:11" ht="14.1" customHeight="1" x14ac:dyDescent="0.25">
      <c r="A93" s="229" t="s">
        <v>96</v>
      </c>
      <c r="B93" s="11">
        <v>15352</v>
      </c>
      <c r="C93" s="11">
        <v>16345</v>
      </c>
      <c r="D93" s="11">
        <f t="shared" si="2"/>
        <v>-993</v>
      </c>
      <c r="E93" s="185">
        <v>8053</v>
      </c>
      <c r="F93" s="185">
        <v>8165</v>
      </c>
      <c r="G93" s="11">
        <f t="shared" si="3"/>
        <v>-112</v>
      </c>
      <c r="H93" s="153">
        <v>7299</v>
      </c>
      <c r="I93" s="153">
        <v>8180</v>
      </c>
      <c r="J93" s="151"/>
      <c r="K93" s="151"/>
    </row>
    <row r="94" spans="1:11" ht="14.1" customHeight="1" x14ac:dyDescent="0.25">
      <c r="A94" s="229" t="s">
        <v>97</v>
      </c>
      <c r="B94" s="11">
        <v>4057</v>
      </c>
      <c r="C94" s="11">
        <v>4150</v>
      </c>
      <c r="D94" s="11">
        <f t="shared" si="2"/>
        <v>-93</v>
      </c>
      <c r="E94" s="185">
        <v>3639</v>
      </c>
      <c r="F94" s="185">
        <v>3640</v>
      </c>
      <c r="G94" s="11">
        <f t="shared" si="3"/>
        <v>-1</v>
      </c>
      <c r="H94" s="153">
        <v>418</v>
      </c>
      <c r="I94" s="153">
        <v>510</v>
      </c>
      <c r="J94" s="151"/>
      <c r="K94" s="151"/>
    </row>
    <row r="95" spans="1:11" ht="14.1" customHeight="1" x14ac:dyDescent="0.25">
      <c r="A95" s="229" t="s">
        <v>98</v>
      </c>
      <c r="B95" s="11">
        <v>23553</v>
      </c>
      <c r="C95" s="11">
        <v>24494</v>
      </c>
      <c r="D95" s="11">
        <f t="shared" si="2"/>
        <v>-941</v>
      </c>
      <c r="E95" s="185">
        <v>26236</v>
      </c>
      <c r="F95" s="185">
        <v>26003</v>
      </c>
      <c r="G95" s="11">
        <f t="shared" si="3"/>
        <v>233</v>
      </c>
      <c r="H95" s="153">
        <v>-2683</v>
      </c>
      <c r="I95" s="153">
        <v>-1509</v>
      </c>
      <c r="J95" s="151"/>
      <c r="K95" s="151"/>
    </row>
    <row r="96" spans="1:11" ht="14.1" customHeight="1" x14ac:dyDescent="0.25">
      <c r="A96" s="229" t="s">
        <v>99</v>
      </c>
      <c r="B96" s="11">
        <v>17846</v>
      </c>
      <c r="C96" s="11">
        <v>19085</v>
      </c>
      <c r="D96" s="11">
        <f t="shared" si="2"/>
        <v>-1239</v>
      </c>
      <c r="E96" s="185">
        <v>17518</v>
      </c>
      <c r="F96" s="185">
        <v>17911</v>
      </c>
      <c r="G96" s="11">
        <f t="shared" si="3"/>
        <v>-393</v>
      </c>
      <c r="H96" s="153">
        <v>328</v>
      </c>
      <c r="I96" s="153">
        <v>1174</v>
      </c>
      <c r="J96" s="151"/>
      <c r="K96" s="151"/>
    </row>
    <row r="97" spans="1:11" ht="14.1" customHeight="1" x14ac:dyDescent="0.25">
      <c r="A97" s="229" t="s">
        <v>100</v>
      </c>
      <c r="B97" s="11">
        <v>10350</v>
      </c>
      <c r="C97" s="11">
        <v>10778</v>
      </c>
      <c r="D97" s="11">
        <f t="shared" si="2"/>
        <v>-428</v>
      </c>
      <c r="E97" s="185">
        <v>11017</v>
      </c>
      <c r="F97" s="185">
        <v>11194</v>
      </c>
      <c r="G97" s="11">
        <f t="shared" si="3"/>
        <v>-177</v>
      </c>
      <c r="H97" s="153">
        <v>-667</v>
      </c>
      <c r="I97" s="153">
        <v>-416</v>
      </c>
      <c r="J97" s="151"/>
      <c r="K97" s="151"/>
    </row>
    <row r="98" spans="1:11" ht="14.1" customHeight="1" x14ac:dyDescent="0.25">
      <c r="A98" s="229" t="s">
        <v>101</v>
      </c>
      <c r="B98" s="11">
        <v>1628</v>
      </c>
      <c r="C98" s="11">
        <v>1751</v>
      </c>
      <c r="D98" s="11">
        <f t="shared" si="2"/>
        <v>-123</v>
      </c>
      <c r="E98" s="185">
        <v>1664</v>
      </c>
      <c r="F98" s="185">
        <v>1746</v>
      </c>
      <c r="G98" s="11">
        <f t="shared" si="3"/>
        <v>-82</v>
      </c>
      <c r="H98" s="153">
        <v>-36</v>
      </c>
      <c r="I98" s="153">
        <v>5</v>
      </c>
      <c r="J98" s="151"/>
      <c r="K98" s="151"/>
    </row>
    <row r="99" spans="1:11" ht="14.1" customHeight="1" x14ac:dyDescent="0.25">
      <c r="A99" s="229" t="s">
        <v>102</v>
      </c>
      <c r="B99" s="11">
        <v>6935</v>
      </c>
      <c r="C99" s="11">
        <v>6675</v>
      </c>
      <c r="D99" s="11">
        <f t="shared" si="2"/>
        <v>260</v>
      </c>
      <c r="E99" s="185">
        <v>6397</v>
      </c>
      <c r="F99" s="185">
        <v>6479</v>
      </c>
      <c r="G99" s="11">
        <f t="shared" si="3"/>
        <v>-82</v>
      </c>
      <c r="H99" s="153">
        <v>538</v>
      </c>
      <c r="I99" s="153">
        <v>196</v>
      </c>
      <c r="J99" s="151"/>
      <c r="K99" s="151"/>
    </row>
    <row r="100" spans="1:11" ht="14.1" customHeight="1" x14ac:dyDescent="0.25">
      <c r="A100" s="229" t="s">
        <v>103</v>
      </c>
      <c r="B100" s="11">
        <v>2207</v>
      </c>
      <c r="C100" s="11">
        <v>2343</v>
      </c>
      <c r="D100" s="11">
        <f t="shared" si="2"/>
        <v>-136</v>
      </c>
      <c r="E100" s="185">
        <v>2508</v>
      </c>
      <c r="F100" s="185">
        <v>2577</v>
      </c>
      <c r="G100" s="11">
        <f t="shared" si="3"/>
        <v>-69</v>
      </c>
      <c r="H100" s="153">
        <v>-301</v>
      </c>
      <c r="I100" s="153">
        <v>-234</v>
      </c>
      <c r="J100" s="151"/>
      <c r="K100" s="151"/>
    </row>
    <row r="101" spans="1:11" ht="14.1" customHeight="1" x14ac:dyDescent="0.25">
      <c r="A101" s="313" t="s">
        <v>104</v>
      </c>
      <c r="B101" s="314">
        <v>679</v>
      </c>
      <c r="C101" s="314">
        <v>685</v>
      </c>
      <c r="D101" s="314">
        <f t="shared" si="2"/>
        <v>-6</v>
      </c>
      <c r="E101" s="315">
        <v>498</v>
      </c>
      <c r="F101" s="315">
        <v>479</v>
      </c>
      <c r="G101" s="314">
        <f t="shared" si="3"/>
        <v>19</v>
      </c>
      <c r="H101" s="316">
        <v>181</v>
      </c>
      <c r="I101" s="316">
        <v>206</v>
      </c>
      <c r="J101" s="151"/>
      <c r="K101" s="151"/>
    </row>
    <row r="104" spans="1:11" ht="14.1" customHeight="1" x14ac:dyDescent="0.25">
      <c r="A104" s="9"/>
      <c r="B104" s="9"/>
      <c r="C104" s="9"/>
      <c r="D104" s="9"/>
      <c r="E104" s="9"/>
      <c r="F104" s="9"/>
      <c r="G104" s="9"/>
      <c r="H104" s="9"/>
      <c r="I104" s="9"/>
      <c r="J104" s="151"/>
      <c r="K104" s="151"/>
    </row>
    <row r="105" spans="1:11" ht="14.1" customHeight="1" x14ac:dyDescent="0.2">
      <c r="A105" s="15"/>
      <c r="B105" s="16"/>
      <c r="C105" s="13"/>
      <c r="D105" s="13"/>
      <c r="E105" s="13"/>
      <c r="F105" s="13"/>
      <c r="G105" s="13"/>
      <c r="H105" s="13"/>
      <c r="I105" s="13"/>
    </row>
    <row r="106" spans="1:11" ht="14.1" customHeight="1" x14ac:dyDescent="0.2">
      <c r="A106" s="15"/>
      <c r="B106" s="14"/>
      <c r="F106" s="17"/>
    </row>
    <row r="107" spans="1:11" ht="14.1" customHeight="1" x14ac:dyDescent="0.2">
      <c r="A107" s="15"/>
      <c r="B107" s="14"/>
    </row>
    <row r="108" spans="1:11" ht="14.1" customHeight="1" x14ac:dyDescent="0.2">
      <c r="B108" s="14"/>
    </row>
    <row r="109" spans="1:11" ht="14.1" customHeight="1" x14ac:dyDescent="0.2">
      <c r="B109" s="14"/>
    </row>
    <row r="110" spans="1:11" ht="14.1" customHeight="1" x14ac:dyDescent="0.2">
      <c r="B110" s="14"/>
    </row>
    <row r="111" spans="1:11" ht="14.1" customHeight="1" x14ac:dyDescent="0.2">
      <c r="B111" s="14"/>
    </row>
    <row r="112" spans="1:11" ht="14.1" customHeight="1" x14ac:dyDescent="0.2">
      <c r="B112" s="14"/>
    </row>
    <row r="113" spans="1:9" ht="14.1" customHeight="1" x14ac:dyDescent="0.2">
      <c r="B113" s="14"/>
    </row>
    <row r="114" spans="1:9" ht="14.1" customHeight="1" x14ac:dyDescent="0.2">
      <c r="B114" s="14"/>
    </row>
    <row r="115" spans="1:9" ht="14.1" customHeight="1" x14ac:dyDescent="0.2">
      <c r="B115" s="14"/>
    </row>
    <row r="116" spans="1:9" ht="14.1" customHeight="1" x14ac:dyDescent="0.2">
      <c r="A116" s="9"/>
      <c r="B116" s="18"/>
      <c r="C116" s="9"/>
      <c r="D116" s="9"/>
      <c r="E116" s="9"/>
      <c r="F116" s="9"/>
      <c r="G116" s="9"/>
      <c r="H116" s="9"/>
      <c r="I116" s="9"/>
    </row>
    <row r="117" spans="1:9" ht="14.1" customHeight="1" x14ac:dyDescent="0.2">
      <c r="A117" s="9"/>
      <c r="B117" s="18"/>
      <c r="C117" s="9"/>
      <c r="D117" s="9"/>
      <c r="E117" s="9"/>
      <c r="F117" s="9"/>
      <c r="G117" s="9"/>
      <c r="H117" s="9"/>
      <c r="I117" s="9"/>
    </row>
    <row r="118" spans="1:9" ht="14.1" customHeight="1" x14ac:dyDescent="0.2">
      <c r="A118" s="9"/>
      <c r="B118" s="18"/>
      <c r="C118" s="9"/>
      <c r="D118" s="9"/>
      <c r="E118" s="9"/>
      <c r="F118" s="9"/>
      <c r="G118" s="9"/>
      <c r="H118" s="9"/>
      <c r="I118" s="9"/>
    </row>
    <row r="119" spans="1:9" ht="14.1" customHeight="1" x14ac:dyDescent="0.2">
      <c r="A119" s="9"/>
      <c r="B119" s="18"/>
      <c r="C119" s="9"/>
      <c r="D119" s="9"/>
      <c r="E119" s="9"/>
      <c r="F119" s="9"/>
      <c r="G119" s="9"/>
      <c r="H119" s="9"/>
      <c r="I119" s="9"/>
    </row>
    <row r="120" spans="1:9" ht="14.1" customHeight="1" x14ac:dyDescent="0.2">
      <c r="A120" s="9"/>
      <c r="B120" s="18"/>
      <c r="C120" s="9"/>
      <c r="D120" s="9"/>
      <c r="E120" s="9"/>
      <c r="F120" s="9"/>
      <c r="G120" s="9"/>
      <c r="H120" s="9"/>
      <c r="I120" s="9"/>
    </row>
    <row r="121" spans="1:9" ht="14.1" customHeight="1" x14ac:dyDescent="0.2">
      <c r="A121" s="9"/>
      <c r="B121" s="18"/>
      <c r="C121" s="9"/>
      <c r="D121" s="9"/>
      <c r="E121" s="9"/>
      <c r="F121" s="9"/>
      <c r="G121" s="9"/>
      <c r="H121" s="9"/>
      <c r="I121" s="9"/>
    </row>
    <row r="122" spans="1:9" ht="14.1" customHeight="1" x14ac:dyDescent="0.2">
      <c r="A122" s="9"/>
      <c r="B122" s="18"/>
      <c r="C122" s="9"/>
      <c r="D122" s="9"/>
      <c r="E122" s="9"/>
      <c r="F122" s="9"/>
      <c r="G122" s="9"/>
      <c r="H122" s="9"/>
      <c r="I122" s="9"/>
    </row>
    <row r="123" spans="1:9" ht="14.1" customHeight="1" x14ac:dyDescent="0.2">
      <c r="A123" s="9"/>
      <c r="B123" s="18"/>
      <c r="C123" s="9"/>
      <c r="D123" s="9"/>
      <c r="E123" s="9"/>
      <c r="F123" s="9"/>
      <c r="G123" s="9"/>
      <c r="H123" s="9"/>
      <c r="I123" s="9"/>
    </row>
    <row r="124" spans="1:9" ht="14.1" customHeight="1" x14ac:dyDescent="0.2">
      <c r="A124" s="9"/>
      <c r="B124" s="18"/>
      <c r="C124" s="9"/>
      <c r="D124" s="9"/>
      <c r="E124" s="9"/>
      <c r="F124" s="9"/>
      <c r="G124" s="9"/>
      <c r="H124" s="9"/>
      <c r="I124" s="9"/>
    </row>
    <row r="125" spans="1:9" ht="14.1" customHeight="1" x14ac:dyDescent="0.2">
      <c r="A125" s="9"/>
      <c r="B125" s="18"/>
      <c r="C125" s="9"/>
      <c r="D125" s="9"/>
      <c r="E125" s="9"/>
      <c r="F125" s="9"/>
      <c r="G125" s="9"/>
      <c r="H125" s="9"/>
      <c r="I125" s="9"/>
    </row>
    <row r="126" spans="1:9" ht="14.1" customHeight="1" x14ac:dyDescent="0.2">
      <c r="A126" s="9"/>
      <c r="B126" s="18"/>
      <c r="C126" s="9"/>
      <c r="D126" s="9"/>
      <c r="E126" s="9"/>
      <c r="F126" s="9"/>
      <c r="G126" s="9"/>
      <c r="H126" s="9"/>
      <c r="I126" s="9"/>
    </row>
    <row r="127" spans="1:9" ht="14.1" customHeight="1" x14ac:dyDescent="0.2">
      <c r="A127" s="9"/>
      <c r="B127" s="18"/>
      <c r="C127" s="9"/>
      <c r="D127" s="9"/>
      <c r="E127" s="9"/>
      <c r="F127" s="9"/>
      <c r="G127" s="9"/>
      <c r="H127" s="9"/>
      <c r="I127" s="9"/>
    </row>
    <row r="128" spans="1:9" ht="14.1" customHeight="1" x14ac:dyDescent="0.2">
      <c r="A128" s="9"/>
      <c r="B128" s="18"/>
      <c r="C128" s="9"/>
      <c r="D128" s="9"/>
      <c r="E128" s="9"/>
      <c r="F128" s="9"/>
      <c r="G128" s="9"/>
      <c r="H128" s="9"/>
      <c r="I128" s="9"/>
    </row>
    <row r="129" spans="1:9" ht="14.1" customHeight="1" x14ac:dyDescent="0.2">
      <c r="A129" s="9"/>
      <c r="B129" s="18"/>
      <c r="C129" s="9"/>
      <c r="D129" s="9"/>
      <c r="E129" s="9"/>
      <c r="F129" s="9"/>
      <c r="G129" s="9"/>
      <c r="H129" s="9"/>
      <c r="I129" s="9"/>
    </row>
    <row r="130" spans="1:9" ht="14.1" customHeight="1" x14ac:dyDescent="0.2">
      <c r="A130" s="9"/>
      <c r="B130" s="18"/>
      <c r="C130" s="9"/>
      <c r="D130" s="9"/>
      <c r="E130" s="9"/>
      <c r="F130" s="9"/>
      <c r="G130" s="9"/>
      <c r="H130" s="9"/>
      <c r="I130" s="9"/>
    </row>
    <row r="131" spans="1:9" ht="14.1" customHeight="1" x14ac:dyDescent="0.2">
      <c r="A131" s="9"/>
      <c r="B131" s="18"/>
      <c r="C131" s="9"/>
      <c r="D131" s="9"/>
      <c r="E131" s="9"/>
      <c r="F131" s="9"/>
      <c r="G131" s="9"/>
      <c r="H131" s="9"/>
      <c r="I131" s="9"/>
    </row>
    <row r="132" spans="1:9" ht="14.1" customHeight="1" x14ac:dyDescent="0.2">
      <c r="A132" s="9"/>
      <c r="B132" s="18"/>
      <c r="C132" s="9"/>
      <c r="D132" s="9"/>
      <c r="E132" s="9"/>
      <c r="F132" s="9"/>
      <c r="G132" s="9"/>
      <c r="H132" s="9"/>
      <c r="I132" s="9"/>
    </row>
    <row r="133" spans="1:9" ht="14.1" customHeight="1" x14ac:dyDescent="0.2">
      <c r="A133" s="9"/>
      <c r="B133" s="18"/>
      <c r="C133" s="9"/>
      <c r="D133" s="9"/>
      <c r="E133" s="9"/>
      <c r="F133" s="9"/>
      <c r="G133" s="9"/>
      <c r="H133" s="9"/>
      <c r="I133" s="9"/>
    </row>
    <row r="134" spans="1:9" ht="14.1" customHeight="1" x14ac:dyDescent="0.2">
      <c r="A134" s="9"/>
      <c r="B134" s="18"/>
      <c r="C134" s="9"/>
      <c r="D134" s="9"/>
      <c r="E134" s="9"/>
      <c r="F134" s="9"/>
      <c r="G134" s="9"/>
      <c r="H134" s="9"/>
      <c r="I134" s="9"/>
    </row>
    <row r="135" spans="1:9" ht="14.1" customHeight="1" x14ac:dyDescent="0.2">
      <c r="A135" s="9"/>
      <c r="B135" s="18"/>
      <c r="C135" s="9"/>
      <c r="D135" s="9"/>
      <c r="E135" s="9"/>
      <c r="F135" s="9"/>
      <c r="G135" s="9"/>
      <c r="H135" s="9"/>
      <c r="I135" s="9"/>
    </row>
    <row r="136" spans="1:9" ht="14.1" customHeight="1" x14ac:dyDescent="0.2">
      <c r="A136" s="9"/>
      <c r="B136" s="18"/>
      <c r="C136" s="9"/>
      <c r="D136" s="9"/>
      <c r="E136" s="9"/>
      <c r="F136" s="9"/>
      <c r="G136" s="9"/>
      <c r="H136" s="9"/>
      <c r="I136" s="9"/>
    </row>
    <row r="137" spans="1:9" ht="14.1" customHeight="1" x14ac:dyDescent="0.2">
      <c r="A137" s="9"/>
      <c r="B137" s="18"/>
      <c r="C137" s="9"/>
      <c r="D137" s="9"/>
      <c r="E137" s="9"/>
      <c r="F137" s="9"/>
      <c r="G137" s="9"/>
      <c r="H137" s="9"/>
      <c r="I137" s="9"/>
    </row>
    <row r="138" spans="1:9" ht="14.1" customHeight="1" x14ac:dyDescent="0.2">
      <c r="A138" s="9"/>
      <c r="B138" s="18"/>
      <c r="C138" s="9"/>
      <c r="D138" s="9"/>
      <c r="E138" s="9"/>
      <c r="F138" s="9"/>
      <c r="G138" s="9"/>
      <c r="H138" s="9"/>
      <c r="I138" s="9"/>
    </row>
    <row r="139" spans="1:9" ht="14.1" customHeight="1" x14ac:dyDescent="0.2">
      <c r="A139" s="9"/>
      <c r="B139" s="18"/>
      <c r="C139" s="9"/>
      <c r="D139" s="9"/>
      <c r="E139" s="9"/>
      <c r="F139" s="9"/>
      <c r="G139" s="9"/>
      <c r="H139" s="9"/>
      <c r="I139" s="9"/>
    </row>
    <row r="140" spans="1:9" ht="14.1" customHeight="1" x14ac:dyDescent="0.2">
      <c r="A140" s="9"/>
      <c r="B140" s="18"/>
      <c r="C140" s="9"/>
      <c r="D140" s="9"/>
      <c r="E140" s="9"/>
      <c r="F140" s="9"/>
      <c r="G140" s="9"/>
      <c r="H140" s="9"/>
      <c r="I140" s="9"/>
    </row>
    <row r="141" spans="1:9" ht="14.1" customHeight="1" x14ac:dyDescent="0.2">
      <c r="A141" s="9"/>
      <c r="B141" s="18"/>
      <c r="C141" s="9"/>
      <c r="D141" s="9"/>
      <c r="E141" s="9"/>
      <c r="F141" s="9"/>
      <c r="G141" s="9"/>
      <c r="H141" s="9"/>
      <c r="I141" s="9"/>
    </row>
    <row r="142" spans="1:9" ht="14.1" customHeight="1" x14ac:dyDescent="0.2">
      <c r="A142" s="9"/>
      <c r="B142" s="18"/>
      <c r="C142" s="9"/>
      <c r="D142" s="9"/>
      <c r="E142" s="9"/>
      <c r="F142" s="9"/>
      <c r="G142" s="9"/>
      <c r="H142" s="9"/>
      <c r="I142" s="9"/>
    </row>
    <row r="143" spans="1:9" ht="14.1" customHeight="1" x14ac:dyDescent="0.2">
      <c r="A143" s="9"/>
      <c r="B143" s="18"/>
      <c r="C143" s="9"/>
      <c r="D143" s="9"/>
      <c r="E143" s="9"/>
      <c r="F143" s="9"/>
      <c r="G143" s="9"/>
      <c r="H143" s="9"/>
      <c r="I143" s="9"/>
    </row>
    <row r="144" spans="1:9" ht="14.1" customHeight="1" x14ac:dyDescent="0.2">
      <c r="A144" s="9"/>
      <c r="B144" s="18"/>
      <c r="C144" s="9"/>
      <c r="D144" s="9"/>
      <c r="E144" s="9"/>
      <c r="F144" s="9"/>
      <c r="G144" s="9"/>
      <c r="H144" s="9"/>
      <c r="I144" s="9"/>
    </row>
    <row r="145" spans="1:9" ht="14.1" customHeight="1" x14ac:dyDescent="0.2">
      <c r="A145" s="9"/>
      <c r="B145" s="18"/>
      <c r="C145" s="9"/>
      <c r="D145" s="9"/>
      <c r="E145" s="9"/>
      <c r="F145" s="9"/>
      <c r="G145" s="9"/>
      <c r="H145" s="9"/>
      <c r="I145" s="9"/>
    </row>
    <row r="146" spans="1:9" ht="14.1" customHeight="1" x14ac:dyDescent="0.2">
      <c r="A146" s="9"/>
      <c r="B146" s="18"/>
      <c r="C146" s="9"/>
      <c r="D146" s="9"/>
      <c r="E146" s="9"/>
      <c r="F146" s="9"/>
      <c r="G146" s="9"/>
      <c r="H146" s="9"/>
      <c r="I146" s="9"/>
    </row>
    <row r="147" spans="1:9" ht="14.1" customHeight="1" x14ac:dyDescent="0.2">
      <c r="A147" s="9"/>
      <c r="B147" s="18"/>
      <c r="C147" s="9"/>
      <c r="D147" s="9"/>
      <c r="E147" s="9"/>
      <c r="F147" s="9"/>
      <c r="G147" s="9"/>
      <c r="H147" s="9"/>
      <c r="I147" s="9"/>
    </row>
    <row r="148" spans="1:9" ht="14.1" customHeight="1" x14ac:dyDescent="0.2">
      <c r="A148" s="9"/>
      <c r="B148" s="18"/>
      <c r="C148" s="9"/>
      <c r="D148" s="9"/>
      <c r="E148" s="9"/>
      <c r="F148" s="9"/>
      <c r="G148" s="9"/>
      <c r="H148" s="9"/>
      <c r="I148" s="9"/>
    </row>
    <row r="149" spans="1:9" ht="14.1" customHeight="1" x14ac:dyDescent="0.2">
      <c r="A149" s="9"/>
      <c r="B149" s="18"/>
      <c r="C149" s="9"/>
      <c r="D149" s="9"/>
      <c r="E149" s="9"/>
      <c r="F149" s="9"/>
      <c r="G149" s="9"/>
      <c r="H149" s="9"/>
      <c r="I149" s="9"/>
    </row>
    <row r="150" spans="1:9" ht="14.1" customHeight="1" x14ac:dyDescent="0.2">
      <c r="A150" s="9"/>
      <c r="B150" s="18"/>
      <c r="C150" s="9"/>
      <c r="D150" s="9"/>
      <c r="E150" s="9"/>
      <c r="F150" s="9"/>
      <c r="G150" s="9"/>
      <c r="H150" s="9"/>
      <c r="I150" s="9"/>
    </row>
    <row r="151" spans="1:9" ht="14.1" customHeight="1" x14ac:dyDescent="0.2">
      <c r="A151" s="9"/>
      <c r="B151" s="18"/>
      <c r="C151" s="9"/>
      <c r="D151" s="9"/>
      <c r="E151" s="9"/>
      <c r="F151" s="9"/>
      <c r="G151" s="9"/>
      <c r="H151" s="9"/>
      <c r="I151" s="9"/>
    </row>
    <row r="152" spans="1:9" ht="14.1" customHeight="1" x14ac:dyDescent="0.2">
      <c r="A152" s="9"/>
      <c r="B152" s="18"/>
      <c r="C152" s="9"/>
      <c r="D152" s="9"/>
      <c r="E152" s="9"/>
      <c r="F152" s="9"/>
      <c r="G152" s="9"/>
      <c r="H152" s="9"/>
      <c r="I152" s="9"/>
    </row>
    <row r="153" spans="1:9" ht="14.1" customHeight="1" x14ac:dyDescent="0.2">
      <c r="A153" s="9"/>
      <c r="B153" s="18"/>
      <c r="C153" s="9"/>
      <c r="D153" s="9"/>
      <c r="E153" s="9"/>
      <c r="F153" s="9"/>
      <c r="G153" s="9"/>
      <c r="H153" s="9"/>
      <c r="I153" s="9"/>
    </row>
    <row r="154" spans="1:9" ht="14.1" customHeight="1" x14ac:dyDescent="0.2">
      <c r="A154" s="9"/>
      <c r="B154" s="18"/>
      <c r="C154" s="9"/>
      <c r="D154" s="9"/>
      <c r="E154" s="9"/>
      <c r="F154" s="9"/>
      <c r="G154" s="9"/>
      <c r="H154" s="9"/>
      <c r="I154" s="9"/>
    </row>
    <row r="155" spans="1:9" ht="14.1" customHeight="1" x14ac:dyDescent="0.2">
      <c r="A155" s="9"/>
      <c r="B155" s="18"/>
      <c r="C155" s="9"/>
      <c r="D155" s="9"/>
      <c r="E155" s="9"/>
      <c r="F155" s="9"/>
      <c r="G155" s="9"/>
      <c r="H155" s="9"/>
      <c r="I155" s="9"/>
    </row>
    <row r="156" spans="1:9" ht="14.1" customHeight="1" x14ac:dyDescent="0.2">
      <c r="A156" s="9"/>
      <c r="B156" s="18"/>
      <c r="C156" s="9"/>
      <c r="D156" s="9"/>
      <c r="E156" s="9"/>
      <c r="F156" s="9"/>
      <c r="G156" s="9"/>
      <c r="H156" s="9"/>
      <c r="I156" s="9"/>
    </row>
    <row r="157" spans="1:9" ht="14.1" customHeight="1" x14ac:dyDescent="0.2">
      <c r="A157" s="9"/>
      <c r="B157" s="18"/>
      <c r="C157" s="9"/>
      <c r="D157" s="9"/>
      <c r="E157" s="9"/>
      <c r="F157" s="9"/>
      <c r="G157" s="9"/>
      <c r="H157" s="9"/>
      <c r="I157" s="9"/>
    </row>
    <row r="158" spans="1:9" ht="14.1" customHeight="1" x14ac:dyDescent="0.2">
      <c r="A158" s="9"/>
      <c r="B158" s="18"/>
      <c r="C158" s="9"/>
      <c r="D158" s="9"/>
      <c r="E158" s="9"/>
      <c r="F158" s="9"/>
      <c r="G158" s="9"/>
      <c r="H158" s="9"/>
      <c r="I158" s="9"/>
    </row>
    <row r="159" spans="1:9" ht="14.1" customHeight="1" x14ac:dyDescent="0.2">
      <c r="A159" s="9"/>
      <c r="B159" s="18"/>
      <c r="C159" s="9"/>
      <c r="D159" s="9"/>
      <c r="E159" s="9"/>
      <c r="F159" s="9"/>
      <c r="G159" s="9"/>
      <c r="H159" s="9"/>
      <c r="I159" s="9"/>
    </row>
    <row r="160" spans="1:9" ht="14.1" customHeight="1" x14ac:dyDescent="0.2">
      <c r="A160" s="9"/>
      <c r="B160" s="18"/>
      <c r="C160" s="9"/>
      <c r="D160" s="9"/>
      <c r="E160" s="9"/>
      <c r="F160" s="9"/>
      <c r="G160" s="9"/>
      <c r="H160" s="9"/>
      <c r="I160" s="9"/>
    </row>
    <row r="161" spans="1:9" ht="14.1" customHeight="1" x14ac:dyDescent="0.2">
      <c r="A161" s="9"/>
      <c r="B161" s="18"/>
      <c r="C161" s="9"/>
      <c r="D161" s="9"/>
      <c r="E161" s="9"/>
      <c r="F161" s="9"/>
      <c r="G161" s="9"/>
      <c r="H161" s="9"/>
      <c r="I161" s="9"/>
    </row>
    <row r="162" spans="1:9" ht="14.1" customHeight="1" x14ac:dyDescent="0.2">
      <c r="A162" s="9"/>
      <c r="B162" s="18"/>
      <c r="C162" s="9"/>
      <c r="D162" s="9"/>
      <c r="E162" s="9"/>
      <c r="F162" s="9"/>
      <c r="G162" s="9"/>
      <c r="H162" s="9"/>
      <c r="I162" s="9"/>
    </row>
  </sheetData>
  <mergeCells count="7">
    <mergeCell ref="A1:I1"/>
    <mergeCell ref="A3:A5"/>
    <mergeCell ref="B3:C4"/>
    <mergeCell ref="D3:D5"/>
    <mergeCell ref="E3:F4"/>
    <mergeCell ref="G3:G5"/>
    <mergeCell ref="H3:I4"/>
  </mergeCells>
  <phoneticPr fontId="49" type="noConversion"/>
  <pageMargins left="0.86614173228346458" right="0.59055118110236227" top="0.70866141732283472" bottom="0.19685039370078741" header="0.31496062992125984" footer="0.51181102362204722"/>
  <pageSetup paperSize="9" firstPageNumber="6" orientation="landscape" useFirstPageNumber="1" r:id="rId1"/>
  <headerFooter alignWithMargins="0">
    <oddHeader>&amp;C&amp;"Arial,обычный"&amp;10&amp;P</oddHeader>
  </headerFooter>
  <rowBreaks count="2" manualBreakCount="2">
    <brk id="38" max="8" man="1"/>
    <brk id="7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M103"/>
  <sheetViews>
    <sheetView zoomScaleNormal="100" zoomScaleSheetLayoutView="100" workbookViewId="0">
      <selection activeCell="B15" sqref="B15"/>
    </sheetView>
  </sheetViews>
  <sheetFormatPr defaultColWidth="10.28515625" defaultRowHeight="14.25" x14ac:dyDescent="0.2"/>
  <cols>
    <col min="1" max="1" width="41.7109375" style="26" customWidth="1"/>
    <col min="2" max="7" width="15.140625" style="26" customWidth="1"/>
    <col min="8" max="16384" width="10.28515625" style="19"/>
  </cols>
  <sheetData>
    <row r="1" spans="1:13" ht="15" x14ac:dyDescent="0.25">
      <c r="A1" s="492" t="s">
        <v>105</v>
      </c>
      <c r="B1" s="493"/>
      <c r="C1" s="493"/>
      <c r="D1" s="493"/>
      <c r="E1" s="493"/>
      <c r="F1" s="493"/>
      <c r="G1" s="493"/>
      <c r="M1" s="22"/>
    </row>
    <row r="2" spans="1:13" s="20" customFormat="1" ht="15" x14ac:dyDescent="0.25">
      <c r="A2" s="492" t="s">
        <v>106</v>
      </c>
      <c r="B2" s="493"/>
      <c r="C2" s="493"/>
      <c r="D2" s="493"/>
      <c r="E2" s="493"/>
      <c r="F2" s="493"/>
      <c r="G2" s="493"/>
      <c r="M2" s="22"/>
    </row>
    <row r="3" spans="1:13" ht="12.95" customHeight="1" x14ac:dyDescent="0.25">
      <c r="A3" s="494" t="s">
        <v>223</v>
      </c>
      <c r="B3" s="494"/>
      <c r="C3" s="494"/>
      <c r="D3" s="494"/>
      <c r="E3" s="494"/>
      <c r="F3" s="494"/>
      <c r="G3" s="494"/>
      <c r="M3" s="24"/>
    </row>
    <row r="4" spans="1:13" ht="14.25" customHeight="1" x14ac:dyDescent="0.2">
      <c r="A4" s="489"/>
      <c r="B4" s="490" t="s">
        <v>9</v>
      </c>
      <c r="C4" s="490"/>
      <c r="D4" s="490" t="s">
        <v>11</v>
      </c>
      <c r="E4" s="490"/>
      <c r="F4" s="491" t="s">
        <v>107</v>
      </c>
      <c r="G4" s="491"/>
      <c r="M4" s="24"/>
    </row>
    <row r="5" spans="1:13" ht="11.1" customHeight="1" x14ac:dyDescent="0.2">
      <c r="A5" s="489"/>
      <c r="B5" s="490"/>
      <c r="C5" s="490"/>
      <c r="D5" s="490"/>
      <c r="E5" s="490"/>
      <c r="F5" s="491"/>
      <c r="G5" s="491"/>
      <c r="M5" s="24"/>
    </row>
    <row r="6" spans="1:13" x14ac:dyDescent="0.2">
      <c r="A6" s="489"/>
      <c r="B6" s="226" t="s">
        <v>234</v>
      </c>
      <c r="C6" s="295" t="s">
        <v>230</v>
      </c>
      <c r="D6" s="226" t="s">
        <v>234</v>
      </c>
      <c r="E6" s="295" t="s">
        <v>230</v>
      </c>
      <c r="F6" s="226" t="s">
        <v>234</v>
      </c>
      <c r="G6" s="295" t="s">
        <v>230</v>
      </c>
      <c r="H6" s="21"/>
      <c r="M6" s="24"/>
    </row>
    <row r="7" spans="1:13" s="20" customFormat="1" ht="14.1" customHeight="1" x14ac:dyDescent="0.25">
      <c r="A7" s="242" t="s">
        <v>13</v>
      </c>
      <c r="B7" s="363">
        <v>12.9</v>
      </c>
      <c r="C7" s="363">
        <v>13.3</v>
      </c>
      <c r="D7" s="363">
        <v>12.9</v>
      </c>
      <c r="E7" s="363">
        <v>13</v>
      </c>
      <c r="F7" s="378">
        <v>-0.01</v>
      </c>
      <c r="G7" s="363">
        <v>0.3</v>
      </c>
      <c r="J7" s="175"/>
      <c r="K7" s="175"/>
      <c r="L7" s="176"/>
      <c r="M7" s="24"/>
    </row>
    <row r="8" spans="1:13" s="20" customFormat="1" ht="14.1" customHeight="1" x14ac:dyDescent="0.25">
      <c r="A8" s="228" t="s">
        <v>14</v>
      </c>
      <c r="B8" s="363">
        <v>11.6</v>
      </c>
      <c r="C8" s="363">
        <v>11.7</v>
      </c>
      <c r="D8" s="363">
        <v>13.5</v>
      </c>
      <c r="E8" s="363">
        <v>13.5</v>
      </c>
      <c r="F8" s="363">
        <v>-1.9</v>
      </c>
      <c r="G8" s="363">
        <v>-1.8</v>
      </c>
      <c r="J8" s="175"/>
      <c r="K8" s="175"/>
      <c r="L8" s="176"/>
      <c r="M8" s="24"/>
    </row>
    <row r="9" spans="1:13" ht="14.1" customHeight="1" x14ac:dyDescent="0.25">
      <c r="A9" s="229" t="s">
        <v>15</v>
      </c>
      <c r="B9" s="364">
        <v>11.1</v>
      </c>
      <c r="C9" s="364">
        <v>11.5</v>
      </c>
      <c r="D9" s="364">
        <v>13.9</v>
      </c>
      <c r="E9" s="364">
        <v>13.9</v>
      </c>
      <c r="F9" s="364">
        <v>-2.8</v>
      </c>
      <c r="G9" s="364">
        <v>-2.4</v>
      </c>
      <c r="J9" s="175"/>
      <c r="K9" s="175"/>
      <c r="L9" s="176"/>
      <c r="M9" s="24"/>
    </row>
    <row r="10" spans="1:13" ht="14.1" customHeight="1" x14ac:dyDescent="0.25">
      <c r="A10" s="229" t="s">
        <v>16</v>
      </c>
      <c r="B10" s="364">
        <v>10.9</v>
      </c>
      <c r="C10" s="364">
        <v>11.4</v>
      </c>
      <c r="D10" s="364">
        <v>15.6</v>
      </c>
      <c r="E10" s="364">
        <v>15.8</v>
      </c>
      <c r="F10" s="364">
        <v>-4.7</v>
      </c>
      <c r="G10" s="364">
        <v>-4.4000000000000004</v>
      </c>
      <c r="J10" s="175"/>
      <c r="K10" s="175"/>
      <c r="L10" s="176"/>
      <c r="M10" s="24"/>
    </row>
    <row r="11" spans="1:13" ht="14.1" customHeight="1" x14ac:dyDescent="0.25">
      <c r="A11" s="229" t="s">
        <v>17</v>
      </c>
      <c r="B11" s="364">
        <v>11.2</v>
      </c>
      <c r="C11" s="364">
        <v>11.6</v>
      </c>
      <c r="D11" s="364">
        <v>16.5</v>
      </c>
      <c r="E11" s="364">
        <v>16.5</v>
      </c>
      <c r="F11" s="364">
        <v>-5.3</v>
      </c>
      <c r="G11" s="364">
        <v>-4.9000000000000004</v>
      </c>
      <c r="J11" s="175"/>
      <c r="K11" s="175"/>
      <c r="L11" s="176"/>
      <c r="M11" s="24"/>
    </row>
    <row r="12" spans="1:13" ht="14.1" customHeight="1" x14ac:dyDescent="0.25">
      <c r="A12" s="229" t="s">
        <v>18</v>
      </c>
      <c r="B12" s="364">
        <v>10.7</v>
      </c>
      <c r="C12" s="364">
        <v>11.1</v>
      </c>
      <c r="D12" s="364">
        <v>15.2</v>
      </c>
      <c r="E12" s="364">
        <v>15.3</v>
      </c>
      <c r="F12" s="364">
        <v>-4.5</v>
      </c>
      <c r="G12" s="364">
        <v>-4.2</v>
      </c>
      <c r="J12" s="175"/>
      <c r="K12" s="175"/>
      <c r="L12" s="176"/>
      <c r="M12" s="24"/>
    </row>
    <row r="13" spans="1:13" ht="14.1" customHeight="1" x14ac:dyDescent="0.25">
      <c r="A13" s="229" t="s">
        <v>19</v>
      </c>
      <c r="B13" s="364">
        <v>10.9</v>
      </c>
      <c r="C13" s="364">
        <v>11.4</v>
      </c>
      <c r="D13" s="364">
        <v>16.100000000000001</v>
      </c>
      <c r="E13" s="364">
        <v>16</v>
      </c>
      <c r="F13" s="364">
        <v>-5.2</v>
      </c>
      <c r="G13" s="364">
        <v>-4.5999999999999996</v>
      </c>
      <c r="J13" s="175"/>
      <c r="K13" s="175"/>
      <c r="L13" s="176"/>
      <c r="M13" s="24"/>
    </row>
    <row r="14" spans="1:13" ht="14.1" customHeight="1" x14ac:dyDescent="0.25">
      <c r="A14" s="229" t="s">
        <v>20</v>
      </c>
      <c r="B14" s="364">
        <v>12.1</v>
      </c>
      <c r="C14" s="364">
        <v>12.6</v>
      </c>
      <c r="D14" s="364">
        <v>15</v>
      </c>
      <c r="E14" s="364">
        <v>15</v>
      </c>
      <c r="F14" s="364">
        <v>-2.9</v>
      </c>
      <c r="G14" s="364">
        <v>-2.4</v>
      </c>
      <c r="J14" s="175"/>
      <c r="K14" s="175"/>
      <c r="L14" s="176"/>
      <c r="M14" s="24"/>
    </row>
    <row r="15" spans="1:13" ht="14.1" customHeight="1" x14ac:dyDescent="0.25">
      <c r="A15" s="230" t="s">
        <v>21</v>
      </c>
      <c r="B15" s="364">
        <v>12</v>
      </c>
      <c r="C15" s="364">
        <v>12.5</v>
      </c>
      <c r="D15" s="364">
        <v>15.6</v>
      </c>
      <c r="E15" s="364">
        <v>16</v>
      </c>
      <c r="F15" s="364">
        <v>-3.6</v>
      </c>
      <c r="G15" s="364">
        <v>-3.5</v>
      </c>
      <c r="J15" s="175"/>
      <c r="K15" s="175"/>
      <c r="L15" s="176"/>
      <c r="M15" s="24"/>
    </row>
    <row r="16" spans="1:13" ht="14.1" customHeight="1" x14ac:dyDescent="0.25">
      <c r="A16" s="229" t="s">
        <v>22</v>
      </c>
      <c r="B16" s="364">
        <v>11.1</v>
      </c>
      <c r="C16" s="364">
        <v>11.6</v>
      </c>
      <c r="D16" s="364">
        <v>16.100000000000001</v>
      </c>
      <c r="E16" s="364">
        <v>16.3</v>
      </c>
      <c r="F16" s="364">
        <v>-5</v>
      </c>
      <c r="G16" s="364">
        <v>-4.7</v>
      </c>
      <c r="J16" s="175"/>
      <c r="K16" s="175"/>
      <c r="L16" s="176"/>
      <c r="M16" s="24"/>
    </row>
    <row r="17" spans="1:13" ht="14.1" customHeight="1" x14ac:dyDescent="0.25">
      <c r="A17" s="229" t="s">
        <v>23</v>
      </c>
      <c r="B17" s="364">
        <v>11.3</v>
      </c>
      <c r="C17" s="364">
        <v>11.6</v>
      </c>
      <c r="D17" s="364">
        <v>15.2</v>
      </c>
      <c r="E17" s="364">
        <v>15.3</v>
      </c>
      <c r="F17" s="364">
        <v>-3.9</v>
      </c>
      <c r="G17" s="364">
        <v>-3.7</v>
      </c>
      <c r="J17" s="175"/>
      <c r="K17" s="175"/>
      <c r="L17" s="176"/>
      <c r="M17" s="24"/>
    </row>
    <row r="18" spans="1:13" ht="14.1" customHeight="1" x14ac:dyDescent="0.25">
      <c r="A18" s="229" t="s">
        <v>24</v>
      </c>
      <c r="B18" s="364">
        <v>13.1</v>
      </c>
      <c r="C18" s="364">
        <v>12.9</v>
      </c>
      <c r="D18" s="364">
        <v>13</v>
      </c>
      <c r="E18" s="364">
        <v>13</v>
      </c>
      <c r="F18" s="364">
        <v>0.1</v>
      </c>
      <c r="G18" s="364">
        <v>-0.1</v>
      </c>
      <c r="J18" s="175"/>
      <c r="K18" s="175"/>
      <c r="L18" s="176"/>
      <c r="M18" s="24"/>
    </row>
    <row r="19" spans="1:13" ht="14.1" customHeight="1" x14ac:dyDescent="0.25">
      <c r="A19" s="229" t="s">
        <v>25</v>
      </c>
      <c r="B19" s="364">
        <v>10.9</v>
      </c>
      <c r="C19" s="364">
        <v>11.2</v>
      </c>
      <c r="D19" s="364">
        <v>16.399999999999999</v>
      </c>
      <c r="E19" s="364">
        <v>16.399999999999999</v>
      </c>
      <c r="F19" s="364">
        <v>-5.5</v>
      </c>
      <c r="G19" s="364">
        <v>-5.2</v>
      </c>
      <c r="J19" s="175"/>
      <c r="K19" s="175"/>
      <c r="L19" s="176"/>
      <c r="M19" s="24"/>
    </row>
    <row r="20" spans="1:13" ht="14.1" customHeight="1" x14ac:dyDescent="0.25">
      <c r="A20" s="230" t="s">
        <v>26</v>
      </c>
      <c r="B20" s="364">
        <v>11.3</v>
      </c>
      <c r="C20" s="364">
        <v>11.1</v>
      </c>
      <c r="D20" s="364">
        <v>16</v>
      </c>
      <c r="E20" s="364">
        <v>15.8</v>
      </c>
      <c r="F20" s="364">
        <v>-4.7</v>
      </c>
      <c r="G20" s="364">
        <v>-4.7</v>
      </c>
      <c r="J20" s="175"/>
      <c r="K20" s="175"/>
      <c r="L20" s="176"/>
      <c r="M20" s="22"/>
    </row>
    <row r="21" spans="1:13" ht="14.1" customHeight="1" x14ac:dyDescent="0.25">
      <c r="A21" s="229" t="s">
        <v>27</v>
      </c>
      <c r="B21" s="364">
        <v>10.3</v>
      </c>
      <c r="C21" s="364">
        <v>10.5</v>
      </c>
      <c r="D21" s="364">
        <v>16.2</v>
      </c>
      <c r="E21" s="364">
        <v>16.3</v>
      </c>
      <c r="F21" s="364">
        <v>-5.9</v>
      </c>
      <c r="G21" s="364">
        <v>-5.8</v>
      </c>
      <c r="J21" s="175"/>
      <c r="K21" s="175"/>
      <c r="L21" s="176"/>
      <c r="M21" s="24"/>
    </row>
    <row r="22" spans="1:13" ht="14.1" customHeight="1" x14ac:dyDescent="0.25">
      <c r="A22" s="229" t="s">
        <v>28</v>
      </c>
      <c r="B22" s="364">
        <v>9.6</v>
      </c>
      <c r="C22" s="364">
        <v>9.8000000000000007</v>
      </c>
      <c r="D22" s="364">
        <v>15.9</v>
      </c>
      <c r="E22" s="364">
        <v>16.100000000000001</v>
      </c>
      <c r="F22" s="364">
        <v>-6.3</v>
      </c>
      <c r="G22" s="364">
        <v>-6.3</v>
      </c>
      <c r="J22" s="175"/>
      <c r="K22" s="175"/>
      <c r="L22" s="176"/>
      <c r="M22" s="24"/>
    </row>
    <row r="23" spans="1:13" ht="14.1" customHeight="1" x14ac:dyDescent="0.25">
      <c r="A23" s="229" t="s">
        <v>29</v>
      </c>
      <c r="B23" s="364">
        <v>11.1</v>
      </c>
      <c r="C23" s="364">
        <v>11.2</v>
      </c>
      <c r="D23" s="364">
        <v>17.7</v>
      </c>
      <c r="E23" s="364">
        <v>17.7</v>
      </c>
      <c r="F23" s="364">
        <v>-6.6</v>
      </c>
      <c r="G23" s="364">
        <v>-6.5</v>
      </c>
      <c r="J23" s="175"/>
      <c r="K23" s="175"/>
      <c r="L23" s="176"/>
      <c r="M23" s="24"/>
    </row>
    <row r="24" spans="1:13" ht="14.1" customHeight="1" x14ac:dyDescent="0.25">
      <c r="A24" s="229" t="s">
        <v>30</v>
      </c>
      <c r="B24" s="364">
        <v>10.199999999999999</v>
      </c>
      <c r="C24" s="364">
        <v>10.5</v>
      </c>
      <c r="D24" s="364">
        <v>17</v>
      </c>
      <c r="E24" s="364">
        <v>17.100000000000001</v>
      </c>
      <c r="F24" s="364">
        <v>-6.8</v>
      </c>
      <c r="G24" s="364">
        <v>-6.6</v>
      </c>
      <c r="J24" s="175"/>
      <c r="K24" s="175"/>
      <c r="L24" s="176"/>
      <c r="M24" s="24"/>
    </row>
    <row r="25" spans="1:13" ht="14.1" customHeight="1" x14ac:dyDescent="0.25">
      <c r="A25" s="229" t="s">
        <v>31</v>
      </c>
      <c r="B25" s="364">
        <v>12.1</v>
      </c>
      <c r="C25" s="364">
        <v>12.2</v>
      </c>
      <c r="D25" s="364">
        <v>15.7</v>
      </c>
      <c r="E25" s="364">
        <v>15.6</v>
      </c>
      <c r="F25" s="364">
        <v>-3.6</v>
      </c>
      <c r="G25" s="364">
        <v>-3.4</v>
      </c>
      <c r="J25" s="175"/>
      <c r="K25" s="175"/>
      <c r="L25" s="176"/>
      <c r="M25" s="24"/>
    </row>
    <row r="26" spans="1:13" ht="14.1" customHeight="1" x14ac:dyDescent="0.25">
      <c r="A26" s="229" t="s">
        <v>32</v>
      </c>
      <c r="B26" s="364">
        <v>11.8</v>
      </c>
      <c r="C26" s="364">
        <v>11.6</v>
      </c>
      <c r="D26" s="364">
        <v>10</v>
      </c>
      <c r="E26" s="364">
        <v>9.9</v>
      </c>
      <c r="F26" s="364">
        <v>1.8</v>
      </c>
      <c r="G26" s="364">
        <v>1.7</v>
      </c>
      <c r="J26" s="175"/>
      <c r="K26" s="175"/>
      <c r="L26" s="176"/>
      <c r="M26" s="24"/>
    </row>
    <row r="27" spans="1:13" s="20" customFormat="1" ht="14.1" customHeight="1" x14ac:dyDescent="0.25">
      <c r="A27" s="231" t="s">
        <v>33</v>
      </c>
      <c r="B27" s="363">
        <v>12.4</v>
      </c>
      <c r="C27" s="363">
        <v>12.5</v>
      </c>
      <c r="D27" s="363">
        <v>13.2</v>
      </c>
      <c r="E27" s="363">
        <v>13.4</v>
      </c>
      <c r="F27" s="363">
        <v>-0.8</v>
      </c>
      <c r="G27" s="363">
        <v>-0.9</v>
      </c>
      <c r="J27" s="175"/>
      <c r="K27" s="175"/>
      <c r="L27" s="176"/>
      <c r="M27" s="24"/>
    </row>
    <row r="28" spans="1:13" ht="14.1" customHeight="1" x14ac:dyDescent="0.25">
      <c r="A28" s="229" t="s">
        <v>34</v>
      </c>
      <c r="B28" s="364">
        <v>12</v>
      </c>
      <c r="C28" s="364">
        <v>12.2</v>
      </c>
      <c r="D28" s="364">
        <v>14.8</v>
      </c>
      <c r="E28" s="364">
        <v>15.3</v>
      </c>
      <c r="F28" s="364">
        <v>-2.8</v>
      </c>
      <c r="G28" s="364">
        <v>-3.1</v>
      </c>
      <c r="J28" s="175"/>
      <c r="K28" s="175"/>
      <c r="L28" s="176"/>
      <c r="M28" s="24"/>
    </row>
    <row r="29" spans="1:13" ht="14.1" customHeight="1" x14ac:dyDescent="0.25">
      <c r="A29" s="229" t="s">
        <v>35</v>
      </c>
      <c r="B29" s="364">
        <v>13.1</v>
      </c>
      <c r="C29" s="364">
        <v>13.7</v>
      </c>
      <c r="D29" s="364">
        <v>12.4</v>
      </c>
      <c r="E29" s="364">
        <v>12.4</v>
      </c>
      <c r="F29" s="364">
        <v>0.7</v>
      </c>
      <c r="G29" s="364">
        <v>1.3</v>
      </c>
      <c r="J29" s="175"/>
      <c r="K29" s="175"/>
      <c r="L29" s="176"/>
      <c r="M29" s="24"/>
    </row>
    <row r="30" spans="1:13" ht="14.1" customHeight="1" x14ac:dyDescent="0.25">
      <c r="A30" s="229" t="s">
        <v>36</v>
      </c>
      <c r="B30" s="364">
        <v>12</v>
      </c>
      <c r="C30" s="364">
        <v>12.4</v>
      </c>
      <c r="D30" s="364">
        <v>13.5</v>
      </c>
      <c r="E30" s="364">
        <v>13.5</v>
      </c>
      <c r="F30" s="364">
        <v>-1.5</v>
      </c>
      <c r="G30" s="364">
        <v>-1.1000000000000001</v>
      </c>
      <c r="J30" s="175"/>
      <c r="K30" s="175"/>
      <c r="L30" s="176"/>
      <c r="M30" s="24"/>
    </row>
    <row r="31" spans="1:13" ht="14.1" customHeight="1" x14ac:dyDescent="0.25">
      <c r="A31" s="229" t="s">
        <v>37</v>
      </c>
      <c r="B31" s="364">
        <v>18.5</v>
      </c>
      <c r="C31" s="364">
        <v>17.600000000000001</v>
      </c>
      <c r="D31" s="364">
        <v>8.9</v>
      </c>
      <c r="E31" s="364">
        <v>9.1999999999999993</v>
      </c>
      <c r="F31" s="364">
        <v>9.6</v>
      </c>
      <c r="G31" s="364">
        <v>8.4</v>
      </c>
      <c r="J31" s="175"/>
      <c r="K31" s="175"/>
      <c r="L31" s="176"/>
      <c r="M31" s="24"/>
    </row>
    <row r="32" spans="1:13" ht="14.1" customHeight="1" x14ac:dyDescent="0.25">
      <c r="A32" s="232" t="s">
        <v>318</v>
      </c>
      <c r="B32" s="364">
        <v>11.8</v>
      </c>
      <c r="C32" s="364">
        <v>12.2</v>
      </c>
      <c r="D32" s="364">
        <v>13.7</v>
      </c>
      <c r="E32" s="364">
        <v>13.6</v>
      </c>
      <c r="F32" s="364">
        <v>-1.9</v>
      </c>
      <c r="G32" s="364">
        <v>-1.4</v>
      </c>
      <c r="J32" s="175"/>
      <c r="K32" s="175"/>
      <c r="L32" s="176"/>
      <c r="M32" s="24"/>
    </row>
    <row r="33" spans="1:13" ht="14.1" customHeight="1" x14ac:dyDescent="0.25">
      <c r="A33" s="229" t="s">
        <v>38</v>
      </c>
      <c r="B33" s="364">
        <v>13.3</v>
      </c>
      <c r="C33" s="364">
        <v>13.7</v>
      </c>
      <c r="D33" s="364">
        <v>15</v>
      </c>
      <c r="E33" s="364">
        <v>14.8</v>
      </c>
      <c r="F33" s="364">
        <v>-1.7</v>
      </c>
      <c r="G33" s="364">
        <v>-1.1000000000000001</v>
      </c>
      <c r="J33" s="175"/>
      <c r="K33" s="175"/>
      <c r="L33" s="176"/>
      <c r="M33" s="22"/>
    </row>
    <row r="34" spans="1:13" ht="14.1" customHeight="1" x14ac:dyDescent="0.25">
      <c r="A34" s="229" t="s">
        <v>39</v>
      </c>
      <c r="B34" s="364">
        <v>12.4</v>
      </c>
      <c r="C34" s="364">
        <v>12.7</v>
      </c>
      <c r="D34" s="364">
        <v>12.5</v>
      </c>
      <c r="E34" s="364">
        <v>13.2</v>
      </c>
      <c r="F34" s="364">
        <v>-0.1</v>
      </c>
      <c r="G34" s="364">
        <v>-0.5</v>
      </c>
      <c r="J34" s="175"/>
      <c r="K34" s="175"/>
      <c r="L34" s="176"/>
      <c r="M34" s="24"/>
    </row>
    <row r="35" spans="1:13" ht="14.1" customHeight="1" x14ac:dyDescent="0.25">
      <c r="A35" s="229" t="s">
        <v>40</v>
      </c>
      <c r="B35" s="364">
        <v>9.1999999999999993</v>
      </c>
      <c r="C35" s="364">
        <v>9</v>
      </c>
      <c r="D35" s="364">
        <v>14</v>
      </c>
      <c r="E35" s="364">
        <v>14</v>
      </c>
      <c r="F35" s="364">
        <v>-4.8</v>
      </c>
      <c r="G35" s="364">
        <v>-5</v>
      </c>
      <c r="J35" s="175"/>
      <c r="K35" s="175"/>
      <c r="L35" s="176"/>
      <c r="M35" s="24"/>
    </row>
    <row r="36" spans="1:13" ht="14.1" customHeight="1" x14ac:dyDescent="0.25">
      <c r="A36" s="229" t="s">
        <v>41</v>
      </c>
      <c r="B36" s="364">
        <v>11.2</v>
      </c>
      <c r="C36" s="364">
        <v>11.9</v>
      </c>
      <c r="D36" s="364">
        <v>11.5</v>
      </c>
      <c r="E36" s="364">
        <v>11.6</v>
      </c>
      <c r="F36" s="364">
        <v>-0.3</v>
      </c>
      <c r="G36" s="364">
        <v>0.3</v>
      </c>
      <c r="J36" s="175"/>
      <c r="K36" s="175"/>
      <c r="L36" s="176"/>
      <c r="M36" s="24"/>
    </row>
    <row r="37" spans="1:13" ht="14.1" customHeight="1" x14ac:dyDescent="0.25">
      <c r="A37" s="229" t="s">
        <v>42</v>
      </c>
      <c r="B37" s="364">
        <v>11.7</v>
      </c>
      <c r="C37" s="364">
        <v>11.9</v>
      </c>
      <c r="D37" s="364">
        <v>17.5</v>
      </c>
      <c r="E37" s="364">
        <v>17.5</v>
      </c>
      <c r="F37" s="364">
        <v>-5.8</v>
      </c>
      <c r="G37" s="364">
        <v>-5.6</v>
      </c>
      <c r="J37" s="175"/>
      <c r="K37" s="175"/>
      <c r="L37" s="176"/>
      <c r="M37" s="24"/>
    </row>
    <row r="38" spans="1:13" ht="14.1" customHeight="1" x14ac:dyDescent="0.25">
      <c r="A38" s="229" t="s">
        <v>43</v>
      </c>
      <c r="B38" s="364">
        <v>11.1</v>
      </c>
      <c r="C38" s="364">
        <v>11</v>
      </c>
      <c r="D38" s="364">
        <v>17.899999999999999</v>
      </c>
      <c r="E38" s="364">
        <v>18.2</v>
      </c>
      <c r="F38" s="364">
        <v>-6.8</v>
      </c>
      <c r="G38" s="364">
        <v>-7.2</v>
      </c>
      <c r="J38" s="175"/>
      <c r="K38" s="175"/>
      <c r="L38" s="176"/>
      <c r="M38" s="24"/>
    </row>
    <row r="39" spans="1:13" s="20" customFormat="1" ht="14.1" customHeight="1" x14ac:dyDescent="0.25">
      <c r="A39" s="229" t="s">
        <v>44</v>
      </c>
      <c r="B39" s="364">
        <v>13.8</v>
      </c>
      <c r="C39" s="364">
        <v>13.6</v>
      </c>
      <c r="D39" s="364">
        <v>11.7</v>
      </c>
      <c r="E39" s="364">
        <v>11.9</v>
      </c>
      <c r="F39" s="364">
        <v>2.1</v>
      </c>
      <c r="G39" s="364">
        <v>1.7</v>
      </c>
      <c r="I39" s="362"/>
      <c r="J39" s="175"/>
      <c r="K39" s="175"/>
      <c r="L39" s="176"/>
      <c r="M39" s="24"/>
    </row>
    <row r="40" spans="1:13" ht="14.1" customHeight="1" x14ac:dyDescent="0.25">
      <c r="A40" s="233" t="s">
        <v>45</v>
      </c>
      <c r="B40" s="374">
        <v>12.3</v>
      </c>
      <c r="C40" s="374">
        <v>12.8</v>
      </c>
      <c r="D40" s="374">
        <v>13.5</v>
      </c>
      <c r="E40" s="374">
        <v>13.6</v>
      </c>
      <c r="F40" s="374">
        <v>-1.2</v>
      </c>
      <c r="G40" s="374">
        <f>C40-E40</f>
        <v>-0.79999999999999893</v>
      </c>
      <c r="H40" s="375"/>
      <c r="I40" s="376"/>
      <c r="J40" s="377"/>
      <c r="K40" s="377"/>
      <c r="L40" s="176"/>
      <c r="M40" s="25"/>
    </row>
    <row r="41" spans="1:13" ht="14.1" customHeight="1" x14ac:dyDescent="0.25">
      <c r="A41" s="229" t="s">
        <v>46</v>
      </c>
      <c r="B41" s="364">
        <v>12</v>
      </c>
      <c r="C41" s="364">
        <v>12.5</v>
      </c>
      <c r="D41" s="364">
        <v>12.9</v>
      </c>
      <c r="E41" s="364">
        <v>13</v>
      </c>
      <c r="F41" s="364">
        <v>-0.9</v>
      </c>
      <c r="G41" s="364">
        <v>-0.5</v>
      </c>
      <c r="J41" s="175"/>
      <c r="K41" s="175"/>
      <c r="L41" s="176"/>
      <c r="M41" s="24"/>
    </row>
    <row r="42" spans="1:13" ht="14.1" customHeight="1" x14ac:dyDescent="0.25">
      <c r="A42" s="229" t="s">
        <v>47</v>
      </c>
      <c r="B42" s="364">
        <v>12.4</v>
      </c>
      <c r="C42" s="364">
        <v>13.6</v>
      </c>
      <c r="D42" s="364">
        <v>9.8000000000000007</v>
      </c>
      <c r="E42" s="364">
        <v>9.8000000000000007</v>
      </c>
      <c r="F42" s="364">
        <v>2.6</v>
      </c>
      <c r="G42" s="364">
        <v>3.8</v>
      </c>
      <c r="J42" s="175"/>
      <c r="K42" s="175"/>
      <c r="L42" s="176"/>
      <c r="M42" s="24"/>
    </row>
    <row r="43" spans="1:13" ht="14.1" customHeight="1" x14ac:dyDescent="0.25">
      <c r="A43" s="229" t="s">
        <v>211</v>
      </c>
      <c r="B43" s="365">
        <v>12</v>
      </c>
      <c r="C43" s="365">
        <v>12.6</v>
      </c>
      <c r="D43" s="365">
        <v>15.2</v>
      </c>
      <c r="E43" s="365">
        <v>15.3</v>
      </c>
      <c r="F43" s="365">
        <v>-3.2</v>
      </c>
      <c r="G43" s="365">
        <v>-2.7</v>
      </c>
      <c r="J43" s="175"/>
      <c r="K43" s="175"/>
      <c r="L43" s="176"/>
    </row>
    <row r="44" spans="1:13" ht="14.1" customHeight="1" x14ac:dyDescent="0.25">
      <c r="A44" s="229" t="s">
        <v>48</v>
      </c>
      <c r="B44" s="364">
        <v>13.2</v>
      </c>
      <c r="C44" s="364">
        <v>13.5</v>
      </c>
      <c r="D44" s="364">
        <v>12.9</v>
      </c>
      <c r="E44" s="364">
        <v>13</v>
      </c>
      <c r="F44" s="364">
        <v>0.3</v>
      </c>
      <c r="G44" s="364">
        <v>0.5</v>
      </c>
      <c r="J44" s="175"/>
      <c r="K44" s="175"/>
      <c r="L44" s="176"/>
      <c r="M44" s="24"/>
    </row>
    <row r="45" spans="1:13" ht="14.1" customHeight="1" x14ac:dyDescent="0.25">
      <c r="A45" s="229" t="s">
        <v>49</v>
      </c>
      <c r="B45" s="364">
        <v>14</v>
      </c>
      <c r="C45" s="364">
        <v>14.5</v>
      </c>
      <c r="D45" s="364">
        <v>12</v>
      </c>
      <c r="E45" s="364">
        <v>12.3</v>
      </c>
      <c r="F45" s="364">
        <v>2</v>
      </c>
      <c r="G45" s="364">
        <v>2.2000000000000002</v>
      </c>
      <c r="J45" s="175"/>
      <c r="K45" s="175"/>
      <c r="L45" s="176"/>
      <c r="M45" s="24"/>
    </row>
    <row r="46" spans="1:13" ht="14.1" customHeight="1" x14ac:dyDescent="0.25">
      <c r="A46" s="229" t="s">
        <v>50</v>
      </c>
      <c r="B46" s="364">
        <v>11.2</v>
      </c>
      <c r="C46" s="364">
        <v>11.5</v>
      </c>
      <c r="D46" s="364">
        <v>13.7</v>
      </c>
      <c r="E46" s="364">
        <v>13.8</v>
      </c>
      <c r="F46" s="364">
        <v>-2.5</v>
      </c>
      <c r="G46" s="364">
        <v>-2.2999999999999998</v>
      </c>
      <c r="J46" s="175"/>
      <c r="K46" s="175"/>
      <c r="L46" s="176"/>
      <c r="M46" s="24"/>
    </row>
    <row r="47" spans="1:13" ht="14.1" customHeight="1" x14ac:dyDescent="0.25">
      <c r="A47" s="229" t="s">
        <v>51</v>
      </c>
      <c r="B47" s="364">
        <v>11.6</v>
      </c>
      <c r="C47" s="364">
        <v>12.1</v>
      </c>
      <c r="D47" s="364">
        <v>13.9</v>
      </c>
      <c r="E47" s="364">
        <v>13.9</v>
      </c>
      <c r="F47" s="364">
        <v>-2.2999999999999998</v>
      </c>
      <c r="G47" s="364">
        <v>-1.8</v>
      </c>
      <c r="J47" s="175"/>
      <c r="K47" s="175"/>
      <c r="L47" s="176"/>
      <c r="M47" s="24"/>
    </row>
    <row r="48" spans="1:13" ht="14.1" customHeight="1" x14ac:dyDescent="0.25">
      <c r="A48" s="229" t="s">
        <v>213</v>
      </c>
      <c r="B48" s="364">
        <v>12.7</v>
      </c>
      <c r="C48" s="364">
        <v>13.5</v>
      </c>
      <c r="D48" s="364">
        <v>13.9</v>
      </c>
      <c r="E48" s="364">
        <v>14.9</v>
      </c>
      <c r="F48" s="364">
        <v>-1.2</v>
      </c>
      <c r="G48" s="364">
        <v>-1.4</v>
      </c>
      <c r="J48" s="175"/>
      <c r="K48" s="175"/>
      <c r="L48" s="176"/>
    </row>
    <row r="49" spans="1:13" ht="14.1" customHeight="1" x14ac:dyDescent="0.25">
      <c r="A49" s="234" t="s">
        <v>52</v>
      </c>
      <c r="B49" s="366">
        <v>15.9</v>
      </c>
      <c r="C49" s="366">
        <v>16.600000000000001</v>
      </c>
      <c r="D49" s="366">
        <v>7.8</v>
      </c>
      <c r="E49" s="366">
        <v>7.9</v>
      </c>
      <c r="F49" s="366">
        <v>8.1</v>
      </c>
      <c r="G49" s="366">
        <v>8.6999999999999993</v>
      </c>
      <c r="J49" s="175"/>
      <c r="K49" s="175"/>
      <c r="L49" s="176"/>
      <c r="M49" s="24"/>
    </row>
    <row r="50" spans="1:13" ht="14.1" customHeight="1" x14ac:dyDescent="0.25">
      <c r="A50" s="229" t="s">
        <v>53</v>
      </c>
      <c r="B50" s="364">
        <v>17.5</v>
      </c>
      <c r="C50" s="364">
        <v>18.3</v>
      </c>
      <c r="D50" s="364">
        <v>5.2</v>
      </c>
      <c r="E50" s="364">
        <v>5.4</v>
      </c>
      <c r="F50" s="364">
        <v>12.3</v>
      </c>
      <c r="G50" s="364">
        <v>12.9</v>
      </c>
      <c r="J50" s="175"/>
      <c r="K50" s="175"/>
      <c r="L50" s="176"/>
      <c r="M50" s="22"/>
    </row>
    <row r="51" spans="1:13" ht="14.1" customHeight="1" x14ac:dyDescent="0.25">
      <c r="A51" s="229" t="s">
        <v>54</v>
      </c>
      <c r="B51" s="364">
        <v>16.3</v>
      </c>
      <c r="C51" s="364">
        <v>18.5</v>
      </c>
      <c r="D51" s="364">
        <v>3.3</v>
      </c>
      <c r="E51" s="364">
        <v>3.3</v>
      </c>
      <c r="F51" s="364">
        <v>13</v>
      </c>
      <c r="G51" s="364">
        <v>15.2</v>
      </c>
      <c r="J51" s="175"/>
      <c r="K51" s="175"/>
      <c r="L51" s="176"/>
      <c r="M51" s="24"/>
    </row>
    <row r="52" spans="1:13" ht="14.1" customHeight="1" x14ac:dyDescent="0.25">
      <c r="A52" s="229" t="s">
        <v>55</v>
      </c>
      <c r="B52" s="364">
        <v>14</v>
      </c>
      <c r="C52" s="364">
        <v>14.6</v>
      </c>
      <c r="D52" s="364">
        <v>8.6</v>
      </c>
      <c r="E52" s="364">
        <v>8.8000000000000007</v>
      </c>
      <c r="F52" s="364">
        <v>5.4</v>
      </c>
      <c r="G52" s="364">
        <v>5.8</v>
      </c>
      <c r="J52" s="175"/>
      <c r="K52" s="175"/>
      <c r="L52" s="176"/>
      <c r="M52" s="24"/>
    </row>
    <row r="53" spans="1:13" ht="14.1" customHeight="1" x14ac:dyDescent="0.25">
      <c r="A53" s="229" t="s">
        <v>56</v>
      </c>
      <c r="B53" s="364">
        <v>11.9</v>
      </c>
      <c r="C53" s="364">
        <v>12.3</v>
      </c>
      <c r="D53" s="364">
        <v>9.5</v>
      </c>
      <c r="E53" s="364">
        <v>9.6</v>
      </c>
      <c r="F53" s="364">
        <v>2.4</v>
      </c>
      <c r="G53" s="364">
        <v>2.7</v>
      </c>
      <c r="J53" s="175"/>
      <c r="K53" s="175"/>
      <c r="L53" s="176"/>
      <c r="M53" s="24"/>
    </row>
    <row r="54" spans="1:13" ht="14.1" customHeight="1" x14ac:dyDescent="0.25">
      <c r="A54" s="229" t="s">
        <v>57</v>
      </c>
      <c r="B54" s="364">
        <v>14.1</v>
      </c>
      <c r="C54" s="364">
        <v>14.6</v>
      </c>
      <c r="D54" s="364">
        <v>10.4</v>
      </c>
      <c r="E54" s="364">
        <v>10.7</v>
      </c>
      <c r="F54" s="364">
        <v>3.7</v>
      </c>
      <c r="G54" s="364">
        <v>3.9</v>
      </c>
      <c r="J54" s="175"/>
      <c r="K54" s="175"/>
      <c r="L54" s="176"/>
      <c r="M54" s="24"/>
    </row>
    <row r="55" spans="1:13" ht="14.1" customHeight="1" x14ac:dyDescent="0.25">
      <c r="A55" s="229" t="s">
        <v>58</v>
      </c>
      <c r="B55" s="364">
        <v>21.3</v>
      </c>
      <c r="C55" s="364">
        <v>23.1</v>
      </c>
      <c r="D55" s="364">
        <v>4.7</v>
      </c>
      <c r="E55" s="364">
        <v>4.9000000000000004</v>
      </c>
      <c r="F55" s="364">
        <v>16.600000000000001</v>
      </c>
      <c r="G55" s="364">
        <v>18.2</v>
      </c>
      <c r="J55" s="175"/>
      <c r="K55" s="175"/>
      <c r="L55" s="176"/>
      <c r="M55" s="24"/>
    </row>
    <row r="56" spans="1:13" s="20" customFormat="1" ht="14.1" customHeight="1" x14ac:dyDescent="0.25">
      <c r="A56" s="229" t="s">
        <v>59</v>
      </c>
      <c r="B56" s="364">
        <v>13</v>
      </c>
      <c r="C56" s="364">
        <v>13</v>
      </c>
      <c r="D56" s="364">
        <v>11.7</v>
      </c>
      <c r="E56" s="364">
        <v>11.6</v>
      </c>
      <c r="F56" s="364">
        <v>1.3</v>
      </c>
      <c r="G56" s="364">
        <v>1.4</v>
      </c>
      <c r="J56" s="175"/>
      <c r="K56" s="175"/>
      <c r="L56" s="176"/>
      <c r="M56" s="24"/>
    </row>
    <row r="57" spans="1:13" ht="14.1" customHeight="1" x14ac:dyDescent="0.25">
      <c r="A57" s="228" t="s">
        <v>60</v>
      </c>
      <c r="B57" s="363">
        <v>12.8</v>
      </c>
      <c r="C57" s="363">
        <v>13.3</v>
      </c>
      <c r="D57" s="363">
        <v>13.6</v>
      </c>
      <c r="E57" s="363">
        <v>13.9</v>
      </c>
      <c r="F57" s="363">
        <v>-0.8</v>
      </c>
      <c r="G57" s="363">
        <v>-0.6</v>
      </c>
      <c r="J57" s="175"/>
      <c r="K57" s="175"/>
      <c r="L57" s="176"/>
      <c r="M57" s="24"/>
    </row>
    <row r="58" spans="1:13" ht="14.1" customHeight="1" x14ac:dyDescent="0.25">
      <c r="A58" s="229" t="s">
        <v>61</v>
      </c>
      <c r="B58" s="364">
        <v>13.7</v>
      </c>
      <c r="C58" s="364">
        <v>14.5</v>
      </c>
      <c r="D58" s="364">
        <v>12.9</v>
      </c>
      <c r="E58" s="364">
        <v>13.3</v>
      </c>
      <c r="F58" s="364">
        <v>0.8</v>
      </c>
      <c r="G58" s="364">
        <v>1.2</v>
      </c>
      <c r="J58" s="175"/>
      <c r="K58" s="175"/>
      <c r="L58" s="176"/>
      <c r="M58" s="24"/>
    </row>
    <row r="59" spans="1:13" ht="14.1" customHeight="1" x14ac:dyDescent="0.25">
      <c r="A59" s="229" t="s">
        <v>62</v>
      </c>
      <c r="B59" s="364">
        <v>13.9</v>
      </c>
      <c r="C59" s="364">
        <v>14.4</v>
      </c>
      <c r="D59" s="364">
        <v>13.2</v>
      </c>
      <c r="E59" s="364">
        <v>13.8</v>
      </c>
      <c r="F59" s="364">
        <v>0.7</v>
      </c>
      <c r="G59" s="364">
        <v>0.6</v>
      </c>
      <c r="J59" s="175"/>
      <c r="K59" s="175"/>
      <c r="L59" s="176"/>
      <c r="M59" s="24"/>
    </row>
    <row r="60" spans="1:13" ht="14.1" customHeight="1" x14ac:dyDescent="0.25">
      <c r="A60" s="229" t="s">
        <v>63</v>
      </c>
      <c r="B60" s="364">
        <v>9.8000000000000007</v>
      </c>
      <c r="C60" s="364">
        <v>9.6999999999999993</v>
      </c>
      <c r="D60" s="364">
        <v>14.1</v>
      </c>
      <c r="E60" s="364">
        <v>14.1</v>
      </c>
      <c r="F60" s="364">
        <v>-4.3</v>
      </c>
      <c r="G60" s="364">
        <v>-4.4000000000000004</v>
      </c>
      <c r="J60" s="175"/>
      <c r="K60" s="175"/>
      <c r="L60" s="176"/>
      <c r="M60" s="24"/>
    </row>
    <row r="61" spans="1:13" ht="14.1" customHeight="1" x14ac:dyDescent="0.25">
      <c r="A61" s="229" t="s">
        <v>64</v>
      </c>
      <c r="B61" s="364">
        <v>14.3</v>
      </c>
      <c r="C61" s="364">
        <v>14.7</v>
      </c>
      <c r="D61" s="364">
        <v>11.6</v>
      </c>
      <c r="E61" s="364">
        <v>12</v>
      </c>
      <c r="F61" s="364">
        <v>2.7</v>
      </c>
      <c r="G61" s="364">
        <v>2.7</v>
      </c>
      <c r="J61" s="175"/>
      <c r="K61" s="175"/>
      <c r="L61" s="176"/>
      <c r="M61" s="24"/>
    </row>
    <row r="62" spans="1:13" ht="14.1" customHeight="1" x14ac:dyDescent="0.25">
      <c r="A62" s="229" t="s">
        <v>65</v>
      </c>
      <c r="B62" s="364">
        <v>13.8</v>
      </c>
      <c r="C62" s="364">
        <v>14.6</v>
      </c>
      <c r="D62" s="364">
        <v>12.6</v>
      </c>
      <c r="E62" s="364">
        <v>12.9</v>
      </c>
      <c r="F62" s="364">
        <v>1.2</v>
      </c>
      <c r="G62" s="364">
        <v>1.7</v>
      </c>
      <c r="J62" s="175"/>
      <c r="K62" s="175"/>
      <c r="L62" s="176"/>
      <c r="M62" s="24"/>
    </row>
    <row r="63" spans="1:13" ht="14.1" customHeight="1" x14ac:dyDescent="0.25">
      <c r="A63" s="229" t="s">
        <v>66</v>
      </c>
      <c r="B63" s="364">
        <v>13.2</v>
      </c>
      <c r="C63" s="364">
        <v>13.8</v>
      </c>
      <c r="D63" s="364">
        <v>13.2</v>
      </c>
      <c r="E63" s="364">
        <v>13.1</v>
      </c>
      <c r="F63" s="364">
        <v>0</v>
      </c>
      <c r="G63" s="364">
        <v>0.7</v>
      </c>
      <c r="J63" s="175"/>
      <c r="K63" s="175"/>
      <c r="L63" s="176"/>
      <c r="M63" s="24"/>
    </row>
    <row r="64" spans="1:13" ht="14.1" customHeight="1" x14ac:dyDescent="0.25">
      <c r="A64" s="229" t="s">
        <v>67</v>
      </c>
      <c r="B64" s="364">
        <v>14.1</v>
      </c>
      <c r="C64" s="364">
        <v>14.7</v>
      </c>
      <c r="D64" s="364">
        <v>13.8</v>
      </c>
      <c r="E64" s="364">
        <v>14.2</v>
      </c>
      <c r="F64" s="364">
        <v>0.3</v>
      </c>
      <c r="G64" s="364">
        <v>0.5</v>
      </c>
      <c r="J64" s="175"/>
      <c r="K64" s="175"/>
      <c r="L64" s="176"/>
      <c r="M64" s="24"/>
    </row>
    <row r="65" spans="1:13" ht="14.1" customHeight="1" x14ac:dyDescent="0.25">
      <c r="A65" s="229" t="s">
        <v>68</v>
      </c>
      <c r="B65" s="364">
        <v>12.6</v>
      </c>
      <c r="C65" s="364">
        <v>12.7</v>
      </c>
      <c r="D65" s="364">
        <v>14.9</v>
      </c>
      <c r="E65" s="364">
        <v>15.2</v>
      </c>
      <c r="F65" s="364">
        <v>-2.2999999999999998</v>
      </c>
      <c r="G65" s="364">
        <v>-2.5</v>
      </c>
      <c r="J65" s="175"/>
      <c r="K65" s="175"/>
      <c r="L65" s="176"/>
      <c r="M65" s="22"/>
    </row>
    <row r="66" spans="1:13" ht="14.1" customHeight="1" x14ac:dyDescent="0.25">
      <c r="A66" s="229" t="s">
        <v>69</v>
      </c>
      <c r="B66" s="364">
        <v>11.9</v>
      </c>
      <c r="C66" s="364">
        <v>12.3</v>
      </c>
      <c r="D66" s="364">
        <v>15.4</v>
      </c>
      <c r="E66" s="364">
        <v>15.5</v>
      </c>
      <c r="F66" s="364">
        <v>-3.5</v>
      </c>
      <c r="G66" s="364">
        <v>-3.2</v>
      </c>
      <c r="J66" s="175"/>
      <c r="K66" s="175"/>
      <c r="L66" s="176"/>
      <c r="M66" s="24"/>
    </row>
    <row r="67" spans="1:13" ht="14.1" customHeight="1" x14ac:dyDescent="0.25">
      <c r="A67" s="229" t="s">
        <v>70</v>
      </c>
      <c r="B67" s="364">
        <v>13.4</v>
      </c>
      <c r="C67" s="364">
        <v>14.2</v>
      </c>
      <c r="D67" s="364">
        <v>13.5</v>
      </c>
      <c r="E67" s="364">
        <v>14</v>
      </c>
      <c r="F67" s="364">
        <v>-0.1</v>
      </c>
      <c r="G67" s="364">
        <v>0.2</v>
      </c>
      <c r="J67" s="175"/>
      <c r="K67" s="175"/>
      <c r="L67" s="176"/>
      <c r="M67" s="24"/>
    </row>
    <row r="68" spans="1:13" ht="14.1" customHeight="1" x14ac:dyDescent="0.25">
      <c r="A68" s="229" t="s">
        <v>71</v>
      </c>
      <c r="B68" s="364">
        <v>10.199999999999999</v>
      </c>
      <c r="C68" s="364">
        <v>10.7</v>
      </c>
      <c r="D68" s="364">
        <v>14.5</v>
      </c>
      <c r="E68" s="364">
        <v>14.8</v>
      </c>
      <c r="F68" s="364">
        <v>-4.3</v>
      </c>
      <c r="G68" s="364">
        <v>-4.0999999999999996</v>
      </c>
      <c r="J68" s="175"/>
      <c r="K68" s="175"/>
      <c r="L68" s="176"/>
      <c r="M68" s="24"/>
    </row>
    <row r="69" spans="1:13" ht="14.1" customHeight="1" x14ac:dyDescent="0.25">
      <c r="A69" s="229" t="s">
        <v>72</v>
      </c>
      <c r="B69" s="364">
        <v>12.5</v>
      </c>
      <c r="C69" s="364">
        <v>12.8</v>
      </c>
      <c r="D69" s="364">
        <v>13.9</v>
      </c>
      <c r="E69" s="364">
        <v>14.2</v>
      </c>
      <c r="F69" s="364">
        <v>-1.4</v>
      </c>
      <c r="G69" s="364">
        <v>-1.4</v>
      </c>
      <c r="J69" s="175"/>
      <c r="K69" s="175"/>
      <c r="L69" s="176"/>
      <c r="M69" s="24"/>
    </row>
    <row r="70" spans="1:13" ht="14.1" customHeight="1" x14ac:dyDescent="0.25">
      <c r="A70" s="230" t="s">
        <v>73</v>
      </c>
      <c r="B70" s="364">
        <v>10.9</v>
      </c>
      <c r="C70" s="364">
        <v>11.5</v>
      </c>
      <c r="D70" s="364">
        <v>14</v>
      </c>
      <c r="E70" s="364">
        <v>14.2</v>
      </c>
      <c r="F70" s="364">
        <v>-3.1</v>
      </c>
      <c r="G70" s="364">
        <v>-2.7</v>
      </c>
      <c r="J70" s="175"/>
      <c r="K70" s="175"/>
      <c r="L70" s="176"/>
      <c r="M70" s="24"/>
    </row>
    <row r="71" spans="1:13" s="20" customFormat="1" ht="14.1" customHeight="1" x14ac:dyDescent="0.25">
      <c r="A71" s="229" t="s">
        <v>74</v>
      </c>
      <c r="B71" s="364">
        <v>11.6</v>
      </c>
      <c r="C71" s="364">
        <v>11.9</v>
      </c>
      <c r="D71" s="364">
        <v>14.8</v>
      </c>
      <c r="E71" s="364">
        <v>14.9</v>
      </c>
      <c r="F71" s="364">
        <v>-3.2</v>
      </c>
      <c r="G71" s="364">
        <v>-3</v>
      </c>
      <c r="J71" s="175"/>
      <c r="K71" s="175"/>
      <c r="L71" s="176"/>
      <c r="M71" s="24"/>
    </row>
    <row r="72" spans="1:13" ht="14.1" customHeight="1" x14ac:dyDescent="0.25">
      <c r="A72" s="233" t="s">
        <v>75</v>
      </c>
      <c r="B72" s="363">
        <v>14.1</v>
      </c>
      <c r="C72" s="363">
        <v>14.8</v>
      </c>
      <c r="D72" s="363">
        <v>12.3</v>
      </c>
      <c r="E72" s="363">
        <v>12.5</v>
      </c>
      <c r="F72" s="363">
        <v>1.8</v>
      </c>
      <c r="G72" s="363">
        <v>2.2999999999999998</v>
      </c>
      <c r="J72" s="175"/>
      <c r="K72" s="175"/>
      <c r="L72" s="176"/>
      <c r="M72" s="24"/>
    </row>
    <row r="73" spans="1:13" ht="14.1" customHeight="1" x14ac:dyDescent="0.25">
      <c r="A73" s="229" t="s">
        <v>76</v>
      </c>
      <c r="B73" s="364">
        <v>12.4</v>
      </c>
      <c r="C73" s="364">
        <v>13.4</v>
      </c>
      <c r="D73" s="364">
        <v>15.9</v>
      </c>
      <c r="E73" s="364">
        <v>16.100000000000001</v>
      </c>
      <c r="F73" s="364">
        <v>-3.5</v>
      </c>
      <c r="G73" s="364">
        <v>-2.7</v>
      </c>
      <c r="J73" s="175"/>
      <c r="K73" s="175"/>
      <c r="L73" s="176"/>
      <c r="M73" s="22"/>
    </row>
    <row r="74" spans="1:13" ht="14.1" customHeight="1" x14ac:dyDescent="0.25">
      <c r="A74" s="229" t="s">
        <v>77</v>
      </c>
      <c r="B74" s="364">
        <v>13.8</v>
      </c>
      <c r="C74" s="364">
        <v>14.4</v>
      </c>
      <c r="D74" s="364">
        <v>14</v>
      </c>
      <c r="E74" s="364">
        <v>14.1</v>
      </c>
      <c r="F74" s="364">
        <v>-0.2</v>
      </c>
      <c r="G74" s="364">
        <v>0.3</v>
      </c>
      <c r="J74" s="175"/>
      <c r="K74" s="175"/>
      <c r="L74" s="176"/>
      <c r="M74" s="24"/>
    </row>
    <row r="75" spans="1:13" ht="14.1" customHeight="1" x14ac:dyDescent="0.25">
      <c r="A75" s="229" t="s">
        <v>78</v>
      </c>
      <c r="B75" s="364">
        <v>15.7</v>
      </c>
      <c r="C75" s="364">
        <v>16.600000000000001</v>
      </c>
      <c r="D75" s="364">
        <v>8.1999999999999993</v>
      </c>
      <c r="E75" s="364">
        <v>8.3000000000000007</v>
      </c>
      <c r="F75" s="364">
        <v>7.5</v>
      </c>
      <c r="G75" s="364">
        <v>8.3000000000000007</v>
      </c>
      <c r="J75" s="175"/>
      <c r="K75" s="175"/>
      <c r="L75" s="176"/>
      <c r="M75" s="24"/>
    </row>
    <row r="76" spans="1:13" ht="14.1" customHeight="1" x14ac:dyDescent="0.25">
      <c r="A76" s="229" t="s">
        <v>79</v>
      </c>
      <c r="B76" s="364">
        <v>15.7</v>
      </c>
      <c r="C76" s="364">
        <v>16.600000000000001</v>
      </c>
      <c r="D76" s="364">
        <v>6.2</v>
      </c>
      <c r="E76" s="364">
        <v>6.4</v>
      </c>
      <c r="F76" s="364">
        <v>9.5</v>
      </c>
      <c r="G76" s="364">
        <v>10.199999999999999</v>
      </c>
      <c r="J76" s="175"/>
      <c r="K76" s="175"/>
      <c r="L76" s="176"/>
      <c r="M76" s="24"/>
    </row>
    <row r="77" spans="1:13" ht="14.1" customHeight="1" x14ac:dyDescent="0.25">
      <c r="A77" s="229" t="s">
        <v>80</v>
      </c>
      <c r="B77" s="364">
        <v>15.4</v>
      </c>
      <c r="C77" s="364">
        <v>16.600000000000001</v>
      </c>
      <c r="D77" s="364">
        <v>5.3</v>
      </c>
      <c r="E77" s="364">
        <v>5.3</v>
      </c>
      <c r="F77" s="364">
        <v>10.1</v>
      </c>
      <c r="G77" s="364">
        <v>11.3</v>
      </c>
      <c r="J77" s="175"/>
      <c r="K77" s="175"/>
      <c r="L77" s="176"/>
      <c r="M77" s="24"/>
    </row>
    <row r="78" spans="1:13" s="20" customFormat="1" ht="14.1" customHeight="1" x14ac:dyDescent="0.25">
      <c r="A78" s="232" t="s">
        <v>319</v>
      </c>
      <c r="B78" s="364">
        <v>15.9</v>
      </c>
      <c r="C78" s="364">
        <v>16.7</v>
      </c>
      <c r="D78" s="364">
        <v>11.4</v>
      </c>
      <c r="E78" s="364">
        <v>11.5</v>
      </c>
      <c r="F78" s="364">
        <v>4.5</v>
      </c>
      <c r="G78" s="364">
        <v>5.2</v>
      </c>
      <c r="J78" s="175"/>
      <c r="K78" s="175"/>
      <c r="L78" s="176"/>
      <c r="M78" s="24"/>
    </row>
    <row r="79" spans="1:13" ht="14.1" customHeight="1" x14ac:dyDescent="0.25">
      <c r="A79" s="229" t="s">
        <v>81</v>
      </c>
      <c r="B79" s="364">
        <v>13.3</v>
      </c>
      <c r="C79" s="364">
        <v>13.9</v>
      </c>
      <c r="D79" s="364">
        <v>13.6</v>
      </c>
      <c r="E79" s="364">
        <v>13.9</v>
      </c>
      <c r="F79" s="364">
        <v>-0.3</v>
      </c>
      <c r="G79" s="364">
        <v>0</v>
      </c>
      <c r="J79" s="175"/>
      <c r="K79" s="175"/>
      <c r="L79" s="176"/>
      <c r="M79" s="24"/>
    </row>
    <row r="80" spans="1:13" ht="14.1" customHeight="1" x14ac:dyDescent="0.25">
      <c r="A80" s="228" t="s">
        <v>82</v>
      </c>
      <c r="B80" s="363">
        <v>13.8</v>
      </c>
      <c r="C80" s="363">
        <v>14.4</v>
      </c>
      <c r="D80" s="363">
        <v>13</v>
      </c>
      <c r="E80" s="363">
        <v>13.2</v>
      </c>
      <c r="F80" s="363">
        <v>0.8</v>
      </c>
      <c r="G80" s="363">
        <v>1.2</v>
      </c>
      <c r="J80" s="175"/>
      <c r="K80" s="175"/>
      <c r="L80" s="176"/>
      <c r="M80" s="24"/>
    </row>
    <row r="81" spans="1:13" ht="14.1" customHeight="1" x14ac:dyDescent="0.25">
      <c r="A81" s="229" t="s">
        <v>83</v>
      </c>
      <c r="B81" s="364">
        <v>18</v>
      </c>
      <c r="C81" s="364">
        <v>18.8</v>
      </c>
      <c r="D81" s="364">
        <v>9.9</v>
      </c>
      <c r="E81" s="364">
        <v>10.9</v>
      </c>
      <c r="F81" s="364">
        <v>8.1</v>
      </c>
      <c r="G81" s="364">
        <v>7.9</v>
      </c>
      <c r="J81" s="175"/>
      <c r="K81" s="175"/>
      <c r="L81" s="176"/>
      <c r="M81" s="24"/>
    </row>
    <row r="82" spans="1:13" ht="14.1" customHeight="1" x14ac:dyDescent="0.25">
      <c r="A82" s="229" t="s">
        <v>84</v>
      </c>
      <c r="B82" s="364">
        <v>16.399999999999999</v>
      </c>
      <c r="C82" s="364">
        <v>17.3</v>
      </c>
      <c r="D82" s="364">
        <v>11.2</v>
      </c>
      <c r="E82" s="364">
        <v>11.4</v>
      </c>
      <c r="F82" s="364">
        <v>5.2</v>
      </c>
      <c r="G82" s="364">
        <v>5.9</v>
      </c>
      <c r="J82" s="175"/>
      <c r="K82" s="175"/>
      <c r="L82" s="176"/>
      <c r="M82" s="24"/>
    </row>
    <row r="83" spans="1:13" ht="14.1" customHeight="1" x14ac:dyDescent="0.25">
      <c r="A83" s="229" t="s">
        <v>85</v>
      </c>
      <c r="B83" s="364">
        <v>23.2</v>
      </c>
      <c r="C83" s="364">
        <v>23.8</v>
      </c>
      <c r="D83" s="364">
        <v>9.8000000000000007</v>
      </c>
      <c r="E83" s="364">
        <v>10.3</v>
      </c>
      <c r="F83" s="364">
        <v>13.4</v>
      </c>
      <c r="G83" s="364">
        <v>13.5</v>
      </c>
      <c r="J83" s="175"/>
      <c r="K83" s="175"/>
      <c r="L83" s="176"/>
      <c r="M83" s="24"/>
    </row>
    <row r="84" spans="1:13" ht="14.1" customHeight="1" x14ac:dyDescent="0.25">
      <c r="A84" s="229" t="s">
        <v>86</v>
      </c>
      <c r="B84" s="364">
        <v>14.1</v>
      </c>
      <c r="C84" s="364">
        <v>14.7</v>
      </c>
      <c r="D84" s="364">
        <v>12.8</v>
      </c>
      <c r="E84" s="364">
        <v>13.4</v>
      </c>
      <c r="F84" s="364">
        <v>1.3</v>
      </c>
      <c r="G84" s="364">
        <v>1.3</v>
      </c>
      <c r="J84" s="175"/>
      <c r="K84" s="175"/>
      <c r="L84" s="176"/>
      <c r="M84" s="24"/>
    </row>
    <row r="85" spans="1:13" ht="14.1" customHeight="1" x14ac:dyDescent="0.25">
      <c r="A85" s="229" t="s">
        <v>87</v>
      </c>
      <c r="B85" s="364">
        <v>12.1</v>
      </c>
      <c r="C85" s="364">
        <v>12.6</v>
      </c>
      <c r="D85" s="364">
        <v>14.1</v>
      </c>
      <c r="E85" s="364">
        <v>14.1</v>
      </c>
      <c r="F85" s="364">
        <v>-2</v>
      </c>
      <c r="G85" s="364">
        <v>-1.5</v>
      </c>
      <c r="J85" s="175"/>
      <c r="K85" s="175"/>
      <c r="L85" s="176"/>
      <c r="M85" s="24"/>
    </row>
    <row r="86" spans="1:13" ht="14.1" customHeight="1" x14ac:dyDescent="0.25">
      <c r="A86" s="229" t="s">
        <v>88</v>
      </c>
      <c r="B86" s="364">
        <v>14.6</v>
      </c>
      <c r="C86" s="364">
        <v>15.4</v>
      </c>
      <c r="D86" s="364">
        <v>12.3</v>
      </c>
      <c r="E86" s="364">
        <v>12.9</v>
      </c>
      <c r="F86" s="364">
        <v>2.2999999999999998</v>
      </c>
      <c r="G86" s="364">
        <v>2.5</v>
      </c>
      <c r="J86" s="175"/>
      <c r="K86" s="175"/>
      <c r="L86" s="176"/>
      <c r="M86" s="22"/>
    </row>
    <row r="87" spans="1:13" ht="14.1" customHeight="1" x14ac:dyDescent="0.25">
      <c r="A87" s="229" t="s">
        <v>89</v>
      </c>
      <c r="B87" s="364">
        <v>13.9</v>
      </c>
      <c r="C87" s="364">
        <v>14.4</v>
      </c>
      <c r="D87" s="364">
        <v>12.5</v>
      </c>
      <c r="E87" s="364">
        <v>12.7</v>
      </c>
      <c r="F87" s="364">
        <v>1.4</v>
      </c>
      <c r="G87" s="364">
        <v>1.7</v>
      </c>
      <c r="J87" s="175"/>
      <c r="K87" s="175"/>
      <c r="L87" s="176"/>
      <c r="M87" s="24"/>
    </row>
    <row r="88" spans="1:13" ht="14.1" customHeight="1" x14ac:dyDescent="0.25">
      <c r="A88" s="229" t="s">
        <v>90</v>
      </c>
      <c r="B88" s="364">
        <v>14.8</v>
      </c>
      <c r="C88" s="364">
        <v>15.3</v>
      </c>
      <c r="D88" s="364">
        <v>13.4</v>
      </c>
      <c r="E88" s="364">
        <v>13.6</v>
      </c>
      <c r="F88" s="364">
        <v>1.4</v>
      </c>
      <c r="G88" s="364">
        <v>1.7</v>
      </c>
      <c r="J88" s="175"/>
      <c r="K88" s="175"/>
      <c r="L88" s="176"/>
      <c r="M88" s="24"/>
    </row>
    <row r="89" spans="1:13" ht="14.1" customHeight="1" x14ac:dyDescent="0.25">
      <c r="A89" s="229" t="s">
        <v>91</v>
      </c>
      <c r="B89" s="364">
        <v>12.1</v>
      </c>
      <c r="C89" s="364">
        <v>12.5</v>
      </c>
      <c r="D89" s="364">
        <v>14.3</v>
      </c>
      <c r="E89" s="364">
        <v>14.5</v>
      </c>
      <c r="F89" s="364">
        <v>-2.2000000000000002</v>
      </c>
      <c r="G89" s="364">
        <v>-2</v>
      </c>
      <c r="J89" s="175"/>
      <c r="K89" s="175"/>
      <c r="L89" s="176"/>
      <c r="M89" s="24"/>
    </row>
    <row r="90" spans="1:13" ht="14.1" customHeight="1" x14ac:dyDescent="0.25">
      <c r="A90" s="229" t="s">
        <v>92</v>
      </c>
      <c r="B90" s="364">
        <v>13.8</v>
      </c>
      <c r="C90" s="364">
        <v>14.2</v>
      </c>
      <c r="D90" s="364">
        <v>13</v>
      </c>
      <c r="E90" s="364">
        <v>13.1</v>
      </c>
      <c r="F90" s="364">
        <v>0.8</v>
      </c>
      <c r="G90" s="364">
        <v>1.1000000000000001</v>
      </c>
      <c r="J90" s="175"/>
      <c r="K90" s="175"/>
      <c r="L90" s="176"/>
      <c r="M90" s="24"/>
    </row>
    <row r="91" spans="1:13" s="20" customFormat="1" ht="14.1" customHeight="1" x14ac:dyDescent="0.25">
      <c r="A91" s="229" t="s">
        <v>93</v>
      </c>
      <c r="B91" s="364">
        <v>13.3</v>
      </c>
      <c r="C91" s="364">
        <v>14.4</v>
      </c>
      <c r="D91" s="364">
        <v>13.2</v>
      </c>
      <c r="E91" s="364">
        <v>13.4</v>
      </c>
      <c r="F91" s="364">
        <v>0.1</v>
      </c>
      <c r="G91" s="364">
        <v>1</v>
      </c>
      <c r="J91" s="175"/>
      <c r="K91" s="175"/>
      <c r="L91" s="176"/>
      <c r="M91" s="24"/>
    </row>
    <row r="92" spans="1:13" ht="14.1" customHeight="1" x14ac:dyDescent="0.25">
      <c r="A92" s="229" t="s">
        <v>94</v>
      </c>
      <c r="B92" s="364">
        <v>13.2</v>
      </c>
      <c r="C92" s="364">
        <v>13.6</v>
      </c>
      <c r="D92" s="364">
        <v>11.4</v>
      </c>
      <c r="E92" s="364">
        <v>11.5</v>
      </c>
      <c r="F92" s="364">
        <v>1.8</v>
      </c>
      <c r="G92" s="364">
        <v>2.1</v>
      </c>
      <c r="J92" s="175"/>
      <c r="K92" s="175"/>
      <c r="L92" s="176"/>
      <c r="M92" s="24"/>
    </row>
    <row r="93" spans="1:13" ht="14.1" customHeight="1" x14ac:dyDescent="0.25">
      <c r="A93" s="233" t="s">
        <v>95</v>
      </c>
      <c r="B93" s="363">
        <v>13.3</v>
      </c>
      <c r="C93" s="363">
        <v>13.9</v>
      </c>
      <c r="D93" s="363">
        <v>12.5</v>
      </c>
      <c r="E93" s="363">
        <v>12.6</v>
      </c>
      <c r="F93" s="363">
        <v>0.8</v>
      </c>
      <c r="G93" s="363">
        <v>1.3</v>
      </c>
      <c r="J93" s="175"/>
      <c r="K93" s="175"/>
      <c r="L93" s="176"/>
      <c r="M93" s="24"/>
    </row>
    <row r="94" spans="1:13" ht="14.1" customHeight="1" x14ac:dyDescent="0.25">
      <c r="A94" s="229" t="s">
        <v>96</v>
      </c>
      <c r="B94" s="364">
        <v>16</v>
      </c>
      <c r="C94" s="364">
        <v>17.100000000000001</v>
      </c>
      <c r="D94" s="364">
        <v>8.4</v>
      </c>
      <c r="E94" s="364">
        <v>8.5</v>
      </c>
      <c r="F94" s="364">
        <v>7.6</v>
      </c>
      <c r="G94" s="364">
        <v>8.6</v>
      </c>
      <c r="J94" s="175"/>
      <c r="K94" s="175"/>
      <c r="L94" s="176"/>
      <c r="M94" s="24"/>
    </row>
    <row r="95" spans="1:13" ht="14.1" customHeight="1" x14ac:dyDescent="0.25">
      <c r="A95" s="229" t="s">
        <v>97</v>
      </c>
      <c r="B95" s="364">
        <v>12.9</v>
      </c>
      <c r="C95" s="364">
        <v>13.1</v>
      </c>
      <c r="D95" s="364">
        <v>11.5</v>
      </c>
      <c r="E95" s="364">
        <v>11.5</v>
      </c>
      <c r="F95" s="364">
        <v>1.4</v>
      </c>
      <c r="G95" s="364">
        <v>1.6</v>
      </c>
      <c r="J95" s="175"/>
      <c r="K95" s="175"/>
      <c r="L95" s="176"/>
      <c r="M95" s="24"/>
    </row>
    <row r="96" spans="1:13" ht="14.1" customHeight="1" x14ac:dyDescent="0.25">
      <c r="A96" s="229" t="s">
        <v>98</v>
      </c>
      <c r="B96" s="364">
        <v>12.2</v>
      </c>
      <c r="C96" s="364">
        <v>12.7</v>
      </c>
      <c r="D96" s="364">
        <v>13.6</v>
      </c>
      <c r="E96" s="364">
        <v>13.5</v>
      </c>
      <c r="F96" s="364">
        <v>-1.4</v>
      </c>
      <c r="G96" s="364">
        <v>-0.8</v>
      </c>
      <c r="J96" s="175"/>
      <c r="K96" s="175"/>
      <c r="L96" s="176"/>
      <c r="M96" s="22"/>
    </row>
    <row r="97" spans="1:13" ht="14.1" customHeight="1" x14ac:dyDescent="0.25">
      <c r="A97" s="229" t="s">
        <v>99</v>
      </c>
      <c r="B97" s="364">
        <v>13.4</v>
      </c>
      <c r="C97" s="364">
        <v>14.3</v>
      </c>
      <c r="D97" s="364">
        <v>13.1</v>
      </c>
      <c r="E97" s="364">
        <v>13.4</v>
      </c>
      <c r="F97" s="364">
        <v>0.3</v>
      </c>
      <c r="G97" s="364">
        <v>0.9</v>
      </c>
      <c r="J97" s="175"/>
      <c r="K97" s="175"/>
      <c r="L97" s="176"/>
      <c r="M97" s="155"/>
    </row>
    <row r="98" spans="1:13" ht="14.1" customHeight="1" x14ac:dyDescent="0.25">
      <c r="A98" s="229" t="s">
        <v>100</v>
      </c>
      <c r="B98" s="364">
        <v>12.9</v>
      </c>
      <c r="C98" s="364">
        <v>13.3</v>
      </c>
      <c r="D98" s="364">
        <v>13.7</v>
      </c>
      <c r="E98" s="364">
        <v>13.9</v>
      </c>
      <c r="F98" s="364">
        <v>-0.8</v>
      </c>
      <c r="G98" s="364">
        <v>-0.6</v>
      </c>
      <c r="J98" s="175"/>
      <c r="K98" s="175"/>
      <c r="L98" s="176"/>
      <c r="M98" s="24"/>
    </row>
    <row r="99" spans="1:13" ht="14.1" customHeight="1" x14ac:dyDescent="0.25">
      <c r="A99" s="229" t="s">
        <v>101</v>
      </c>
      <c r="B99" s="364">
        <v>11.2</v>
      </c>
      <c r="C99" s="364">
        <v>11.9</v>
      </c>
      <c r="D99" s="364">
        <v>11.4</v>
      </c>
      <c r="E99" s="364">
        <v>11.9</v>
      </c>
      <c r="F99" s="364">
        <v>-0.2</v>
      </c>
      <c r="G99" s="364">
        <v>0</v>
      </c>
      <c r="J99" s="175"/>
      <c r="K99" s="175"/>
      <c r="L99" s="176"/>
    </row>
    <row r="100" spans="1:13" ht="14.1" customHeight="1" x14ac:dyDescent="0.25">
      <c r="A100" s="229" t="s">
        <v>102</v>
      </c>
      <c r="B100" s="364">
        <v>14.2</v>
      </c>
      <c r="C100" s="364">
        <v>13.7</v>
      </c>
      <c r="D100" s="364">
        <v>13.1</v>
      </c>
      <c r="E100" s="364">
        <v>13.3</v>
      </c>
      <c r="F100" s="364">
        <v>1.1000000000000001</v>
      </c>
      <c r="G100" s="364">
        <v>0.4</v>
      </c>
      <c r="J100" s="175"/>
      <c r="K100" s="175"/>
      <c r="L100" s="176"/>
    </row>
    <row r="101" spans="1:13" ht="14.1" customHeight="1" x14ac:dyDescent="0.25">
      <c r="A101" s="229" t="s">
        <v>103</v>
      </c>
      <c r="B101" s="364">
        <v>13.4</v>
      </c>
      <c r="C101" s="364">
        <v>14</v>
      </c>
      <c r="D101" s="364">
        <v>15.2</v>
      </c>
      <c r="E101" s="364">
        <v>15.4</v>
      </c>
      <c r="F101" s="364">
        <v>-1.8</v>
      </c>
      <c r="G101" s="364">
        <v>-1.4</v>
      </c>
      <c r="J101" s="175"/>
      <c r="K101" s="175"/>
      <c r="L101" s="176"/>
    </row>
    <row r="102" spans="1:13" ht="14.1" customHeight="1" x14ac:dyDescent="0.25">
      <c r="A102" s="313" t="s">
        <v>104</v>
      </c>
      <c r="B102" s="367">
        <v>13.6</v>
      </c>
      <c r="C102" s="367">
        <v>13.6</v>
      </c>
      <c r="D102" s="367">
        <v>10</v>
      </c>
      <c r="E102" s="367">
        <v>9.5</v>
      </c>
      <c r="F102" s="367">
        <v>3.6</v>
      </c>
      <c r="G102" s="367">
        <v>4.0999999999999996</v>
      </c>
      <c r="J102" s="175"/>
      <c r="K102" s="175"/>
      <c r="L102" s="176"/>
    </row>
    <row r="103" spans="1:13" ht="14.1" customHeight="1" x14ac:dyDescent="0.2"/>
  </sheetData>
  <mergeCells count="7">
    <mergeCell ref="A4:A6"/>
    <mergeCell ref="B4:C5"/>
    <mergeCell ref="D4:E5"/>
    <mergeCell ref="F4:G5"/>
    <mergeCell ref="A1:G1"/>
    <mergeCell ref="A2:G2"/>
    <mergeCell ref="A3:G3"/>
  </mergeCells>
  <phoneticPr fontId="49" type="noConversion"/>
  <printOptions horizontalCentered="1"/>
  <pageMargins left="0.59055118110236227" right="0.59055118110236227" top="0.70866141732283472" bottom="0.19685039370078741" header="0.31496062992125984" footer="0.51181102362204722"/>
  <pageSetup paperSize="9" firstPageNumber="9" orientation="landscape" useFirstPageNumber="1" r:id="rId1"/>
  <headerFooter alignWithMargins="0">
    <oddHeader>&amp;C&amp;"Arial,обычный"&amp;10 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H105"/>
  <sheetViews>
    <sheetView zoomScaleNormal="100" zoomScaleSheetLayoutView="100" workbookViewId="0">
      <selection sqref="A1:E1"/>
    </sheetView>
  </sheetViews>
  <sheetFormatPr defaultColWidth="10.28515625" defaultRowHeight="12.75" x14ac:dyDescent="0.2"/>
  <cols>
    <col min="1" max="1" width="41.7109375" style="5" customWidth="1"/>
    <col min="2" max="5" width="20.140625" style="5" customWidth="1"/>
    <col min="6" max="16384" width="10.28515625" style="5"/>
  </cols>
  <sheetData>
    <row r="1" spans="1:8" s="27" customFormat="1" ht="15" x14ac:dyDescent="0.25">
      <c r="A1" s="495" t="s">
        <v>108</v>
      </c>
      <c r="B1" s="495"/>
      <c r="C1" s="495"/>
      <c r="D1" s="495"/>
      <c r="E1" s="495"/>
    </row>
    <row r="2" spans="1:8" s="27" customFormat="1" ht="15" x14ac:dyDescent="0.25">
      <c r="A2" s="496" t="s">
        <v>109</v>
      </c>
      <c r="B2" s="496"/>
      <c r="C2" s="496"/>
      <c r="D2" s="496"/>
      <c r="E2" s="496"/>
    </row>
    <row r="3" spans="1:8" x14ac:dyDescent="0.2">
      <c r="A3" s="28"/>
      <c r="B3" s="29"/>
      <c r="C3" s="29"/>
      <c r="D3" s="29"/>
      <c r="E3" s="29"/>
    </row>
    <row r="4" spans="1:8" x14ac:dyDescent="0.2">
      <c r="A4" s="497"/>
      <c r="B4" s="498" t="s">
        <v>234</v>
      </c>
      <c r="C4" s="498"/>
      <c r="D4" s="498" t="s">
        <v>230</v>
      </c>
      <c r="E4" s="498"/>
    </row>
    <row r="5" spans="1:8" ht="25.5" x14ac:dyDescent="0.2">
      <c r="A5" s="497"/>
      <c r="B5" s="235" t="s">
        <v>250</v>
      </c>
      <c r="C5" s="235" t="s">
        <v>110</v>
      </c>
      <c r="D5" s="235" t="s">
        <v>250</v>
      </c>
      <c r="E5" s="235" t="s">
        <v>110</v>
      </c>
    </row>
    <row r="6" spans="1:8" x14ac:dyDescent="0.2">
      <c r="A6" s="243" t="s">
        <v>13</v>
      </c>
      <c r="B6" s="30">
        <v>397588</v>
      </c>
      <c r="C6" s="186">
        <f>ROUND(B6/ТАБ_2!B6*100,1)</f>
        <v>21.1</v>
      </c>
      <c r="D6" s="30">
        <v>419443</v>
      </c>
      <c r="E6" s="186">
        <f>ТАБ_4!D6/ТАБ_2!C6*100</f>
        <v>21.61432232338905</v>
      </c>
      <c r="F6" s="10"/>
      <c r="H6" s="157"/>
    </row>
    <row r="7" spans="1:8" x14ac:dyDescent="0.2">
      <c r="A7" s="244" t="s">
        <v>14</v>
      </c>
      <c r="B7" s="30">
        <v>84728</v>
      </c>
      <c r="C7" s="186">
        <f>ROUND(B7/ТАБ_2!B7*100,1)</f>
        <v>18.600000000000001</v>
      </c>
      <c r="D7" s="30">
        <v>86578</v>
      </c>
      <c r="E7" s="186">
        <f>ТАБ_4!D7/ТАБ_2!C7*100</f>
        <v>18.94614295499257</v>
      </c>
      <c r="F7" s="10"/>
      <c r="H7" s="157"/>
    </row>
    <row r="8" spans="1:8" x14ac:dyDescent="0.2">
      <c r="A8" s="245" t="s">
        <v>15</v>
      </c>
      <c r="B8" s="32">
        <v>2470</v>
      </c>
      <c r="C8" s="187">
        <f>ROUND(B8/ТАБ_2!B8*100,1)</f>
        <v>14.3</v>
      </c>
      <c r="D8" s="32">
        <v>2572</v>
      </c>
      <c r="E8" s="187">
        <f>ТАБ_4!D8/ТАБ_2!C8*100</f>
        <v>14.471389185843694</v>
      </c>
      <c r="F8" s="11"/>
      <c r="H8" s="157"/>
    </row>
    <row r="9" spans="1:8" x14ac:dyDescent="0.2">
      <c r="A9" s="245" t="s">
        <v>16</v>
      </c>
      <c r="B9" s="32">
        <v>2406</v>
      </c>
      <c r="C9" s="187">
        <f>ROUND(B9/ТАБ_2!B9*100,1)</f>
        <v>18</v>
      </c>
      <c r="D9" s="32">
        <v>2597</v>
      </c>
      <c r="E9" s="187">
        <f>ТАБ_4!D9/ТАБ_2!C9*100</f>
        <v>18.457711442786071</v>
      </c>
      <c r="F9" s="11"/>
      <c r="H9" s="157"/>
    </row>
    <row r="10" spans="1:8" x14ac:dyDescent="0.2">
      <c r="A10" s="245" t="s">
        <v>17</v>
      </c>
      <c r="B10" s="156">
        <v>3060</v>
      </c>
      <c r="C10" s="187">
        <f>ROUND(B10/ТАБ_2!B10*100,1)</f>
        <v>19.5</v>
      </c>
      <c r="D10" s="156">
        <v>3294</v>
      </c>
      <c r="E10" s="187">
        <f>ТАБ_4!D10/ТАБ_2!C10*100</f>
        <v>20.315776489453558</v>
      </c>
      <c r="F10" s="11"/>
      <c r="H10" s="157"/>
    </row>
    <row r="11" spans="1:8" x14ac:dyDescent="0.2">
      <c r="A11" s="245" t="s">
        <v>18</v>
      </c>
      <c r="B11" s="156">
        <v>3963</v>
      </c>
      <c r="C11" s="187">
        <f>ROUND(B11/ТАБ_2!B11*100,1)</f>
        <v>15.9</v>
      </c>
      <c r="D11" s="156">
        <v>4259</v>
      </c>
      <c r="E11" s="187">
        <f>ТАБ_4!D11/ТАБ_2!C11*100</f>
        <v>16.507112127436923</v>
      </c>
      <c r="F11" s="11"/>
      <c r="H11" s="157"/>
    </row>
    <row r="12" spans="1:8" x14ac:dyDescent="0.2">
      <c r="A12" s="245" t="s">
        <v>19</v>
      </c>
      <c r="B12" s="156">
        <v>2416</v>
      </c>
      <c r="C12" s="187">
        <f>ROUND(B12/ТАБ_2!B12*100,1)</f>
        <v>21.7</v>
      </c>
      <c r="D12" s="156">
        <v>2628</v>
      </c>
      <c r="E12" s="187">
        <f>ТАБ_4!D12/ТАБ_2!C12*100</f>
        <v>22.36024844720497</v>
      </c>
      <c r="F12" s="11"/>
      <c r="H12" s="157"/>
    </row>
    <row r="13" spans="1:8" x14ac:dyDescent="0.2">
      <c r="A13" s="245" t="s">
        <v>20</v>
      </c>
      <c r="B13" s="156">
        <v>2484</v>
      </c>
      <c r="C13" s="187">
        <f>ROUND(B13/ТАБ_2!B13*100,1)</f>
        <v>20.3</v>
      </c>
      <c r="D13" s="156">
        <v>2762</v>
      </c>
      <c r="E13" s="187">
        <f>ТАБ_4!D13/ТАБ_2!C13*100</f>
        <v>21.622044778456239</v>
      </c>
      <c r="F13" s="11"/>
      <c r="H13" s="157"/>
    </row>
    <row r="14" spans="1:8" x14ac:dyDescent="0.2">
      <c r="A14" s="246" t="s">
        <v>21</v>
      </c>
      <c r="B14" s="156">
        <v>1381</v>
      </c>
      <c r="C14" s="187">
        <f>ROUND(B14/ТАБ_2!B14*100,1)</f>
        <v>17.600000000000001</v>
      </c>
      <c r="D14" s="156">
        <v>1453</v>
      </c>
      <c r="E14" s="187">
        <f>ТАБ_4!D14/ТАБ_2!C14*100</f>
        <v>17.826033615507299</v>
      </c>
      <c r="F14" s="11"/>
      <c r="H14" s="157"/>
    </row>
    <row r="15" spans="1:8" x14ac:dyDescent="0.2">
      <c r="A15" s="245" t="s">
        <v>22</v>
      </c>
      <c r="B15" s="156">
        <v>2188</v>
      </c>
      <c r="C15" s="187">
        <f>ROUND(B15/ТАБ_2!B15*100,1)</f>
        <v>17.600000000000001</v>
      </c>
      <c r="D15" s="156">
        <v>2375</v>
      </c>
      <c r="E15" s="187">
        <f>ТАБ_4!D15/ТАБ_2!C15*100</f>
        <v>18.224370779619399</v>
      </c>
      <c r="F15" s="11"/>
      <c r="H15" s="157"/>
    </row>
    <row r="16" spans="1:8" x14ac:dyDescent="0.2">
      <c r="A16" s="245" t="s">
        <v>23</v>
      </c>
      <c r="B16" s="32">
        <v>2144</v>
      </c>
      <c r="C16" s="187">
        <f>ROUND(B16/ТАБ_2!B16*100,1)</f>
        <v>16.399999999999999</v>
      </c>
      <c r="D16" s="32">
        <v>2329</v>
      </c>
      <c r="E16" s="187">
        <f>ТАБ_4!D16/ТАБ_2!C16*100</f>
        <v>17.344355078939529</v>
      </c>
      <c r="F16" s="11"/>
      <c r="H16" s="157"/>
    </row>
    <row r="17" spans="1:8" x14ac:dyDescent="0.2">
      <c r="A17" s="245" t="s">
        <v>24</v>
      </c>
      <c r="B17" s="32">
        <v>18347</v>
      </c>
      <c r="C17" s="187">
        <f>ROUND(B17/ТАБ_2!B17*100,1)</f>
        <v>19</v>
      </c>
      <c r="D17" s="32">
        <v>18072</v>
      </c>
      <c r="E17" s="187">
        <f>ТАБ_4!D17/ТАБ_2!C17*100</f>
        <v>19.187565030896312</v>
      </c>
      <c r="F17" s="11"/>
      <c r="H17" s="157"/>
    </row>
    <row r="18" spans="1:8" x14ac:dyDescent="0.2">
      <c r="A18" s="245" t="s">
        <v>25</v>
      </c>
      <c r="B18" s="32">
        <v>1562</v>
      </c>
      <c r="C18" s="187">
        <f>ROUND(B18/ТАБ_2!B18*100,1)</f>
        <v>18.899999999999999</v>
      </c>
      <c r="D18" s="32">
        <v>1608</v>
      </c>
      <c r="E18" s="187">
        <f>ТАБ_4!D18/ТАБ_2!C18*100</f>
        <v>18.780658724597057</v>
      </c>
      <c r="F18" s="11"/>
      <c r="H18" s="157"/>
    </row>
    <row r="19" spans="1:8" x14ac:dyDescent="0.2">
      <c r="A19" s="246" t="s">
        <v>26</v>
      </c>
      <c r="B19" s="32">
        <v>2253</v>
      </c>
      <c r="C19" s="187">
        <f>ROUND(B19/ТАБ_2!B19*100,1)</f>
        <v>17.600000000000001</v>
      </c>
      <c r="D19" s="32">
        <v>2285</v>
      </c>
      <c r="E19" s="187">
        <f>ТАБ_4!D19/ТАБ_2!C19*100</f>
        <v>18.192675159235669</v>
      </c>
      <c r="F19" s="11"/>
      <c r="H19" s="157"/>
    </row>
    <row r="20" spans="1:8" x14ac:dyDescent="0.2">
      <c r="A20" s="245" t="s">
        <v>27</v>
      </c>
      <c r="B20" s="32">
        <v>2239</v>
      </c>
      <c r="C20" s="187">
        <f>ROUND(B20/ТАБ_2!B20*100,1)</f>
        <v>22.7</v>
      </c>
      <c r="D20" s="32">
        <v>2252</v>
      </c>
      <c r="E20" s="187">
        <f>ТАБ_4!D20/ТАБ_2!C20*100</f>
        <v>22.224415276818316</v>
      </c>
      <c r="F20" s="11"/>
      <c r="H20" s="157"/>
    </row>
    <row r="21" spans="1:8" x14ac:dyDescent="0.2">
      <c r="A21" s="245" t="s">
        <v>28</v>
      </c>
      <c r="B21" s="32">
        <v>1821</v>
      </c>
      <c r="C21" s="187">
        <f>ROUND(B21/ТАБ_2!B21*100,1)</f>
        <v>18.100000000000001</v>
      </c>
      <c r="D21" s="32">
        <v>1840</v>
      </c>
      <c r="E21" s="187">
        <f>ТАБ_4!D21/ТАБ_2!C21*100</f>
        <v>17.822549399457575</v>
      </c>
      <c r="F21" s="11"/>
      <c r="H21" s="157"/>
    </row>
    <row r="22" spans="1:8" x14ac:dyDescent="0.2">
      <c r="A22" s="245" t="s">
        <v>29</v>
      </c>
      <c r="B22" s="32">
        <v>3113</v>
      </c>
      <c r="C22" s="187">
        <f>ROUND(B22/ТАБ_2!B22*100,1)</f>
        <v>21.5</v>
      </c>
      <c r="D22" s="32">
        <v>3276</v>
      </c>
      <c r="E22" s="187">
        <f>ТАБ_4!D22/ТАБ_2!C22*100</f>
        <v>22.255434782608695</v>
      </c>
      <c r="F22" s="11"/>
      <c r="H22" s="157"/>
    </row>
    <row r="23" spans="1:8" x14ac:dyDescent="0.2">
      <c r="A23" s="245" t="s">
        <v>30</v>
      </c>
      <c r="B23" s="32">
        <v>3093</v>
      </c>
      <c r="C23" s="187">
        <f>ROUND(B23/ТАБ_2!B23*100,1)</f>
        <v>20.3</v>
      </c>
      <c r="D23" s="32">
        <v>3351</v>
      </c>
      <c r="E23" s="187">
        <f>ТАБ_4!D23/ТАБ_2!C23*100</f>
        <v>21.186065625592718</v>
      </c>
      <c r="F23" s="11"/>
      <c r="H23" s="157"/>
    </row>
    <row r="24" spans="1:8" x14ac:dyDescent="0.2">
      <c r="A24" s="245" t="s">
        <v>31</v>
      </c>
      <c r="B24" s="32">
        <v>3125</v>
      </c>
      <c r="C24" s="187">
        <f>ROUND(B24/ТАБ_2!B24*100,1)</f>
        <v>20.399999999999999</v>
      </c>
      <c r="D24" s="32">
        <v>3231</v>
      </c>
      <c r="E24" s="187">
        <f>ТАБ_4!D24/ТАБ_2!C24*100</f>
        <v>20.897742707457471</v>
      </c>
      <c r="F24" s="11"/>
      <c r="H24" s="157"/>
    </row>
    <row r="25" spans="1:8" x14ac:dyDescent="0.2">
      <c r="A25" s="245" t="s">
        <v>32</v>
      </c>
      <c r="B25" s="156">
        <v>26663</v>
      </c>
      <c r="C25" s="187">
        <f>ROUND(B25/ТАБ_2!B25*100,1)</f>
        <v>18.399999999999999</v>
      </c>
      <c r="D25" s="156">
        <v>26394</v>
      </c>
      <c r="E25" s="187">
        <f>ТАБ_4!D25/ТАБ_2!C25*100</f>
        <v>18.559876239364321</v>
      </c>
      <c r="F25" s="11"/>
      <c r="H25" s="157"/>
    </row>
    <row r="26" spans="1:8" x14ac:dyDescent="0.2">
      <c r="A26" s="247" t="s">
        <v>33</v>
      </c>
      <c r="B26" s="33">
        <v>35438</v>
      </c>
      <c r="C26" s="186">
        <f>ROUND(B26/ТАБ_2!B26*100,1)</f>
        <v>20.5</v>
      </c>
      <c r="D26" s="33">
        <v>37464</v>
      </c>
      <c r="E26" s="186">
        <f>ТАБ_4!D26/ТАБ_2!C26*100</f>
        <v>21.613887719014844</v>
      </c>
      <c r="F26" s="10"/>
      <c r="H26" s="157"/>
    </row>
    <row r="27" spans="1:8" x14ac:dyDescent="0.2">
      <c r="A27" s="245" t="s">
        <v>34</v>
      </c>
      <c r="B27" s="32">
        <v>1837</v>
      </c>
      <c r="C27" s="187">
        <f>ROUND(B27/ТАБ_2!B27*100,1)</f>
        <v>24.4</v>
      </c>
      <c r="D27" s="32">
        <v>1975</v>
      </c>
      <c r="E27" s="187">
        <f>ТАБ_4!D27/ТАБ_2!C27*100</f>
        <v>25.56303391146777</v>
      </c>
      <c r="F27" s="11"/>
      <c r="H27" s="157"/>
    </row>
    <row r="28" spans="1:8" x14ac:dyDescent="0.2">
      <c r="A28" s="245" t="s">
        <v>35</v>
      </c>
      <c r="B28" s="32">
        <v>3210</v>
      </c>
      <c r="C28" s="187">
        <f>ROUND(B28/ТАБ_2!B28*100,1)</f>
        <v>28.6</v>
      </c>
      <c r="D28" s="32">
        <v>3457</v>
      </c>
      <c r="E28" s="187">
        <f>ТАБ_4!D28/ТАБ_2!C28*100</f>
        <v>29.323946051403848</v>
      </c>
      <c r="F28" s="11"/>
      <c r="H28" s="157"/>
    </row>
    <row r="29" spans="1:8" x14ac:dyDescent="0.2">
      <c r="A29" s="245" t="s">
        <v>36</v>
      </c>
      <c r="B29" s="32">
        <v>3590</v>
      </c>
      <c r="C29" s="187">
        <f>ROUND(B29/ТАБ_2!B29*100,1)</f>
        <v>25.5</v>
      </c>
      <c r="D29" s="32">
        <v>3984</v>
      </c>
      <c r="E29" s="187">
        <f>ТАБ_4!D29/ТАБ_2!C29*100</f>
        <v>27.172282089755832</v>
      </c>
      <c r="F29" s="11"/>
      <c r="H29" s="157"/>
    </row>
    <row r="30" spans="1:8" x14ac:dyDescent="0.2">
      <c r="A30" s="245" t="s">
        <v>37</v>
      </c>
      <c r="B30" s="32">
        <v>299</v>
      </c>
      <c r="C30" s="187">
        <f>ROUND(B30/ТАБ_2!B30*100,1)</f>
        <v>36.9</v>
      </c>
      <c r="D30" s="32">
        <v>304</v>
      </c>
      <c r="E30" s="187">
        <f>ТАБ_4!D30/ТАБ_2!C30*100</f>
        <v>39.634941329856581</v>
      </c>
      <c r="F30" s="11"/>
      <c r="H30" s="157"/>
    </row>
    <row r="31" spans="1:8" x14ac:dyDescent="0.2">
      <c r="A31" s="248" t="s">
        <v>318</v>
      </c>
      <c r="B31" s="32">
        <v>3291</v>
      </c>
      <c r="C31" s="187">
        <f>ROUND(B31/ТАБ_2!B31*100,1)</f>
        <v>24.8</v>
      </c>
      <c r="D31" s="32">
        <v>3680</v>
      </c>
      <c r="E31" s="187">
        <f>ТАБ_4!D31/ТАБ_2!C31*100</f>
        <v>26.484346887369558</v>
      </c>
      <c r="F31" s="11"/>
      <c r="H31" s="157"/>
    </row>
    <row r="32" spans="1:8" x14ac:dyDescent="0.2">
      <c r="A32" s="245" t="s">
        <v>38</v>
      </c>
      <c r="B32" s="32">
        <v>3946</v>
      </c>
      <c r="C32" s="187">
        <f>ROUND(B32/ТАБ_2!B32*100,1)</f>
        <v>25.1</v>
      </c>
      <c r="D32" s="32">
        <v>4175</v>
      </c>
      <c r="E32" s="187">
        <f>ТАБ_4!D32/ТАБ_2!C32*100</f>
        <v>25.535168195718654</v>
      </c>
      <c r="F32" s="11"/>
      <c r="H32" s="157"/>
    </row>
    <row r="33" spans="1:8" x14ac:dyDescent="0.2">
      <c r="A33" s="245" t="s">
        <v>39</v>
      </c>
      <c r="B33" s="32">
        <v>2240</v>
      </c>
      <c r="C33" s="187">
        <f>ROUND(B33/ТАБ_2!B33*100,1)</f>
        <v>18.399999999999999</v>
      </c>
      <c r="D33" s="32">
        <v>2437</v>
      </c>
      <c r="E33" s="187">
        <f>ТАБ_4!D33/ТАБ_2!C33*100</f>
        <v>19.654810871844504</v>
      </c>
      <c r="F33" s="11"/>
      <c r="H33" s="157"/>
    </row>
    <row r="34" spans="1:8" x14ac:dyDescent="0.2">
      <c r="A34" s="245" t="s">
        <v>40</v>
      </c>
      <c r="B34" s="32">
        <v>3611</v>
      </c>
      <c r="C34" s="187">
        <f>ROUND(B34/ТАБ_2!B34*100,1)</f>
        <v>22.1</v>
      </c>
      <c r="D34" s="32">
        <v>3721</v>
      </c>
      <c r="E34" s="187">
        <f>ТАБ_4!D34/ТАБ_2!C34*100</f>
        <v>23.15782922579039</v>
      </c>
      <c r="F34" s="11"/>
      <c r="H34" s="157"/>
    </row>
    <row r="35" spans="1:8" x14ac:dyDescent="0.2">
      <c r="A35" s="245" t="s">
        <v>41</v>
      </c>
      <c r="B35" s="32">
        <v>1639</v>
      </c>
      <c r="C35" s="187">
        <f>ROUND(B35/ТАБ_2!B35*100,1)</f>
        <v>19.2</v>
      </c>
      <c r="D35" s="32">
        <v>1866</v>
      </c>
      <c r="E35" s="187">
        <f>ТАБ_4!D35/ТАБ_2!C35*100</f>
        <v>20.480737569970366</v>
      </c>
      <c r="F35" s="11"/>
      <c r="H35" s="157"/>
    </row>
    <row r="36" spans="1:8" x14ac:dyDescent="0.2">
      <c r="A36" s="245" t="s">
        <v>42</v>
      </c>
      <c r="B36" s="32">
        <v>1640</v>
      </c>
      <c r="C36" s="187">
        <f>ROUND(B36/ТАБ_2!B36*100,1)</f>
        <v>22.8</v>
      </c>
      <c r="D36" s="32">
        <v>1599</v>
      </c>
      <c r="E36" s="187">
        <f>ТАБ_4!D36/ТАБ_2!C36*100</f>
        <v>21.76991150442478</v>
      </c>
      <c r="F36" s="11"/>
      <c r="H36" s="157"/>
    </row>
    <row r="37" spans="1:8" x14ac:dyDescent="0.2">
      <c r="A37" s="245" t="s">
        <v>43</v>
      </c>
      <c r="B37" s="32">
        <v>1321</v>
      </c>
      <c r="C37" s="187">
        <f>ROUND(B37/ТАБ_2!B37*100,1)</f>
        <v>18.399999999999999</v>
      </c>
      <c r="D37" s="32">
        <v>1676</v>
      </c>
      <c r="E37" s="187">
        <f>ТАБ_4!D37/ТАБ_2!C37*100</f>
        <v>23.44055944055944</v>
      </c>
      <c r="F37" s="11"/>
      <c r="H37" s="157"/>
    </row>
    <row r="38" spans="1:8" x14ac:dyDescent="0.2">
      <c r="A38" s="245" t="s">
        <v>44</v>
      </c>
      <c r="B38" s="32">
        <v>12404</v>
      </c>
      <c r="C38" s="187">
        <f>ROUND(B38/ТАБ_2!B38*100,1)</f>
        <v>17.100000000000001</v>
      </c>
      <c r="D38" s="32">
        <v>12574</v>
      </c>
      <c r="E38" s="187">
        <f>ТАБ_4!D38/ТАБ_2!C38*100</f>
        <v>17.776709598065963</v>
      </c>
      <c r="F38" s="11"/>
      <c r="H38" s="157"/>
    </row>
    <row r="39" spans="1:8" x14ac:dyDescent="0.2">
      <c r="A39" s="249" t="s">
        <v>45</v>
      </c>
      <c r="B39" s="379">
        <v>39899</v>
      </c>
      <c r="C39" s="380">
        <f>ROUND(B39/ТАБ_2!B39*100,1)</f>
        <v>19.8</v>
      </c>
      <c r="D39" s="379">
        <v>42708</v>
      </c>
      <c r="E39" s="380">
        <f>ТАБ_4!D39/ТАБ_2!C39*100</f>
        <v>20.500168002688042</v>
      </c>
      <c r="F39" s="10"/>
      <c r="H39" s="157"/>
    </row>
    <row r="40" spans="1:8" x14ac:dyDescent="0.2">
      <c r="A40" s="245" t="s">
        <v>46</v>
      </c>
      <c r="B40" s="32">
        <v>993</v>
      </c>
      <c r="C40" s="187">
        <f>ROUND(B40/ТАБ_2!B40*100,1)</f>
        <v>18.399999999999999</v>
      </c>
      <c r="D40" s="32">
        <v>1018</v>
      </c>
      <c r="E40" s="187">
        <f>ТАБ_4!D40/ТАБ_2!C40*100</f>
        <v>18.091345299449085</v>
      </c>
      <c r="F40" s="11"/>
      <c r="H40" s="157"/>
    </row>
    <row r="41" spans="1:8" x14ac:dyDescent="0.2">
      <c r="A41" s="245" t="s">
        <v>47</v>
      </c>
      <c r="B41" s="32">
        <v>672</v>
      </c>
      <c r="C41" s="187">
        <f>ROUND(B41/ТАБ_2!B41*100,1)</f>
        <v>19.399999999999999</v>
      </c>
      <c r="D41" s="32">
        <v>751</v>
      </c>
      <c r="E41" s="187">
        <f>ТАБ_4!D41/ТАБ_2!C41*100</f>
        <v>19.768360094761782</v>
      </c>
      <c r="F41" s="11"/>
      <c r="H41" s="157"/>
    </row>
    <row r="42" spans="1:8" x14ac:dyDescent="0.2">
      <c r="A42" s="245" t="s">
        <v>211</v>
      </c>
      <c r="B42" s="32">
        <v>4681</v>
      </c>
      <c r="C42" s="189">
        <f>ROUND(B42/ТАБ_2!B42*100,1)</f>
        <v>20.399999999999999</v>
      </c>
      <c r="D42" s="32">
        <v>5377</v>
      </c>
      <c r="E42" s="189">
        <f>ТАБ_4!D42/ТАБ_2!C42*100</f>
        <v>22.367818960855278</v>
      </c>
      <c r="F42" s="11"/>
      <c r="H42" s="157"/>
    </row>
    <row r="43" spans="1:8" x14ac:dyDescent="0.2">
      <c r="A43" s="245" t="s">
        <v>48</v>
      </c>
      <c r="B43" s="156">
        <v>13494</v>
      </c>
      <c r="C43" s="187">
        <f>ROUND(B43/ТАБ_2!B43*100,1)</f>
        <v>18.5</v>
      </c>
      <c r="D43" s="156">
        <v>13993</v>
      </c>
      <c r="E43" s="187">
        <f>ТАБ_4!D43/ТАБ_2!C43*100</f>
        <v>18.879609266430101</v>
      </c>
      <c r="F43" s="11"/>
      <c r="H43" s="157"/>
    </row>
    <row r="44" spans="1:8" x14ac:dyDescent="0.2">
      <c r="A44" s="245" t="s">
        <v>49</v>
      </c>
      <c r="B44" s="32">
        <v>3080</v>
      </c>
      <c r="C44" s="187">
        <f>ROUND(B44/ТАБ_2!B44*100,1)</f>
        <v>21.6</v>
      </c>
      <c r="D44" s="32">
        <v>3397</v>
      </c>
      <c r="E44" s="187">
        <f>ТАБ_4!D44/ТАБ_2!C44*100</f>
        <v>22.900094377780775</v>
      </c>
      <c r="F44" s="11"/>
      <c r="H44" s="157"/>
    </row>
    <row r="45" spans="1:8" x14ac:dyDescent="0.2">
      <c r="A45" s="245" t="s">
        <v>50</v>
      </c>
      <c r="B45" s="32">
        <v>6361</v>
      </c>
      <c r="C45" s="187">
        <f>ROUND(B45/ТАБ_2!B45*100,1)</f>
        <v>22.4</v>
      </c>
      <c r="D45" s="32">
        <v>6639</v>
      </c>
      <c r="E45" s="187">
        <f>ТАБ_4!D45/ТАБ_2!C45*100</f>
        <v>22.631668655190047</v>
      </c>
      <c r="F45" s="11"/>
      <c r="H45" s="157"/>
    </row>
    <row r="46" spans="1:8" x14ac:dyDescent="0.2">
      <c r="A46" s="245" t="s">
        <v>51</v>
      </c>
      <c r="B46" s="32">
        <v>9721</v>
      </c>
      <c r="C46" s="187">
        <f>ROUND(B46/ТАБ_2!B46*100,1)</f>
        <v>19.8</v>
      </c>
      <c r="D46" s="32">
        <v>10522</v>
      </c>
      <c r="E46" s="187">
        <f>ТАБ_4!D46/ТАБ_2!C46*100</f>
        <v>20.598657034905347</v>
      </c>
      <c r="F46" s="11"/>
      <c r="H46" s="157"/>
    </row>
    <row r="47" spans="1:8" x14ac:dyDescent="0.2">
      <c r="A47" s="245" t="s">
        <v>213</v>
      </c>
      <c r="B47" s="32">
        <v>897</v>
      </c>
      <c r="C47" s="187">
        <f>ROUND(B47/ТАБ_2!B47*100,1)</f>
        <v>16.8</v>
      </c>
      <c r="D47" s="32">
        <v>1011</v>
      </c>
      <c r="E47" s="187">
        <f>ТАБ_4!D47/ТАБ_2!C47*100</f>
        <v>18.388504910876684</v>
      </c>
      <c r="F47" s="11"/>
      <c r="H47" s="157"/>
    </row>
    <row r="48" spans="1:8" x14ac:dyDescent="0.2">
      <c r="A48" s="250" t="s">
        <v>52</v>
      </c>
      <c r="B48" s="33">
        <v>30000</v>
      </c>
      <c r="C48" s="188">
        <f>ROUND(B48/ТАБ_2!B48*100,1)</f>
        <v>19.399999999999999</v>
      </c>
      <c r="D48" s="33">
        <v>30481</v>
      </c>
      <c r="E48" s="188">
        <f>ТАБ_4!D48/ТАБ_2!C48*100</f>
        <v>19.003117206982544</v>
      </c>
      <c r="F48" s="10"/>
      <c r="H48" s="157"/>
    </row>
    <row r="49" spans="1:8" x14ac:dyDescent="0.2">
      <c r="A49" s="245" t="s">
        <v>53</v>
      </c>
      <c r="B49" s="32">
        <v>10888</v>
      </c>
      <c r="C49" s="187">
        <f>ROUND(B49/ТАБ_2!B49*100,1)</f>
        <v>20.6</v>
      </c>
      <c r="D49" s="32">
        <v>10680</v>
      </c>
      <c r="E49" s="187">
        <f>ТАБ_4!D49/ТАБ_2!C49*100</f>
        <v>19.465252337470613</v>
      </c>
      <c r="F49" s="11"/>
      <c r="H49" s="157"/>
    </row>
    <row r="50" spans="1:8" x14ac:dyDescent="0.2">
      <c r="A50" s="245" t="s">
        <v>54</v>
      </c>
      <c r="B50" s="32">
        <v>1184</v>
      </c>
      <c r="C50" s="187">
        <f>ROUND(B50/ТАБ_2!B50*100,1)</f>
        <v>15.3</v>
      </c>
      <c r="D50" s="32">
        <v>1284</v>
      </c>
      <c r="E50" s="187">
        <f>ТАБ_4!D50/ТАБ_2!C50*100</f>
        <v>14.849080605990517</v>
      </c>
      <c r="F50" s="11"/>
      <c r="H50" s="157"/>
    </row>
    <row r="51" spans="1:8" x14ac:dyDescent="0.2">
      <c r="A51" s="245" t="s">
        <v>55</v>
      </c>
      <c r="B51" s="32">
        <v>1275</v>
      </c>
      <c r="C51" s="187">
        <f>ROUND(B51/ТАБ_2!B51*100,1)</f>
        <v>10.5</v>
      </c>
      <c r="D51" s="32">
        <v>1358</v>
      </c>
      <c r="E51" s="187">
        <f>ТАБ_4!D51/ТАБ_2!C51*100</f>
        <v>10.781200381073356</v>
      </c>
      <c r="F51" s="11"/>
      <c r="H51" s="157"/>
    </row>
    <row r="52" spans="1:8" x14ac:dyDescent="0.2">
      <c r="A52" s="245" t="s">
        <v>56</v>
      </c>
      <c r="B52" s="32">
        <v>1013</v>
      </c>
      <c r="C52" s="187">
        <f>ROUND(B52/ТАБ_2!B52*100,1)</f>
        <v>18.2</v>
      </c>
      <c r="D52" s="32">
        <v>976</v>
      </c>
      <c r="E52" s="187">
        <f>ТАБ_4!D52/ТАБ_2!C52*100</f>
        <v>16.897506925207757</v>
      </c>
      <c r="F52" s="11"/>
      <c r="H52" s="157"/>
    </row>
    <row r="53" spans="1:8" x14ac:dyDescent="0.2">
      <c r="A53" s="245" t="s">
        <v>57</v>
      </c>
      <c r="B53" s="32">
        <v>2369</v>
      </c>
      <c r="C53" s="187">
        <f>ROUND(B53/ТАБ_2!B53*100,1)</f>
        <v>23.9</v>
      </c>
      <c r="D53" s="32">
        <v>2317</v>
      </c>
      <c r="E53" s="187">
        <f>ТАБ_4!D53/ТАБ_2!C53*100</f>
        <v>22.58064516129032</v>
      </c>
      <c r="F53" s="11"/>
      <c r="H53" s="157"/>
    </row>
    <row r="54" spans="1:8" x14ac:dyDescent="0.2">
      <c r="A54" s="245" t="s">
        <v>58</v>
      </c>
      <c r="B54" s="32">
        <v>5484</v>
      </c>
      <c r="C54" s="187">
        <f>ROUND(B54/ТАБ_2!B54*100,1)</f>
        <v>18.3</v>
      </c>
      <c r="D54" s="32">
        <v>5957</v>
      </c>
      <c r="E54" s="187">
        <f>ТАБ_4!D54/ТАБ_2!C54*100</f>
        <v>18.692732521651813</v>
      </c>
      <c r="F54" s="11"/>
      <c r="H54" s="157"/>
    </row>
    <row r="55" spans="1:8" x14ac:dyDescent="0.2">
      <c r="A55" s="245" t="s">
        <v>59</v>
      </c>
      <c r="B55" s="32">
        <v>7787</v>
      </c>
      <c r="C55" s="187">
        <f>ROUND(B55/ТАБ_2!B55*100,1)</f>
        <v>21.4</v>
      </c>
      <c r="D55" s="32">
        <v>7909</v>
      </c>
      <c r="E55" s="187">
        <f>ТАБ_4!D55/ТАБ_2!C55*100</f>
        <v>21.736979524529339</v>
      </c>
      <c r="F55" s="11"/>
      <c r="H55" s="157"/>
    </row>
    <row r="56" spans="1:8" x14ac:dyDescent="0.2">
      <c r="A56" s="244" t="s">
        <v>60</v>
      </c>
      <c r="B56" s="33">
        <v>72389</v>
      </c>
      <c r="C56" s="186">
        <f>ROUND(B56/ТАБ_2!B56*100,1)</f>
        <v>19</v>
      </c>
      <c r="D56" s="33">
        <v>77798</v>
      </c>
      <c r="E56" s="186">
        <f>ТАБ_4!D56/ТАБ_2!C56*100</f>
        <v>19.667265800576889</v>
      </c>
      <c r="F56" s="10"/>
      <c r="H56" s="157"/>
    </row>
    <row r="57" spans="1:8" x14ac:dyDescent="0.2">
      <c r="A57" s="245" t="s">
        <v>61</v>
      </c>
      <c r="B57" s="32">
        <v>9761</v>
      </c>
      <c r="C57" s="187">
        <f>ROUND(B57/ТАБ_2!B57*100,1)</f>
        <v>17.5</v>
      </c>
      <c r="D57" s="32">
        <v>10649</v>
      </c>
      <c r="E57" s="187">
        <f>ТАБ_4!D57/ТАБ_2!C57*100</f>
        <v>18.040590906010706</v>
      </c>
      <c r="F57" s="11"/>
      <c r="H57" s="157"/>
    </row>
    <row r="58" spans="1:8" x14ac:dyDescent="0.2">
      <c r="A58" s="245" t="s">
        <v>62</v>
      </c>
      <c r="B58" s="32">
        <v>2191</v>
      </c>
      <c r="C58" s="187">
        <f>ROUND(B58/ТАБ_2!B58*100,1)</f>
        <v>23</v>
      </c>
      <c r="D58" s="32">
        <v>2284</v>
      </c>
      <c r="E58" s="187">
        <f>ТАБ_4!D58/ТАБ_2!C58*100</f>
        <v>23.03580433686334</v>
      </c>
      <c r="F58" s="11"/>
      <c r="H58" s="157"/>
    </row>
    <row r="59" spans="1:8" x14ac:dyDescent="0.2">
      <c r="A59" s="245" t="s">
        <v>63</v>
      </c>
      <c r="B59" s="32">
        <v>1285</v>
      </c>
      <c r="C59" s="187">
        <f>ROUND(B59/ТАБ_2!B59*100,1)</f>
        <v>16.2</v>
      </c>
      <c r="D59" s="32">
        <v>1315</v>
      </c>
      <c r="E59" s="187">
        <f>ТАБ_4!D59/ТАБ_2!C59*100</f>
        <v>16.715393415533239</v>
      </c>
      <c r="F59" s="11"/>
      <c r="H59" s="157"/>
    </row>
    <row r="60" spans="1:8" x14ac:dyDescent="0.2">
      <c r="A60" s="245" t="s">
        <v>64</v>
      </c>
      <c r="B60" s="32">
        <v>8685</v>
      </c>
      <c r="C60" s="187">
        <f>ROUND(B60/ТАБ_2!B60*100,1)</f>
        <v>15.6</v>
      </c>
      <c r="D60" s="32">
        <v>9281</v>
      </c>
      <c r="E60" s="187">
        <f>ТАБ_4!D60/ТАБ_2!C60*100</f>
        <v>16.398105940139228</v>
      </c>
      <c r="F60" s="11"/>
      <c r="H60" s="157"/>
    </row>
    <row r="61" spans="1:8" x14ac:dyDescent="0.2">
      <c r="A61" s="245" t="s">
        <v>65</v>
      </c>
      <c r="B61" s="32">
        <v>4720</v>
      </c>
      <c r="C61" s="187">
        <f>ROUND(B61/ТАБ_2!B61*100,1)</f>
        <v>22.5</v>
      </c>
      <c r="D61" s="32">
        <v>5058</v>
      </c>
      <c r="E61" s="187">
        <f>ТАБ_4!D61/ТАБ_2!C61*100</f>
        <v>22.840370286746445</v>
      </c>
      <c r="F61" s="11"/>
      <c r="H61" s="157"/>
    </row>
    <row r="62" spans="1:8" x14ac:dyDescent="0.2">
      <c r="A62" s="245" t="s">
        <v>66</v>
      </c>
      <c r="B62" s="32">
        <v>3036</v>
      </c>
      <c r="C62" s="187">
        <f>ROUND(B62/ТАБ_2!B62*100,1)</f>
        <v>18.600000000000001</v>
      </c>
      <c r="D62" s="32">
        <v>3214</v>
      </c>
      <c r="E62" s="187">
        <f>ТАБ_4!D62/ТАБ_2!C62*100</f>
        <v>18.759119827233992</v>
      </c>
      <c r="F62" s="11"/>
      <c r="H62" s="157"/>
    </row>
    <row r="63" spans="1:8" x14ac:dyDescent="0.2">
      <c r="A63" s="245" t="s">
        <v>67</v>
      </c>
      <c r="B63" s="32">
        <v>10645</v>
      </c>
      <c r="C63" s="187">
        <f>ROUND(B63/ТАБ_2!B63*100,1)</f>
        <v>28.6</v>
      </c>
      <c r="D63" s="32">
        <v>11609</v>
      </c>
      <c r="E63" s="187">
        <f>ТАБ_4!D63/ТАБ_2!C63*100</f>
        <v>29.950207682980317</v>
      </c>
      <c r="F63" s="11"/>
      <c r="H63" s="157"/>
    </row>
    <row r="64" spans="1:8" x14ac:dyDescent="0.2">
      <c r="A64" s="245" t="s">
        <v>68</v>
      </c>
      <c r="B64" s="32">
        <v>3776</v>
      </c>
      <c r="C64" s="187">
        <f>ROUND(B64/ТАБ_2!B64*100,1)</f>
        <v>23.2</v>
      </c>
      <c r="D64" s="32">
        <v>3891</v>
      </c>
      <c r="E64" s="187">
        <f>ТАБ_4!D64/ТАБ_2!C64*100</f>
        <v>23.519100580270795</v>
      </c>
      <c r="F64" s="11"/>
      <c r="H64" s="157"/>
    </row>
    <row r="65" spans="1:8" x14ac:dyDescent="0.2">
      <c r="A65" s="245" t="s">
        <v>69</v>
      </c>
      <c r="B65" s="32">
        <v>6325</v>
      </c>
      <c r="C65" s="187">
        <f>ROUND(B65/ТАБ_2!B65*100,1)</f>
        <v>16.399999999999999</v>
      </c>
      <c r="D65" s="32">
        <v>6932</v>
      </c>
      <c r="E65" s="187">
        <f>ТАБ_4!D65/ТАБ_2!C65*100</f>
        <v>17.289369980545718</v>
      </c>
      <c r="F65" s="11"/>
      <c r="H65" s="157"/>
    </row>
    <row r="66" spans="1:8" x14ac:dyDescent="0.2">
      <c r="A66" s="245" t="s">
        <v>70</v>
      </c>
      <c r="B66" s="32">
        <v>5160</v>
      </c>
      <c r="C66" s="187">
        <f>ROUND(B66/ТАБ_2!B66*100,1)</f>
        <v>19.3</v>
      </c>
      <c r="D66" s="32">
        <v>5784</v>
      </c>
      <c r="E66" s="187">
        <f>ТАБ_4!D66/ТАБ_2!C66*100</f>
        <v>20.382704302780422</v>
      </c>
      <c r="F66" s="11"/>
      <c r="H66" s="157"/>
    </row>
    <row r="67" spans="1:8" x14ac:dyDescent="0.2">
      <c r="A67" s="245" t="s">
        <v>71</v>
      </c>
      <c r="B67" s="32">
        <v>1864</v>
      </c>
      <c r="C67" s="187">
        <f>ROUND(B67/ТАБ_2!B67*100,1)</f>
        <v>13.6</v>
      </c>
      <c r="D67" s="32">
        <v>1868</v>
      </c>
      <c r="E67" s="187">
        <f>ТАБ_4!D67/ТАБ_2!C67*100</f>
        <v>12.908575772234125</v>
      </c>
      <c r="F67" s="11"/>
      <c r="H67" s="157"/>
    </row>
    <row r="68" spans="1:8" x14ac:dyDescent="0.2">
      <c r="A68" s="245" t="s">
        <v>72</v>
      </c>
      <c r="B68" s="32">
        <v>6876</v>
      </c>
      <c r="C68" s="187">
        <f>ROUND(B68/ТАБ_2!B68*100,1)</f>
        <v>17.100000000000001</v>
      </c>
      <c r="D68" s="32">
        <v>7092</v>
      </c>
      <c r="E68" s="187">
        <f>ТАБ_4!D68/ТАБ_2!C68*100</f>
        <v>17.303469477382521</v>
      </c>
      <c r="F68" s="11"/>
      <c r="H68" s="157"/>
    </row>
    <row r="69" spans="1:8" x14ac:dyDescent="0.2">
      <c r="A69" s="246" t="s">
        <v>73</v>
      </c>
      <c r="B69" s="32">
        <v>5633</v>
      </c>
      <c r="C69" s="187">
        <f>ROUND(B69/ТАБ_2!B69*100,1)</f>
        <v>20.8</v>
      </c>
      <c r="D69" s="32">
        <v>6203</v>
      </c>
      <c r="E69" s="187">
        <f>ТАБ_4!D69/ТАБ_2!C69*100</f>
        <v>21.653227214018919</v>
      </c>
      <c r="F69" s="11"/>
      <c r="H69" s="157"/>
    </row>
    <row r="70" spans="1:8" x14ac:dyDescent="0.2">
      <c r="A70" s="245" t="s">
        <v>74</v>
      </c>
      <c r="B70" s="32">
        <v>2432</v>
      </c>
      <c r="C70" s="187">
        <f>ROUND(B70/ТАБ_2!B70*100,1)</f>
        <v>16.7</v>
      </c>
      <c r="D70" s="32">
        <v>2618</v>
      </c>
      <c r="E70" s="187">
        <f>ТАБ_4!D70/ТАБ_2!C70*100</f>
        <v>17.447517494168611</v>
      </c>
      <c r="F70" s="11"/>
      <c r="H70" s="157"/>
    </row>
    <row r="71" spans="1:8" x14ac:dyDescent="0.2">
      <c r="A71" s="249" t="s">
        <v>75</v>
      </c>
      <c r="B71" s="33">
        <v>38108</v>
      </c>
      <c r="C71" s="186">
        <f>ROUND(B71/ТАБ_2!B71*100,1)</f>
        <v>21.9</v>
      </c>
      <c r="D71" s="33">
        <v>41081</v>
      </c>
      <c r="E71" s="186">
        <f>ТАБ_4!D71/ТАБ_2!C71*100</f>
        <v>22.53718160422644</v>
      </c>
      <c r="F71" s="10"/>
      <c r="H71" s="157"/>
    </row>
    <row r="72" spans="1:8" x14ac:dyDescent="0.2">
      <c r="A72" s="245" t="s">
        <v>76</v>
      </c>
      <c r="B72" s="32">
        <v>2369</v>
      </c>
      <c r="C72" s="187">
        <f>ROUND(B72/ТАБ_2!B72*100,1)</f>
        <v>22.2</v>
      </c>
      <c r="D72" s="32">
        <v>2627</v>
      </c>
      <c r="E72" s="187">
        <f>ТАБ_4!D72/ТАБ_2!C72*100</f>
        <v>22.709197786998615</v>
      </c>
      <c r="F72" s="11"/>
      <c r="H72" s="157"/>
    </row>
    <row r="73" spans="1:8" x14ac:dyDescent="0.2">
      <c r="A73" s="245" t="s">
        <v>77</v>
      </c>
      <c r="B73" s="32">
        <v>13844</v>
      </c>
      <c r="C73" s="187">
        <f>ROUND(B73/ТАБ_2!B73*100,1)</f>
        <v>23.1</v>
      </c>
      <c r="D73" s="32">
        <v>15028</v>
      </c>
      <c r="E73" s="187">
        <f>ТАБ_4!D73/ТАБ_2!C73*100</f>
        <v>24.148348116724513</v>
      </c>
      <c r="F73" s="11"/>
      <c r="H73" s="157"/>
    </row>
    <row r="74" spans="1:8" x14ac:dyDescent="0.2">
      <c r="A74" s="245" t="s">
        <v>78</v>
      </c>
      <c r="B74" s="32">
        <v>11654</v>
      </c>
      <c r="C74" s="187">
        <f>ROUND(B74/ТАБ_2!B74*100,1)</f>
        <v>20.399999999999999</v>
      </c>
      <c r="D74" s="32">
        <v>12446</v>
      </c>
      <c r="E74" s="187">
        <f>ТАБ_4!D74/ТАБ_2!C74*100</f>
        <v>20.78177962564077</v>
      </c>
      <c r="F74" s="11"/>
      <c r="H74" s="157"/>
    </row>
    <row r="75" spans="1:8" x14ac:dyDescent="0.2">
      <c r="A75" s="245" t="s">
        <v>79</v>
      </c>
      <c r="B75" s="32">
        <v>4589</v>
      </c>
      <c r="C75" s="187">
        <f>ROUND(B75/ТАБ_2!B75*100,1)</f>
        <v>17.899999999999999</v>
      </c>
      <c r="D75" s="32">
        <v>4962</v>
      </c>
      <c r="E75" s="187">
        <f>ТАБ_4!D75/ТАБ_2!C75*100</f>
        <v>18.470815961882074</v>
      </c>
      <c r="F75" s="11"/>
      <c r="H75" s="157"/>
    </row>
    <row r="76" spans="1:8" x14ac:dyDescent="0.2">
      <c r="A76" s="245" t="s">
        <v>80</v>
      </c>
      <c r="B76" s="32">
        <v>1745</v>
      </c>
      <c r="C76" s="187">
        <f>ROUND(B76/ТАБ_2!B76*100,1)</f>
        <v>21.1</v>
      </c>
      <c r="D76" s="32">
        <v>1934</v>
      </c>
      <c r="E76" s="187">
        <f>ТАБ_4!D76/ТАБ_2!C76*100</f>
        <v>21.69864243240211</v>
      </c>
      <c r="F76" s="11"/>
      <c r="H76" s="157"/>
    </row>
    <row r="77" spans="1:8" x14ac:dyDescent="0.2">
      <c r="A77" s="248" t="s">
        <v>319</v>
      </c>
      <c r="B77" s="32">
        <v>5320</v>
      </c>
      <c r="C77" s="187">
        <f>ROUND(B77/ТАБ_2!B77*100,1)</f>
        <v>22.9</v>
      </c>
      <c r="D77" s="32">
        <v>5550</v>
      </c>
      <c r="E77" s="187">
        <f>ТАБ_4!D77/ТАБ_2!C77*100</f>
        <v>23.017584605175845</v>
      </c>
      <c r="F77" s="11"/>
      <c r="H77" s="157"/>
    </row>
    <row r="78" spans="1:8" x14ac:dyDescent="0.2">
      <c r="A78" s="245" t="s">
        <v>81</v>
      </c>
      <c r="B78" s="32">
        <v>10241</v>
      </c>
      <c r="C78" s="187">
        <f>ROUND(B78/ТАБ_2!B78*100,1)</f>
        <v>22</v>
      </c>
      <c r="D78" s="32">
        <v>10980</v>
      </c>
      <c r="E78" s="187">
        <f>ТАБ_4!D78/ТАБ_2!C78*100</f>
        <v>22.596312150148172</v>
      </c>
      <c r="F78" s="11"/>
      <c r="H78" s="157"/>
    </row>
    <row r="79" spans="1:8" x14ac:dyDescent="0.2">
      <c r="A79" s="244" t="s">
        <v>82</v>
      </c>
      <c r="B79" s="33">
        <v>72595</v>
      </c>
      <c r="C79" s="186">
        <f>ROUND(B79/ТАБ_2!B79*100,1)</f>
        <v>27.3</v>
      </c>
      <c r="D79" s="33">
        <v>77421</v>
      </c>
      <c r="E79" s="186">
        <f>ТАБ_4!D79/ТАБ_2!C79*100</f>
        <v>27.910623708943039</v>
      </c>
      <c r="F79" s="10"/>
      <c r="H79" s="157"/>
    </row>
    <row r="80" spans="1:8" x14ac:dyDescent="0.2">
      <c r="A80" s="245" t="s">
        <v>83</v>
      </c>
      <c r="B80" s="32">
        <v>1159</v>
      </c>
      <c r="C80" s="187">
        <f>ROUND(B80/ТАБ_2!B80*100,1)</f>
        <v>29.8</v>
      </c>
      <c r="D80" s="32">
        <v>1211</v>
      </c>
      <c r="E80" s="187">
        <f>ТАБ_4!D80/ТАБ_2!C80*100</f>
        <v>30.101913994531444</v>
      </c>
      <c r="F80" s="11"/>
      <c r="H80" s="157"/>
    </row>
    <row r="81" spans="1:8" x14ac:dyDescent="0.2">
      <c r="A81" s="245" t="s">
        <v>84</v>
      </c>
      <c r="B81" s="32">
        <v>5208</v>
      </c>
      <c r="C81" s="187">
        <f>ROUND(B81/ТАБ_2!B81*100,1)</f>
        <v>32.299999999999997</v>
      </c>
      <c r="D81" s="32">
        <v>5689</v>
      </c>
      <c r="E81" s="187">
        <f>ТАБ_4!D81/ТАБ_2!C81*100</f>
        <v>33.589183444529731</v>
      </c>
      <c r="F81" s="11"/>
      <c r="H81" s="157"/>
    </row>
    <row r="82" spans="1:8" x14ac:dyDescent="0.2">
      <c r="A82" s="245" t="s">
        <v>85</v>
      </c>
      <c r="B82" s="32">
        <v>4734</v>
      </c>
      <c r="C82" s="187">
        <f>ROUND(B82/ТАБ_2!B82*100,1)</f>
        <v>64.2</v>
      </c>
      <c r="D82" s="32">
        <v>4916</v>
      </c>
      <c r="E82" s="187">
        <f>ТАБ_4!D82/ТАБ_2!C82*100</f>
        <v>65.616657768286174</v>
      </c>
      <c r="F82" s="11"/>
      <c r="H82" s="157"/>
    </row>
    <row r="83" spans="1:8" x14ac:dyDescent="0.2">
      <c r="A83" s="245" t="s">
        <v>86</v>
      </c>
      <c r="B83" s="32">
        <v>2136</v>
      </c>
      <c r="C83" s="187">
        <f>ROUND(B83/ТАБ_2!B83*100,1)</f>
        <v>28.1</v>
      </c>
      <c r="D83" s="32">
        <v>2173</v>
      </c>
      <c r="E83" s="187">
        <f>ТАБ_4!D83/ТАБ_2!C83*100</f>
        <v>27.604166666666668</v>
      </c>
      <c r="F83" s="11"/>
      <c r="H83" s="157"/>
    </row>
    <row r="84" spans="1:8" x14ac:dyDescent="0.2">
      <c r="A84" s="245" t="s">
        <v>87</v>
      </c>
      <c r="B84" s="32">
        <v>6681</v>
      </c>
      <c r="C84" s="187">
        <f>ROUND(B84/ТАБ_2!B84*100,1)</f>
        <v>23.3</v>
      </c>
      <c r="D84" s="32">
        <v>6933</v>
      </c>
      <c r="E84" s="187">
        <f>ТАБ_4!D84/ТАБ_2!C84*100</f>
        <v>23.048537234042556</v>
      </c>
      <c r="F84" s="11"/>
      <c r="H84" s="157"/>
    </row>
    <row r="85" spans="1:8" x14ac:dyDescent="0.2">
      <c r="A85" s="245" t="s">
        <v>88</v>
      </c>
      <c r="B85" s="32">
        <v>5078</v>
      </c>
      <c r="C85" s="187">
        <f>ROUND(B85/ТАБ_2!B85*100,1)</f>
        <v>32.200000000000003</v>
      </c>
      <c r="D85" s="32">
        <v>5420</v>
      </c>
      <c r="E85" s="187">
        <f>ТАБ_4!D85/ТАБ_2!C85*100</f>
        <v>32.369804108934538</v>
      </c>
      <c r="F85" s="11"/>
      <c r="H85" s="157"/>
    </row>
    <row r="86" spans="1:8" x14ac:dyDescent="0.2">
      <c r="A86" s="245" t="s">
        <v>89</v>
      </c>
      <c r="B86" s="32">
        <v>10396</v>
      </c>
      <c r="C86" s="187">
        <f>ROUND(B86/ТАБ_2!B86*100,1)</f>
        <v>26.1</v>
      </c>
      <c r="D86" s="32">
        <v>11076</v>
      </c>
      <c r="E86" s="187">
        <f>ТАБ_4!D86/ТАБ_2!C86*100</f>
        <v>26.892633419123001</v>
      </c>
      <c r="F86" s="11"/>
      <c r="H86" s="157"/>
    </row>
    <row r="87" spans="1:8" x14ac:dyDescent="0.2">
      <c r="A87" s="245" t="s">
        <v>90</v>
      </c>
      <c r="B87" s="32">
        <v>11153</v>
      </c>
      <c r="C87" s="187">
        <f>ROUND(B87/ТАБ_2!B87*100,1)</f>
        <v>31.3</v>
      </c>
      <c r="D87" s="32">
        <v>12229</v>
      </c>
      <c r="E87" s="187">
        <f>ТАБ_4!D87/ТАБ_2!C87*100</f>
        <v>33.137329286798177</v>
      </c>
      <c r="F87" s="11"/>
      <c r="H87" s="157"/>
    </row>
    <row r="88" spans="1:8" x14ac:dyDescent="0.2">
      <c r="A88" s="245" t="s">
        <v>91</v>
      </c>
      <c r="B88" s="32">
        <v>8811</v>
      </c>
      <c r="C88" s="187">
        <f>ROUND(B88/ТАБ_2!B88*100,1)</f>
        <v>26.9</v>
      </c>
      <c r="D88" s="32">
        <v>9235</v>
      </c>
      <c r="E88" s="187">
        <f>ТАБ_4!D88/ТАБ_2!C88*100</f>
        <v>27.215395043173313</v>
      </c>
      <c r="F88" s="11"/>
      <c r="H88" s="157"/>
    </row>
    <row r="89" spans="1:8" x14ac:dyDescent="0.2">
      <c r="A89" s="245" t="s">
        <v>92</v>
      </c>
      <c r="B89" s="32">
        <v>7724</v>
      </c>
      <c r="C89" s="187">
        <f>ROUND(B89/ТАБ_2!B89*100,1)</f>
        <v>20.2</v>
      </c>
      <c r="D89" s="32">
        <v>8039</v>
      </c>
      <c r="E89" s="187">
        <f>ТАБ_4!D89/ТАБ_2!C89*100</f>
        <v>20.571677158503508</v>
      </c>
      <c r="F89" s="11"/>
      <c r="H89" s="157"/>
    </row>
    <row r="90" spans="1:8" x14ac:dyDescent="0.2">
      <c r="A90" s="245" t="s">
        <v>93</v>
      </c>
      <c r="B90" s="32">
        <v>6101</v>
      </c>
      <c r="C90" s="187">
        <f>ROUND(B90/ТАБ_2!B90*100,1)</f>
        <v>23.2</v>
      </c>
      <c r="D90" s="32">
        <v>6807</v>
      </c>
      <c r="E90" s="187">
        <f>ТАБ_4!D90/ТАБ_2!C90*100</f>
        <v>23.862441281637803</v>
      </c>
      <c r="F90" s="11"/>
      <c r="H90" s="157"/>
    </row>
    <row r="91" spans="1:8" x14ac:dyDescent="0.2">
      <c r="A91" s="245" t="s">
        <v>94</v>
      </c>
      <c r="B91" s="32">
        <v>3414</v>
      </c>
      <c r="C91" s="187">
        <f>ROUND(B91/ТАБ_2!B91*100,1)</f>
        <v>24</v>
      </c>
      <c r="D91" s="32">
        <v>3693</v>
      </c>
      <c r="E91" s="187">
        <f>ТАБ_4!D91/ТАБ_2!C91*100</f>
        <v>25.27028876419871</v>
      </c>
      <c r="F91" s="11"/>
      <c r="H91" s="157"/>
    </row>
    <row r="92" spans="1:8" x14ac:dyDescent="0.2">
      <c r="A92" s="249" t="s">
        <v>95</v>
      </c>
      <c r="B92" s="33">
        <v>24431</v>
      </c>
      <c r="C92" s="186">
        <f>ROUND(B92/ТАБ_2!B92*100,1)</f>
        <v>29.6</v>
      </c>
      <c r="D92" s="33">
        <v>25912</v>
      </c>
      <c r="E92" s="186">
        <f>ТАБ_4!D92/ТАБ_2!C92*100</f>
        <v>30.023405093504508</v>
      </c>
      <c r="F92" s="10"/>
      <c r="H92" s="157"/>
    </row>
    <row r="93" spans="1:8" x14ac:dyDescent="0.2">
      <c r="A93" s="245" t="s">
        <v>96</v>
      </c>
      <c r="B93" s="32">
        <v>5340</v>
      </c>
      <c r="C93" s="187">
        <f>ROUND(B93/ТАБ_2!B93*100,1)</f>
        <v>34.799999999999997</v>
      </c>
      <c r="D93" s="32">
        <v>5628</v>
      </c>
      <c r="E93" s="187">
        <f>ТАБ_4!D93/ТАБ_2!C93*100</f>
        <v>34.432548179871517</v>
      </c>
      <c r="F93" s="11"/>
      <c r="H93" s="157"/>
    </row>
    <row r="94" spans="1:8" x14ac:dyDescent="0.2">
      <c r="A94" s="245" t="s">
        <v>97</v>
      </c>
      <c r="B94" s="32">
        <v>1108</v>
      </c>
      <c r="C94" s="187">
        <f>ROUND(B94/ТАБ_2!B94*100,1)</f>
        <v>27.3</v>
      </c>
      <c r="D94" s="32">
        <v>1087</v>
      </c>
      <c r="E94" s="187">
        <f>ТАБ_4!D94/ТАБ_2!C94*100</f>
        <v>26.192771084337352</v>
      </c>
      <c r="F94" s="11"/>
      <c r="H94" s="157"/>
    </row>
    <row r="95" spans="1:8" x14ac:dyDescent="0.2">
      <c r="A95" s="245" t="s">
        <v>98</v>
      </c>
      <c r="B95" s="32">
        <v>5736</v>
      </c>
      <c r="C95" s="187">
        <f>ROUND(B95/ТАБ_2!B95*100,1)</f>
        <v>24.4</v>
      </c>
      <c r="D95" s="32">
        <v>6185</v>
      </c>
      <c r="E95" s="187">
        <f>ТАБ_4!D95/ТАБ_2!C95*100</f>
        <v>25.251081897607573</v>
      </c>
      <c r="F95" s="11"/>
      <c r="H95" s="157"/>
    </row>
    <row r="96" spans="1:8" x14ac:dyDescent="0.2">
      <c r="A96" s="245" t="s">
        <v>99</v>
      </c>
      <c r="B96" s="32">
        <v>5437</v>
      </c>
      <c r="C96" s="187">
        <f>ROUND(B96/ТАБ_2!B96*100,1)</f>
        <v>30.5</v>
      </c>
      <c r="D96" s="32">
        <v>5817</v>
      </c>
      <c r="E96" s="187">
        <f>ТАБ_4!D96/ТАБ_2!C96*100</f>
        <v>30.479434110558028</v>
      </c>
      <c r="F96" s="11"/>
      <c r="H96" s="157"/>
    </row>
    <row r="97" spans="1:8" x14ac:dyDescent="0.2">
      <c r="A97" s="245" t="s">
        <v>100</v>
      </c>
      <c r="B97" s="32">
        <v>3154</v>
      </c>
      <c r="C97" s="187">
        <f>ROUND(B97/ТАБ_2!B97*100,1)</f>
        <v>30.5</v>
      </c>
      <c r="D97" s="32">
        <v>3394</v>
      </c>
      <c r="E97" s="187">
        <f>ТАБ_4!D97/ТАБ_2!C97*100</f>
        <v>31.490072369641865</v>
      </c>
      <c r="F97" s="11"/>
      <c r="H97" s="157"/>
    </row>
    <row r="98" spans="1:8" x14ac:dyDescent="0.2">
      <c r="A98" s="245" t="s">
        <v>101</v>
      </c>
      <c r="B98" s="32">
        <v>549</v>
      </c>
      <c r="C98" s="187">
        <f>ROUND(B98/ТАБ_2!B98*100,1)</f>
        <v>33.700000000000003</v>
      </c>
      <c r="D98" s="32">
        <v>575</v>
      </c>
      <c r="E98" s="187">
        <f>ТАБ_4!D98/ТАБ_2!C98*100</f>
        <v>32.838378069674476</v>
      </c>
      <c r="F98" s="11"/>
      <c r="H98" s="157"/>
    </row>
    <row r="99" spans="1:8" x14ac:dyDescent="0.2">
      <c r="A99" s="245" t="s">
        <v>102</v>
      </c>
      <c r="B99" s="32">
        <v>2113</v>
      </c>
      <c r="C99" s="187">
        <f>ROUND(B99/ТАБ_2!B99*100,1)</f>
        <v>30.5</v>
      </c>
      <c r="D99" s="32">
        <v>2120</v>
      </c>
      <c r="E99" s="187">
        <f>ТАБ_4!D99/ТАБ_2!C99*100</f>
        <v>31.760299625468164</v>
      </c>
      <c r="F99" s="11"/>
      <c r="H99" s="157"/>
    </row>
    <row r="100" spans="1:8" x14ac:dyDescent="0.2">
      <c r="A100" s="245" t="s">
        <v>103</v>
      </c>
      <c r="B100" s="32">
        <v>729</v>
      </c>
      <c r="C100" s="187">
        <f>ROUND(B100/ТАБ_2!B100*100,1)</f>
        <v>33</v>
      </c>
      <c r="D100" s="32">
        <v>831</v>
      </c>
      <c r="E100" s="187">
        <f>ТАБ_4!D100/ТАБ_2!C100*100</f>
        <v>35.467349551856593</v>
      </c>
      <c r="F100" s="11"/>
      <c r="H100" s="157"/>
    </row>
    <row r="101" spans="1:8" x14ac:dyDescent="0.2">
      <c r="A101" s="320" t="s">
        <v>104</v>
      </c>
      <c r="B101" s="321">
        <v>265</v>
      </c>
      <c r="C101" s="322">
        <f>ROUND(B101/ТАБ_2!B101*100,1)</f>
        <v>39</v>
      </c>
      <c r="D101" s="321">
        <v>275</v>
      </c>
      <c r="E101" s="322">
        <f>ТАБ_4!D101/ТАБ_2!C101*100</f>
        <v>40.145985401459853</v>
      </c>
      <c r="F101" s="11"/>
      <c r="H101" s="157"/>
    </row>
    <row r="104" spans="1:8" x14ac:dyDescent="0.2">
      <c r="B104" s="34"/>
      <c r="E104" s="35"/>
    </row>
    <row r="105" spans="1:8" x14ac:dyDescent="0.2">
      <c r="B105" s="34"/>
    </row>
  </sheetData>
  <mergeCells count="5">
    <mergeCell ref="A1:E1"/>
    <mergeCell ref="A2:E2"/>
    <mergeCell ref="A4:A5"/>
    <mergeCell ref="B4:C4"/>
    <mergeCell ref="D4:E4"/>
  </mergeCells>
  <phoneticPr fontId="49" type="noConversion"/>
  <printOptions horizontalCentered="1"/>
  <pageMargins left="0.43307086614173229" right="0.43307086614173229" top="0.70866141732283472" bottom="0.15748031496062992" header="0.31496062992125984" footer="0.31496062992125984"/>
  <pageSetup paperSize="9" firstPageNumber="12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W105"/>
  <sheetViews>
    <sheetView zoomScaleNormal="100" workbookViewId="0">
      <selection activeCell="A2" sqref="A2:L2"/>
    </sheetView>
  </sheetViews>
  <sheetFormatPr defaultRowHeight="15" x14ac:dyDescent="0.25"/>
  <cols>
    <col min="1" max="1" width="41.7109375" customWidth="1"/>
    <col min="2" max="3" width="8.5703125" customWidth="1"/>
    <col min="4" max="5" width="8.5703125" style="49" customWidth="1"/>
    <col min="6" max="12" width="8.5703125" customWidth="1"/>
  </cols>
  <sheetData>
    <row r="1" spans="1:23" x14ac:dyDescent="0.25">
      <c r="A1" s="499" t="s">
        <v>111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</row>
    <row r="2" spans="1:23" x14ac:dyDescent="0.25">
      <c r="A2" s="500" t="s">
        <v>242</v>
      </c>
      <c r="B2" s="500"/>
      <c r="C2" s="500"/>
      <c r="D2" s="500"/>
      <c r="E2" s="500"/>
      <c r="F2" s="500"/>
      <c r="G2" s="500"/>
      <c r="H2" s="500"/>
      <c r="I2" s="500"/>
      <c r="J2" s="500"/>
      <c r="K2" s="500"/>
      <c r="L2" s="500"/>
    </row>
    <row r="3" spans="1:23" x14ac:dyDescent="0.25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23" ht="25.5" x14ac:dyDescent="0.25">
      <c r="A4" s="254"/>
      <c r="B4" s="236" t="s">
        <v>112</v>
      </c>
      <c r="C4" s="237" t="s">
        <v>214</v>
      </c>
      <c r="D4" s="237" t="s">
        <v>115</v>
      </c>
      <c r="E4" s="237" t="s">
        <v>116</v>
      </c>
      <c r="F4" s="237" t="s">
        <v>117</v>
      </c>
      <c r="G4" s="237" t="s">
        <v>118</v>
      </c>
      <c r="H4" s="237" t="s">
        <v>119</v>
      </c>
      <c r="I4" s="237" t="s">
        <v>120</v>
      </c>
      <c r="J4" s="237" t="s">
        <v>121</v>
      </c>
      <c r="K4" s="236" t="s">
        <v>122</v>
      </c>
      <c r="L4" s="236" t="s">
        <v>123</v>
      </c>
      <c r="M4" s="37"/>
    </row>
    <row r="5" spans="1:23" ht="14.1" customHeight="1" x14ac:dyDescent="0.25">
      <c r="A5" s="243" t="s">
        <v>13</v>
      </c>
      <c r="B5" s="38">
        <v>286</v>
      </c>
      <c r="C5" s="38">
        <v>34232</v>
      </c>
      <c r="D5" s="38">
        <v>80953</v>
      </c>
      <c r="E5" s="38">
        <v>109028</v>
      </c>
      <c r="F5" s="38">
        <v>99148</v>
      </c>
      <c r="G5" s="38">
        <v>58580</v>
      </c>
      <c r="H5" s="38">
        <v>14303</v>
      </c>
      <c r="I5" s="39">
        <v>787</v>
      </c>
      <c r="J5" s="40">
        <v>69</v>
      </c>
      <c r="K5" s="41">
        <v>13</v>
      </c>
      <c r="L5" s="38">
        <v>189</v>
      </c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</row>
    <row r="6" spans="1:23" ht="14.1" customHeight="1" x14ac:dyDescent="0.25">
      <c r="A6" s="244" t="s">
        <v>14</v>
      </c>
      <c r="B6" s="38">
        <v>66</v>
      </c>
      <c r="C6" s="38">
        <v>5432</v>
      </c>
      <c r="D6" s="38">
        <v>14941</v>
      </c>
      <c r="E6" s="38">
        <v>23357</v>
      </c>
      <c r="F6" s="38">
        <v>22754</v>
      </c>
      <c r="G6" s="38">
        <v>14102</v>
      </c>
      <c r="H6" s="38">
        <v>3706</v>
      </c>
      <c r="I6" s="39">
        <v>234</v>
      </c>
      <c r="J6" s="40">
        <v>29</v>
      </c>
      <c r="K6" s="41">
        <v>3</v>
      </c>
      <c r="L6" s="38">
        <v>104</v>
      </c>
      <c r="N6" s="177"/>
    </row>
    <row r="7" spans="1:23" ht="14.1" customHeight="1" x14ac:dyDescent="0.25">
      <c r="A7" s="245" t="s">
        <v>15</v>
      </c>
      <c r="B7" s="42">
        <v>3</v>
      </c>
      <c r="C7" s="42">
        <v>199</v>
      </c>
      <c r="D7" s="42">
        <v>487</v>
      </c>
      <c r="E7" s="42">
        <v>665</v>
      </c>
      <c r="F7" s="42">
        <v>625</v>
      </c>
      <c r="G7" s="42">
        <v>391</v>
      </c>
      <c r="H7" s="42">
        <v>94</v>
      </c>
      <c r="I7" s="43">
        <v>4</v>
      </c>
      <c r="J7" s="44">
        <v>0</v>
      </c>
      <c r="K7" s="45">
        <v>0</v>
      </c>
      <c r="L7" s="42">
        <v>2</v>
      </c>
    </row>
    <row r="8" spans="1:23" ht="14.1" customHeight="1" x14ac:dyDescent="0.25">
      <c r="A8" s="245" t="s">
        <v>16</v>
      </c>
      <c r="B8" s="42">
        <v>0</v>
      </c>
      <c r="C8" s="42">
        <v>223</v>
      </c>
      <c r="D8" s="42">
        <v>512</v>
      </c>
      <c r="E8" s="42">
        <v>651</v>
      </c>
      <c r="F8" s="42">
        <v>570</v>
      </c>
      <c r="G8" s="42">
        <v>360</v>
      </c>
      <c r="H8" s="42">
        <v>87</v>
      </c>
      <c r="I8" s="43">
        <v>3</v>
      </c>
      <c r="J8" s="44">
        <v>0</v>
      </c>
      <c r="K8" s="45">
        <v>0</v>
      </c>
      <c r="L8" s="42">
        <v>0</v>
      </c>
    </row>
    <row r="9" spans="1:23" ht="14.1" customHeight="1" x14ac:dyDescent="0.25">
      <c r="A9" s="245" t="s">
        <v>17</v>
      </c>
      <c r="B9" s="42">
        <v>7</v>
      </c>
      <c r="C9" s="42">
        <v>272</v>
      </c>
      <c r="D9" s="42">
        <v>537</v>
      </c>
      <c r="E9" s="42">
        <v>870</v>
      </c>
      <c r="F9" s="42">
        <v>788</v>
      </c>
      <c r="G9" s="42">
        <v>480</v>
      </c>
      <c r="H9" s="42">
        <v>100</v>
      </c>
      <c r="I9" s="43">
        <v>3</v>
      </c>
      <c r="J9" s="44">
        <v>0</v>
      </c>
      <c r="K9" s="45">
        <v>0</v>
      </c>
      <c r="L9" s="42">
        <v>3</v>
      </c>
    </row>
    <row r="10" spans="1:23" ht="14.1" customHeight="1" x14ac:dyDescent="0.25">
      <c r="A10" s="245" t="s">
        <v>18</v>
      </c>
      <c r="B10" s="42">
        <v>8</v>
      </c>
      <c r="C10" s="42">
        <v>369</v>
      </c>
      <c r="D10" s="42">
        <v>777</v>
      </c>
      <c r="E10" s="42">
        <v>1074</v>
      </c>
      <c r="F10" s="42">
        <v>994</v>
      </c>
      <c r="G10" s="42">
        <v>606</v>
      </c>
      <c r="H10" s="42">
        <v>126</v>
      </c>
      <c r="I10" s="43">
        <v>6</v>
      </c>
      <c r="J10" s="44">
        <v>1</v>
      </c>
      <c r="K10" s="45">
        <v>0</v>
      </c>
      <c r="L10" s="42">
        <v>2</v>
      </c>
    </row>
    <row r="11" spans="1:23" ht="14.1" customHeight="1" x14ac:dyDescent="0.25">
      <c r="A11" s="245" t="s">
        <v>19</v>
      </c>
      <c r="B11" s="42">
        <v>4</v>
      </c>
      <c r="C11" s="42">
        <v>197</v>
      </c>
      <c r="D11" s="42">
        <v>458</v>
      </c>
      <c r="E11" s="42">
        <v>686</v>
      </c>
      <c r="F11" s="42">
        <v>609</v>
      </c>
      <c r="G11" s="42">
        <v>369</v>
      </c>
      <c r="H11" s="42">
        <v>91</v>
      </c>
      <c r="I11" s="43">
        <v>2</v>
      </c>
      <c r="J11" s="44">
        <v>0</v>
      </c>
      <c r="K11" s="45">
        <v>0</v>
      </c>
      <c r="L11" s="42">
        <v>0</v>
      </c>
    </row>
    <row r="12" spans="1:23" ht="14.1" customHeight="1" x14ac:dyDescent="0.25">
      <c r="A12" s="245" t="s">
        <v>20</v>
      </c>
      <c r="B12" s="42">
        <v>4</v>
      </c>
      <c r="C12" s="42">
        <v>206</v>
      </c>
      <c r="D12" s="42">
        <v>495</v>
      </c>
      <c r="E12" s="42">
        <v>700</v>
      </c>
      <c r="F12" s="42">
        <v>651</v>
      </c>
      <c r="G12" s="42">
        <v>346</v>
      </c>
      <c r="H12" s="42">
        <v>81</v>
      </c>
      <c r="I12" s="43">
        <v>1</v>
      </c>
      <c r="J12" s="44">
        <v>0</v>
      </c>
      <c r="K12" s="45">
        <v>0</v>
      </c>
      <c r="L12" s="42">
        <v>0</v>
      </c>
    </row>
    <row r="13" spans="1:23" ht="14.1" customHeight="1" x14ac:dyDescent="0.25">
      <c r="A13" s="246" t="s">
        <v>21</v>
      </c>
      <c r="B13" s="42">
        <v>2</v>
      </c>
      <c r="C13" s="42">
        <v>127</v>
      </c>
      <c r="D13" s="42">
        <v>255</v>
      </c>
      <c r="E13" s="42">
        <v>359</v>
      </c>
      <c r="F13" s="42">
        <v>380</v>
      </c>
      <c r="G13" s="42">
        <v>215</v>
      </c>
      <c r="H13" s="42">
        <v>41</v>
      </c>
      <c r="I13" s="43">
        <v>1</v>
      </c>
      <c r="J13" s="44">
        <v>0</v>
      </c>
      <c r="K13" s="45">
        <v>0</v>
      </c>
      <c r="L13" s="42">
        <v>1</v>
      </c>
    </row>
    <row r="14" spans="1:23" ht="14.1" customHeight="1" x14ac:dyDescent="0.25">
      <c r="A14" s="245" t="s">
        <v>22</v>
      </c>
      <c r="B14" s="42">
        <v>3</v>
      </c>
      <c r="C14" s="42">
        <v>206</v>
      </c>
      <c r="D14" s="42">
        <v>480</v>
      </c>
      <c r="E14" s="42">
        <v>583</v>
      </c>
      <c r="F14" s="42">
        <v>535</v>
      </c>
      <c r="G14" s="42">
        <v>290</v>
      </c>
      <c r="H14" s="42">
        <v>85</v>
      </c>
      <c r="I14" s="43">
        <v>6</v>
      </c>
      <c r="J14" s="44">
        <v>0</v>
      </c>
      <c r="K14" s="45">
        <v>0</v>
      </c>
      <c r="L14" s="42">
        <v>0</v>
      </c>
    </row>
    <row r="15" spans="1:23" ht="14.1" customHeight="1" x14ac:dyDescent="0.25">
      <c r="A15" s="245" t="s">
        <v>23</v>
      </c>
      <c r="B15" s="42">
        <v>4</v>
      </c>
      <c r="C15" s="42">
        <v>201</v>
      </c>
      <c r="D15" s="42">
        <v>433</v>
      </c>
      <c r="E15" s="42">
        <v>605</v>
      </c>
      <c r="F15" s="42">
        <v>536</v>
      </c>
      <c r="G15" s="42">
        <v>293</v>
      </c>
      <c r="H15" s="42">
        <v>68</v>
      </c>
      <c r="I15" s="43">
        <v>4</v>
      </c>
      <c r="J15" s="44">
        <v>0</v>
      </c>
      <c r="K15" s="45">
        <v>0</v>
      </c>
      <c r="L15" s="42">
        <v>0</v>
      </c>
    </row>
    <row r="16" spans="1:23" ht="14.1" customHeight="1" x14ac:dyDescent="0.25">
      <c r="A16" s="245" t="s">
        <v>24</v>
      </c>
      <c r="B16" s="42">
        <v>7</v>
      </c>
      <c r="C16" s="42">
        <v>1105</v>
      </c>
      <c r="D16" s="42">
        <v>3324</v>
      </c>
      <c r="E16" s="42">
        <v>5127</v>
      </c>
      <c r="F16" s="42">
        <v>4886</v>
      </c>
      <c r="G16" s="42">
        <v>3049</v>
      </c>
      <c r="H16" s="42">
        <v>756</v>
      </c>
      <c r="I16" s="43">
        <v>42</v>
      </c>
      <c r="J16" s="44">
        <v>9</v>
      </c>
      <c r="K16" s="45">
        <v>1</v>
      </c>
      <c r="L16" s="42">
        <v>41</v>
      </c>
    </row>
    <row r="17" spans="1:14" ht="14.1" customHeight="1" x14ac:dyDescent="0.25">
      <c r="A17" s="245" t="s">
        <v>25</v>
      </c>
      <c r="B17" s="42">
        <v>1</v>
      </c>
      <c r="C17" s="42">
        <v>143</v>
      </c>
      <c r="D17" s="42">
        <v>317</v>
      </c>
      <c r="E17" s="42">
        <v>425</v>
      </c>
      <c r="F17" s="42">
        <v>373</v>
      </c>
      <c r="G17" s="42">
        <v>239</v>
      </c>
      <c r="H17" s="42">
        <v>58</v>
      </c>
      <c r="I17" s="43">
        <v>6</v>
      </c>
      <c r="J17" s="44">
        <v>0</v>
      </c>
      <c r="K17" s="45">
        <v>0</v>
      </c>
      <c r="L17" s="42">
        <v>0</v>
      </c>
    </row>
    <row r="18" spans="1:14" ht="14.1" customHeight="1" x14ac:dyDescent="0.25">
      <c r="A18" s="246" t="s">
        <v>26</v>
      </c>
      <c r="B18" s="42">
        <v>4</v>
      </c>
      <c r="C18" s="42">
        <v>181</v>
      </c>
      <c r="D18" s="42">
        <v>442</v>
      </c>
      <c r="E18" s="42">
        <v>607</v>
      </c>
      <c r="F18" s="42">
        <v>565</v>
      </c>
      <c r="G18" s="42">
        <v>347</v>
      </c>
      <c r="H18" s="42">
        <v>102</v>
      </c>
      <c r="I18" s="43">
        <v>3</v>
      </c>
      <c r="J18" s="44">
        <v>1</v>
      </c>
      <c r="K18" s="45">
        <v>0</v>
      </c>
      <c r="L18" s="42">
        <v>1</v>
      </c>
    </row>
    <row r="19" spans="1:14" ht="14.1" customHeight="1" x14ac:dyDescent="0.25">
      <c r="A19" s="245" t="s">
        <v>27</v>
      </c>
      <c r="B19" s="42">
        <v>0</v>
      </c>
      <c r="C19" s="42">
        <v>172</v>
      </c>
      <c r="D19" s="42">
        <v>468</v>
      </c>
      <c r="E19" s="42">
        <v>648</v>
      </c>
      <c r="F19" s="42">
        <v>564</v>
      </c>
      <c r="G19" s="42">
        <v>324</v>
      </c>
      <c r="H19" s="42">
        <v>58</v>
      </c>
      <c r="I19" s="43">
        <v>5</v>
      </c>
      <c r="J19" s="44">
        <v>0</v>
      </c>
      <c r="K19" s="45">
        <v>0</v>
      </c>
      <c r="L19" s="42">
        <v>0</v>
      </c>
    </row>
    <row r="20" spans="1:14" ht="14.1" customHeight="1" x14ac:dyDescent="0.25">
      <c r="A20" s="245" t="s">
        <v>28</v>
      </c>
      <c r="B20" s="42">
        <v>2</v>
      </c>
      <c r="C20" s="42">
        <v>192</v>
      </c>
      <c r="D20" s="42">
        <v>399</v>
      </c>
      <c r="E20" s="42">
        <v>497</v>
      </c>
      <c r="F20" s="42">
        <v>417</v>
      </c>
      <c r="G20" s="42">
        <v>257</v>
      </c>
      <c r="H20" s="42">
        <v>55</v>
      </c>
      <c r="I20" s="43">
        <v>1</v>
      </c>
      <c r="J20" s="44">
        <v>0</v>
      </c>
      <c r="K20" s="45">
        <v>0</v>
      </c>
      <c r="L20" s="42">
        <v>1</v>
      </c>
    </row>
    <row r="21" spans="1:14" ht="14.1" customHeight="1" x14ac:dyDescent="0.25">
      <c r="A21" s="245" t="s">
        <v>29</v>
      </c>
      <c r="B21" s="42">
        <v>4</v>
      </c>
      <c r="C21" s="42">
        <v>243</v>
      </c>
      <c r="D21" s="42">
        <v>658</v>
      </c>
      <c r="E21" s="42">
        <v>882</v>
      </c>
      <c r="F21" s="42">
        <v>804</v>
      </c>
      <c r="G21" s="42">
        <v>420</v>
      </c>
      <c r="H21" s="42">
        <v>99</v>
      </c>
      <c r="I21" s="43">
        <v>3</v>
      </c>
      <c r="J21" s="44">
        <v>0</v>
      </c>
      <c r="K21" s="45">
        <v>0</v>
      </c>
      <c r="L21" s="42">
        <v>0</v>
      </c>
    </row>
    <row r="22" spans="1:14" ht="14.1" customHeight="1" x14ac:dyDescent="0.25">
      <c r="A22" s="245" t="s">
        <v>30</v>
      </c>
      <c r="B22" s="42">
        <v>8</v>
      </c>
      <c r="C22" s="42">
        <v>293</v>
      </c>
      <c r="D22" s="42">
        <v>629</v>
      </c>
      <c r="E22" s="42">
        <v>867</v>
      </c>
      <c r="F22" s="42">
        <v>722</v>
      </c>
      <c r="G22" s="42">
        <v>458</v>
      </c>
      <c r="H22" s="42">
        <v>114</v>
      </c>
      <c r="I22" s="43">
        <v>2</v>
      </c>
      <c r="J22" s="44">
        <v>0</v>
      </c>
      <c r="K22" s="45">
        <v>0</v>
      </c>
      <c r="L22" s="42">
        <v>0</v>
      </c>
    </row>
    <row r="23" spans="1:14" ht="14.1" customHeight="1" x14ac:dyDescent="0.25">
      <c r="A23" s="245" t="s">
        <v>31</v>
      </c>
      <c r="B23" s="42">
        <v>2</v>
      </c>
      <c r="C23" s="42">
        <v>225</v>
      </c>
      <c r="D23" s="42">
        <v>556</v>
      </c>
      <c r="E23" s="42">
        <v>893</v>
      </c>
      <c r="F23" s="42">
        <v>812</v>
      </c>
      <c r="G23" s="42">
        <v>517</v>
      </c>
      <c r="H23" s="42">
        <v>116</v>
      </c>
      <c r="I23" s="43">
        <v>3</v>
      </c>
      <c r="J23" s="44">
        <v>0</v>
      </c>
      <c r="K23" s="45">
        <v>0</v>
      </c>
      <c r="L23" s="42">
        <v>1</v>
      </c>
    </row>
    <row r="24" spans="1:14" ht="14.1" customHeight="1" x14ac:dyDescent="0.25">
      <c r="A24" s="245" t="s">
        <v>32</v>
      </c>
      <c r="B24" s="42">
        <v>3</v>
      </c>
      <c r="C24" s="42">
        <v>878</v>
      </c>
      <c r="D24" s="42">
        <v>3714</v>
      </c>
      <c r="E24" s="42">
        <v>7218</v>
      </c>
      <c r="F24" s="42">
        <v>7923</v>
      </c>
      <c r="G24" s="42">
        <v>5141</v>
      </c>
      <c r="H24" s="42">
        <v>1575</v>
      </c>
      <c r="I24" s="43">
        <v>139</v>
      </c>
      <c r="J24" s="44">
        <v>18</v>
      </c>
      <c r="K24" s="45">
        <v>2</v>
      </c>
      <c r="L24" s="42">
        <v>52</v>
      </c>
    </row>
    <row r="25" spans="1:14" ht="14.1" customHeight="1" x14ac:dyDescent="0.25">
      <c r="A25" s="247" t="s">
        <v>33</v>
      </c>
      <c r="B25" s="38">
        <v>14</v>
      </c>
      <c r="C25" s="38">
        <v>2183</v>
      </c>
      <c r="D25" s="38">
        <v>6184</v>
      </c>
      <c r="E25" s="38">
        <v>10091</v>
      </c>
      <c r="F25" s="38">
        <v>9779</v>
      </c>
      <c r="G25" s="38">
        <v>5662</v>
      </c>
      <c r="H25" s="38">
        <v>1431</v>
      </c>
      <c r="I25" s="39">
        <v>80</v>
      </c>
      <c r="J25" s="40">
        <v>8</v>
      </c>
      <c r="K25" s="41">
        <v>3</v>
      </c>
      <c r="L25" s="38">
        <v>3</v>
      </c>
      <c r="N25" s="177"/>
    </row>
    <row r="26" spans="1:14" ht="14.1" customHeight="1" x14ac:dyDescent="0.25">
      <c r="A26" s="245" t="s">
        <v>34</v>
      </c>
      <c r="B26" s="42">
        <v>0</v>
      </c>
      <c r="C26" s="42">
        <v>125</v>
      </c>
      <c r="D26" s="42">
        <v>332</v>
      </c>
      <c r="E26" s="42">
        <v>532</v>
      </c>
      <c r="F26" s="42">
        <v>493</v>
      </c>
      <c r="G26" s="42">
        <v>283</v>
      </c>
      <c r="H26" s="42">
        <v>69</v>
      </c>
      <c r="I26" s="43">
        <v>3</v>
      </c>
      <c r="J26" s="44">
        <v>0</v>
      </c>
      <c r="K26" s="45">
        <v>0</v>
      </c>
      <c r="L26" s="42">
        <v>0</v>
      </c>
    </row>
    <row r="27" spans="1:14" ht="14.1" customHeight="1" x14ac:dyDescent="0.25">
      <c r="A27" s="245" t="s">
        <v>35</v>
      </c>
      <c r="B27" s="42">
        <v>0</v>
      </c>
      <c r="C27" s="42">
        <v>261</v>
      </c>
      <c r="D27" s="42">
        <v>710</v>
      </c>
      <c r="E27" s="42">
        <v>922</v>
      </c>
      <c r="F27" s="42">
        <v>817</v>
      </c>
      <c r="G27" s="42">
        <v>398</v>
      </c>
      <c r="H27" s="42">
        <v>100</v>
      </c>
      <c r="I27" s="43">
        <v>2</v>
      </c>
      <c r="J27" s="44">
        <v>0</v>
      </c>
      <c r="K27" s="45">
        <v>0</v>
      </c>
      <c r="L27" s="42">
        <v>0</v>
      </c>
    </row>
    <row r="28" spans="1:14" ht="14.1" customHeight="1" x14ac:dyDescent="0.25">
      <c r="A28" s="245" t="s">
        <v>36</v>
      </c>
      <c r="B28" s="42">
        <v>1</v>
      </c>
      <c r="C28" s="42">
        <v>244</v>
      </c>
      <c r="D28" s="42">
        <v>694</v>
      </c>
      <c r="E28" s="42">
        <v>1067</v>
      </c>
      <c r="F28" s="42">
        <v>927</v>
      </c>
      <c r="G28" s="42">
        <v>530</v>
      </c>
      <c r="H28" s="42">
        <v>121</v>
      </c>
      <c r="I28" s="43">
        <v>6</v>
      </c>
      <c r="J28" s="44">
        <v>0</v>
      </c>
      <c r="K28" s="45">
        <v>0</v>
      </c>
      <c r="L28" s="42">
        <v>0</v>
      </c>
    </row>
    <row r="29" spans="1:14" ht="14.1" customHeight="1" x14ac:dyDescent="0.25">
      <c r="A29" s="245" t="s">
        <v>37</v>
      </c>
      <c r="B29" s="42">
        <v>1</v>
      </c>
      <c r="C29" s="42">
        <v>34</v>
      </c>
      <c r="D29" s="42">
        <v>64</v>
      </c>
      <c r="E29" s="42">
        <v>94</v>
      </c>
      <c r="F29" s="42">
        <v>60</v>
      </c>
      <c r="G29" s="42">
        <v>35</v>
      </c>
      <c r="H29" s="42">
        <v>11</v>
      </c>
      <c r="I29" s="43">
        <v>0</v>
      </c>
      <c r="J29" s="44">
        <v>0</v>
      </c>
      <c r="K29" s="45">
        <v>0</v>
      </c>
      <c r="L29" s="42">
        <v>0</v>
      </c>
    </row>
    <row r="30" spans="1:14" ht="14.1" customHeight="1" x14ac:dyDescent="0.25">
      <c r="A30" s="248" t="s">
        <v>318</v>
      </c>
      <c r="B30" s="42">
        <v>0</v>
      </c>
      <c r="C30" s="42">
        <v>210</v>
      </c>
      <c r="D30" s="42">
        <v>630</v>
      </c>
      <c r="E30" s="42">
        <v>973</v>
      </c>
      <c r="F30" s="42">
        <v>867</v>
      </c>
      <c r="G30" s="42">
        <v>495</v>
      </c>
      <c r="H30" s="42">
        <v>110</v>
      </c>
      <c r="I30" s="43">
        <v>6</v>
      </c>
      <c r="J30" s="44">
        <v>0</v>
      </c>
      <c r="K30" s="45">
        <v>0</v>
      </c>
      <c r="L30" s="42">
        <v>0</v>
      </c>
    </row>
    <row r="31" spans="1:14" ht="14.1" customHeight="1" x14ac:dyDescent="0.25">
      <c r="A31" s="245" t="s">
        <v>38</v>
      </c>
      <c r="B31" s="42">
        <v>1</v>
      </c>
      <c r="C31" s="42">
        <v>238</v>
      </c>
      <c r="D31" s="42">
        <v>713</v>
      </c>
      <c r="E31" s="42">
        <v>1246</v>
      </c>
      <c r="F31" s="42">
        <v>1029</v>
      </c>
      <c r="G31" s="42">
        <v>584</v>
      </c>
      <c r="H31" s="42">
        <v>127</v>
      </c>
      <c r="I31" s="43">
        <v>6</v>
      </c>
      <c r="J31" s="44">
        <v>0</v>
      </c>
      <c r="K31" s="45">
        <v>1</v>
      </c>
      <c r="L31" s="42">
        <v>1</v>
      </c>
    </row>
    <row r="32" spans="1:14" ht="14.1" customHeight="1" x14ac:dyDescent="0.25">
      <c r="A32" s="245" t="s">
        <v>39</v>
      </c>
      <c r="B32" s="42">
        <v>1</v>
      </c>
      <c r="C32" s="42">
        <v>174</v>
      </c>
      <c r="D32" s="42">
        <v>434</v>
      </c>
      <c r="E32" s="42">
        <v>593</v>
      </c>
      <c r="F32" s="42">
        <v>564</v>
      </c>
      <c r="G32" s="42">
        <v>378</v>
      </c>
      <c r="H32" s="42">
        <v>88</v>
      </c>
      <c r="I32" s="43">
        <v>8</v>
      </c>
      <c r="J32" s="44">
        <v>0</v>
      </c>
      <c r="K32" s="45">
        <v>0</v>
      </c>
      <c r="L32" s="42">
        <v>0</v>
      </c>
    </row>
    <row r="33" spans="1:14" ht="14.1" customHeight="1" x14ac:dyDescent="0.25">
      <c r="A33" s="245" t="s">
        <v>40</v>
      </c>
      <c r="B33" s="42">
        <v>3</v>
      </c>
      <c r="C33" s="42">
        <v>318</v>
      </c>
      <c r="D33" s="42">
        <v>689</v>
      </c>
      <c r="E33" s="42">
        <v>1043</v>
      </c>
      <c r="F33" s="42">
        <v>923</v>
      </c>
      <c r="G33" s="42">
        <v>517</v>
      </c>
      <c r="H33" s="42">
        <v>118</v>
      </c>
      <c r="I33" s="43">
        <v>0</v>
      </c>
      <c r="J33" s="44">
        <v>0</v>
      </c>
      <c r="K33" s="45">
        <v>0</v>
      </c>
      <c r="L33" s="42">
        <v>0</v>
      </c>
    </row>
    <row r="34" spans="1:14" ht="14.1" customHeight="1" x14ac:dyDescent="0.25">
      <c r="A34" s="245" t="s">
        <v>41</v>
      </c>
      <c r="B34" s="42">
        <v>1</v>
      </c>
      <c r="C34" s="42">
        <v>123</v>
      </c>
      <c r="D34" s="42">
        <v>301</v>
      </c>
      <c r="E34" s="42">
        <v>420</v>
      </c>
      <c r="F34" s="42">
        <v>452</v>
      </c>
      <c r="G34" s="42">
        <v>269</v>
      </c>
      <c r="H34" s="42">
        <v>70</v>
      </c>
      <c r="I34" s="43">
        <v>3</v>
      </c>
      <c r="J34" s="44">
        <v>0</v>
      </c>
      <c r="K34" s="45">
        <v>0</v>
      </c>
      <c r="L34" s="42">
        <v>0</v>
      </c>
    </row>
    <row r="35" spans="1:14" ht="14.1" customHeight="1" x14ac:dyDescent="0.25">
      <c r="A35" s="245" t="s">
        <v>42</v>
      </c>
      <c r="B35" s="42">
        <v>2</v>
      </c>
      <c r="C35" s="42">
        <v>128</v>
      </c>
      <c r="D35" s="42">
        <v>330</v>
      </c>
      <c r="E35" s="42">
        <v>468</v>
      </c>
      <c r="F35" s="42">
        <v>414</v>
      </c>
      <c r="G35" s="42">
        <v>243</v>
      </c>
      <c r="H35" s="42">
        <v>51</v>
      </c>
      <c r="I35" s="43">
        <v>3</v>
      </c>
      <c r="J35" s="44">
        <v>1</v>
      </c>
      <c r="K35" s="45">
        <v>0</v>
      </c>
      <c r="L35" s="42">
        <v>0</v>
      </c>
    </row>
    <row r="36" spans="1:14" ht="14.1" customHeight="1" x14ac:dyDescent="0.25">
      <c r="A36" s="245" t="s">
        <v>43</v>
      </c>
      <c r="B36" s="42">
        <v>1</v>
      </c>
      <c r="C36" s="42">
        <v>114</v>
      </c>
      <c r="D36" s="42">
        <v>310</v>
      </c>
      <c r="E36" s="42">
        <v>350</v>
      </c>
      <c r="F36" s="42">
        <v>346</v>
      </c>
      <c r="G36" s="42">
        <v>149</v>
      </c>
      <c r="H36" s="42">
        <v>45</v>
      </c>
      <c r="I36" s="43">
        <v>3</v>
      </c>
      <c r="J36" s="44">
        <v>1</v>
      </c>
      <c r="K36" s="45">
        <v>0</v>
      </c>
      <c r="L36" s="42">
        <v>2</v>
      </c>
    </row>
    <row r="37" spans="1:14" ht="14.1" customHeight="1" x14ac:dyDescent="0.25">
      <c r="A37" s="245" t="s">
        <v>44</v>
      </c>
      <c r="B37" s="42">
        <v>4</v>
      </c>
      <c r="C37" s="42">
        <v>458</v>
      </c>
      <c r="D37" s="42">
        <v>1671</v>
      </c>
      <c r="E37" s="42">
        <v>3450</v>
      </c>
      <c r="F37" s="42">
        <v>3814</v>
      </c>
      <c r="G37" s="42">
        <v>2311</v>
      </c>
      <c r="H37" s="42">
        <v>642</v>
      </c>
      <c r="I37" s="43">
        <v>46</v>
      </c>
      <c r="J37" s="44">
        <v>6</v>
      </c>
      <c r="K37" s="45">
        <v>2</v>
      </c>
      <c r="L37" s="42">
        <v>0</v>
      </c>
    </row>
    <row r="38" spans="1:14" ht="14.1" customHeight="1" x14ac:dyDescent="0.25">
      <c r="A38" s="249" t="s">
        <v>45</v>
      </c>
      <c r="B38" s="38">
        <v>30</v>
      </c>
      <c r="C38" s="38">
        <v>3550</v>
      </c>
      <c r="D38" s="38">
        <v>8061</v>
      </c>
      <c r="E38" s="38">
        <v>10808</v>
      </c>
      <c r="F38" s="38">
        <v>10055</v>
      </c>
      <c r="G38" s="38">
        <v>5979</v>
      </c>
      <c r="H38" s="38">
        <v>1345</v>
      </c>
      <c r="I38" s="39">
        <v>59</v>
      </c>
      <c r="J38" s="40">
        <v>3</v>
      </c>
      <c r="K38" s="41">
        <v>0</v>
      </c>
      <c r="L38" s="38">
        <v>9</v>
      </c>
      <c r="N38" s="177"/>
    </row>
    <row r="39" spans="1:14" ht="14.1" customHeight="1" x14ac:dyDescent="0.25">
      <c r="A39" s="245" t="s">
        <v>46</v>
      </c>
      <c r="B39" s="42">
        <v>0</v>
      </c>
      <c r="C39" s="42">
        <v>102</v>
      </c>
      <c r="D39" s="42">
        <v>210</v>
      </c>
      <c r="E39" s="42">
        <v>274</v>
      </c>
      <c r="F39" s="42">
        <v>239</v>
      </c>
      <c r="G39" s="42">
        <v>131</v>
      </c>
      <c r="H39" s="42">
        <v>35</v>
      </c>
      <c r="I39" s="43">
        <v>2</v>
      </c>
      <c r="J39" s="44">
        <v>0</v>
      </c>
      <c r="K39" s="45">
        <v>0</v>
      </c>
      <c r="L39" s="42">
        <v>0</v>
      </c>
    </row>
    <row r="40" spans="1:14" ht="14.1" customHeight="1" x14ac:dyDescent="0.25">
      <c r="A40" s="245" t="s">
        <v>47</v>
      </c>
      <c r="B40" s="42">
        <v>0</v>
      </c>
      <c r="C40" s="42">
        <v>59</v>
      </c>
      <c r="D40" s="42">
        <v>123</v>
      </c>
      <c r="E40" s="42">
        <v>184</v>
      </c>
      <c r="F40" s="42">
        <v>162</v>
      </c>
      <c r="G40" s="42">
        <v>118</v>
      </c>
      <c r="H40" s="42">
        <v>26</v>
      </c>
      <c r="I40" s="43">
        <v>0</v>
      </c>
      <c r="J40" s="44">
        <v>0</v>
      </c>
      <c r="K40" s="45">
        <v>0</v>
      </c>
      <c r="L40" s="42">
        <v>0</v>
      </c>
    </row>
    <row r="41" spans="1:14" ht="14.1" customHeight="1" x14ac:dyDescent="0.25">
      <c r="A41" s="245" t="s">
        <v>211</v>
      </c>
      <c r="B41" s="42">
        <v>2</v>
      </c>
      <c r="C41" s="42">
        <v>390</v>
      </c>
      <c r="D41" s="42">
        <v>928</v>
      </c>
      <c r="E41" s="42">
        <v>1270</v>
      </c>
      <c r="F41" s="42">
        <v>1170</v>
      </c>
      <c r="G41" s="42">
        <v>737</v>
      </c>
      <c r="H41" s="42">
        <v>177</v>
      </c>
      <c r="I41" s="43">
        <v>6</v>
      </c>
      <c r="J41" s="44">
        <v>0</v>
      </c>
      <c r="K41" s="45">
        <v>0</v>
      </c>
      <c r="L41" s="42">
        <v>1</v>
      </c>
    </row>
    <row r="42" spans="1:14" ht="14.1" customHeight="1" x14ac:dyDescent="0.25">
      <c r="A42" s="245" t="s">
        <v>48</v>
      </c>
      <c r="B42" s="42">
        <v>6</v>
      </c>
      <c r="C42" s="42">
        <v>1086</v>
      </c>
      <c r="D42" s="42">
        <v>2646</v>
      </c>
      <c r="E42" s="42">
        <v>3589</v>
      </c>
      <c r="F42" s="42">
        <v>3585</v>
      </c>
      <c r="G42" s="42">
        <v>2083</v>
      </c>
      <c r="H42" s="42">
        <v>471</v>
      </c>
      <c r="I42" s="43">
        <v>22</v>
      </c>
      <c r="J42" s="44">
        <v>3</v>
      </c>
      <c r="K42" s="45">
        <v>0</v>
      </c>
      <c r="L42" s="42">
        <v>3</v>
      </c>
    </row>
    <row r="43" spans="1:14" ht="14.1" customHeight="1" x14ac:dyDescent="0.25">
      <c r="A43" s="245" t="s">
        <v>49</v>
      </c>
      <c r="B43" s="42">
        <v>6</v>
      </c>
      <c r="C43" s="42">
        <v>310</v>
      </c>
      <c r="D43" s="42">
        <v>634</v>
      </c>
      <c r="E43" s="42">
        <v>892</v>
      </c>
      <c r="F43" s="42">
        <v>732</v>
      </c>
      <c r="G43" s="42">
        <v>421</v>
      </c>
      <c r="H43" s="42">
        <v>83</v>
      </c>
      <c r="I43" s="43">
        <v>1</v>
      </c>
      <c r="J43" s="44">
        <v>0</v>
      </c>
      <c r="K43" s="45">
        <v>0</v>
      </c>
      <c r="L43" s="42">
        <v>1</v>
      </c>
    </row>
    <row r="44" spans="1:14" ht="14.1" customHeight="1" x14ac:dyDescent="0.25">
      <c r="A44" s="245" t="s">
        <v>50</v>
      </c>
      <c r="B44" s="42">
        <v>7</v>
      </c>
      <c r="C44" s="42">
        <v>568</v>
      </c>
      <c r="D44" s="42">
        <v>1347</v>
      </c>
      <c r="E44" s="42">
        <v>1737</v>
      </c>
      <c r="F44" s="42">
        <v>1566</v>
      </c>
      <c r="G44" s="42">
        <v>937</v>
      </c>
      <c r="H44" s="42">
        <v>191</v>
      </c>
      <c r="I44" s="43">
        <v>8</v>
      </c>
      <c r="J44" s="44">
        <v>0</v>
      </c>
      <c r="K44" s="45">
        <v>0</v>
      </c>
      <c r="L44" s="42">
        <v>0</v>
      </c>
    </row>
    <row r="45" spans="1:14" ht="14.1" customHeight="1" x14ac:dyDescent="0.25">
      <c r="A45" s="245" t="s">
        <v>51</v>
      </c>
      <c r="B45" s="42">
        <v>7</v>
      </c>
      <c r="C45" s="42">
        <v>979</v>
      </c>
      <c r="D45" s="42">
        <v>2024</v>
      </c>
      <c r="E45" s="42">
        <v>2610</v>
      </c>
      <c r="F45" s="42">
        <v>2369</v>
      </c>
      <c r="G45" s="42">
        <v>1392</v>
      </c>
      <c r="H45" s="42">
        <v>320</v>
      </c>
      <c r="I45" s="43">
        <v>16</v>
      </c>
      <c r="J45" s="44">
        <v>0</v>
      </c>
      <c r="K45" s="45">
        <v>0</v>
      </c>
      <c r="L45" s="42">
        <v>4</v>
      </c>
    </row>
    <row r="46" spans="1:14" ht="14.1" customHeight="1" x14ac:dyDescent="0.25">
      <c r="A46" s="245" t="s">
        <v>213</v>
      </c>
      <c r="B46" s="42">
        <v>2</v>
      </c>
      <c r="C46" s="42">
        <v>56</v>
      </c>
      <c r="D46" s="42">
        <v>149</v>
      </c>
      <c r="E46" s="42">
        <v>252</v>
      </c>
      <c r="F46" s="42">
        <v>232</v>
      </c>
      <c r="G46" s="42">
        <v>160</v>
      </c>
      <c r="H46" s="42">
        <v>42</v>
      </c>
      <c r="I46" s="43">
        <v>4</v>
      </c>
      <c r="J46" s="44">
        <v>0</v>
      </c>
      <c r="K46" s="45">
        <v>0</v>
      </c>
      <c r="L46" s="42">
        <v>0</v>
      </c>
    </row>
    <row r="47" spans="1:14" ht="14.1" customHeight="1" x14ac:dyDescent="0.25">
      <c r="A47" s="250" t="s">
        <v>52</v>
      </c>
      <c r="B47" s="38">
        <v>19</v>
      </c>
      <c r="C47" s="38">
        <v>4205</v>
      </c>
      <c r="D47" s="38">
        <v>8512</v>
      </c>
      <c r="E47" s="38">
        <v>7336</v>
      </c>
      <c r="F47" s="38">
        <v>5652</v>
      </c>
      <c r="G47" s="38">
        <v>3316</v>
      </c>
      <c r="H47" s="38">
        <v>882</v>
      </c>
      <c r="I47" s="39">
        <v>60</v>
      </c>
      <c r="J47" s="40">
        <v>4</v>
      </c>
      <c r="K47" s="41">
        <v>1</v>
      </c>
      <c r="L47" s="38">
        <v>13</v>
      </c>
      <c r="N47" s="177"/>
    </row>
    <row r="48" spans="1:14" ht="14.1" customHeight="1" x14ac:dyDescent="0.25">
      <c r="A48" s="245" t="s">
        <v>53</v>
      </c>
      <c r="B48" s="42">
        <v>2</v>
      </c>
      <c r="C48" s="42">
        <v>1832</v>
      </c>
      <c r="D48" s="42">
        <v>3477</v>
      </c>
      <c r="E48" s="42">
        <v>2590</v>
      </c>
      <c r="F48" s="42">
        <v>1726</v>
      </c>
      <c r="G48" s="42">
        <v>961</v>
      </c>
      <c r="H48" s="42">
        <v>270</v>
      </c>
      <c r="I48" s="43">
        <v>20</v>
      </c>
      <c r="J48" s="44">
        <v>2</v>
      </c>
      <c r="K48" s="45">
        <v>0</v>
      </c>
      <c r="L48" s="42">
        <v>8</v>
      </c>
    </row>
    <row r="49" spans="1:14" ht="14.1" customHeight="1" x14ac:dyDescent="0.25">
      <c r="A49" s="245" t="s">
        <v>54</v>
      </c>
      <c r="B49" s="42">
        <v>0</v>
      </c>
      <c r="C49" s="42">
        <v>34</v>
      </c>
      <c r="D49" s="42">
        <v>459</v>
      </c>
      <c r="E49" s="42">
        <v>319</v>
      </c>
      <c r="F49" s="42">
        <v>189</v>
      </c>
      <c r="G49" s="42">
        <v>130</v>
      </c>
      <c r="H49" s="42">
        <v>43</v>
      </c>
      <c r="I49" s="43">
        <v>7</v>
      </c>
      <c r="J49" s="44">
        <v>1</v>
      </c>
      <c r="K49" s="45">
        <v>0</v>
      </c>
      <c r="L49" s="42">
        <v>2</v>
      </c>
    </row>
    <row r="50" spans="1:14" ht="14.1" customHeight="1" x14ac:dyDescent="0.25">
      <c r="A50" s="245" t="s">
        <v>55</v>
      </c>
      <c r="B50" s="42">
        <v>3</v>
      </c>
      <c r="C50" s="42">
        <v>145</v>
      </c>
      <c r="D50" s="42">
        <v>244</v>
      </c>
      <c r="E50" s="42">
        <v>313</v>
      </c>
      <c r="F50" s="42">
        <v>323</v>
      </c>
      <c r="G50" s="42">
        <v>193</v>
      </c>
      <c r="H50" s="42">
        <v>51</v>
      </c>
      <c r="I50" s="43">
        <v>2</v>
      </c>
      <c r="J50" s="44">
        <v>0</v>
      </c>
      <c r="K50" s="45">
        <v>0</v>
      </c>
      <c r="L50" s="42">
        <v>1</v>
      </c>
    </row>
    <row r="51" spans="1:14" ht="14.1" customHeight="1" x14ac:dyDescent="0.25">
      <c r="A51" s="245" t="s">
        <v>56</v>
      </c>
      <c r="B51" s="42">
        <v>2</v>
      </c>
      <c r="C51" s="42">
        <v>82</v>
      </c>
      <c r="D51" s="42">
        <v>209</v>
      </c>
      <c r="E51" s="42">
        <v>258</v>
      </c>
      <c r="F51" s="42">
        <v>264</v>
      </c>
      <c r="G51" s="42">
        <v>154</v>
      </c>
      <c r="H51" s="42">
        <v>42</v>
      </c>
      <c r="I51" s="43">
        <v>2</v>
      </c>
      <c r="J51" s="44">
        <v>0</v>
      </c>
      <c r="K51" s="45">
        <v>0</v>
      </c>
      <c r="L51" s="42">
        <v>0</v>
      </c>
    </row>
    <row r="52" spans="1:14" ht="14.1" customHeight="1" x14ac:dyDescent="0.25">
      <c r="A52" s="245" t="s">
        <v>57</v>
      </c>
      <c r="B52" s="42">
        <v>0</v>
      </c>
      <c r="C52" s="42">
        <v>143</v>
      </c>
      <c r="D52" s="42">
        <v>508</v>
      </c>
      <c r="E52" s="42">
        <v>675</v>
      </c>
      <c r="F52" s="42">
        <v>572</v>
      </c>
      <c r="G52" s="42">
        <v>363</v>
      </c>
      <c r="H52" s="42">
        <v>95</v>
      </c>
      <c r="I52" s="43">
        <v>12</v>
      </c>
      <c r="J52" s="44">
        <v>1</v>
      </c>
      <c r="K52" s="45">
        <v>0</v>
      </c>
      <c r="L52" s="42">
        <v>0</v>
      </c>
    </row>
    <row r="53" spans="1:14" ht="14.1" customHeight="1" x14ac:dyDescent="0.25">
      <c r="A53" s="245" t="s">
        <v>58</v>
      </c>
      <c r="B53" s="42">
        <v>1</v>
      </c>
      <c r="C53" s="42">
        <v>1111</v>
      </c>
      <c r="D53" s="42">
        <v>1817</v>
      </c>
      <c r="E53" s="42">
        <v>1181</v>
      </c>
      <c r="F53" s="42">
        <v>768</v>
      </c>
      <c r="G53" s="42">
        <v>463</v>
      </c>
      <c r="H53" s="42">
        <v>130</v>
      </c>
      <c r="I53" s="43">
        <v>12</v>
      </c>
      <c r="J53" s="44">
        <v>0</v>
      </c>
      <c r="K53" s="45">
        <v>1</v>
      </c>
      <c r="L53" s="42">
        <v>0</v>
      </c>
    </row>
    <row r="54" spans="1:14" ht="14.1" customHeight="1" x14ac:dyDescent="0.25">
      <c r="A54" s="245" t="s">
        <v>59</v>
      </c>
      <c r="B54" s="42">
        <v>11</v>
      </c>
      <c r="C54" s="42">
        <v>858</v>
      </c>
      <c r="D54" s="42">
        <v>1798</v>
      </c>
      <c r="E54" s="42">
        <v>2000</v>
      </c>
      <c r="F54" s="42">
        <v>1810</v>
      </c>
      <c r="G54" s="42">
        <v>1052</v>
      </c>
      <c r="H54" s="42">
        <v>251</v>
      </c>
      <c r="I54" s="43">
        <v>5</v>
      </c>
      <c r="J54" s="44">
        <v>0</v>
      </c>
      <c r="K54" s="45">
        <v>0</v>
      </c>
      <c r="L54" s="42">
        <v>2</v>
      </c>
    </row>
    <row r="55" spans="1:14" ht="14.1" customHeight="1" x14ac:dyDescent="0.25">
      <c r="A55" s="244" t="s">
        <v>60</v>
      </c>
      <c r="B55" s="38">
        <v>26</v>
      </c>
      <c r="C55" s="38">
        <v>5635</v>
      </c>
      <c r="D55" s="38">
        <v>13813</v>
      </c>
      <c r="E55" s="38">
        <v>19895</v>
      </c>
      <c r="F55" s="38">
        <v>18788</v>
      </c>
      <c r="G55" s="38">
        <v>11325</v>
      </c>
      <c r="H55" s="38">
        <v>2763</v>
      </c>
      <c r="I55" s="39">
        <v>130</v>
      </c>
      <c r="J55" s="40">
        <v>9</v>
      </c>
      <c r="K55" s="41">
        <v>0</v>
      </c>
      <c r="L55" s="38">
        <v>5</v>
      </c>
      <c r="N55" s="177"/>
    </row>
    <row r="56" spans="1:14" ht="14.1" customHeight="1" x14ac:dyDescent="0.25">
      <c r="A56" s="245" t="s">
        <v>61</v>
      </c>
      <c r="B56" s="42">
        <v>3</v>
      </c>
      <c r="C56" s="42">
        <v>733</v>
      </c>
      <c r="D56" s="42">
        <v>1876</v>
      </c>
      <c r="E56" s="42">
        <v>2758</v>
      </c>
      <c r="F56" s="42">
        <v>2395</v>
      </c>
      <c r="G56" s="42">
        <v>1599</v>
      </c>
      <c r="H56" s="42">
        <v>381</v>
      </c>
      <c r="I56" s="43">
        <v>15</v>
      </c>
      <c r="J56" s="44">
        <v>0</v>
      </c>
      <c r="K56" s="45">
        <v>0</v>
      </c>
      <c r="L56" s="42">
        <v>1</v>
      </c>
    </row>
    <row r="57" spans="1:14" ht="14.1" customHeight="1" x14ac:dyDescent="0.25">
      <c r="A57" s="245" t="s">
        <v>62</v>
      </c>
      <c r="B57" s="42">
        <v>4</v>
      </c>
      <c r="C57" s="42">
        <v>193</v>
      </c>
      <c r="D57" s="42">
        <v>429</v>
      </c>
      <c r="E57" s="42">
        <v>582</v>
      </c>
      <c r="F57" s="42">
        <v>547</v>
      </c>
      <c r="G57" s="42">
        <v>337</v>
      </c>
      <c r="H57" s="42">
        <v>90</v>
      </c>
      <c r="I57" s="43">
        <v>9</v>
      </c>
      <c r="J57" s="44">
        <v>0</v>
      </c>
      <c r="K57" s="45">
        <v>0</v>
      </c>
      <c r="L57" s="42">
        <v>0</v>
      </c>
    </row>
    <row r="58" spans="1:14" ht="14.1" customHeight="1" x14ac:dyDescent="0.25">
      <c r="A58" s="245" t="s">
        <v>63</v>
      </c>
      <c r="B58" s="42">
        <v>1</v>
      </c>
      <c r="C58" s="42">
        <v>69</v>
      </c>
      <c r="D58" s="42">
        <v>228</v>
      </c>
      <c r="E58" s="42">
        <v>347</v>
      </c>
      <c r="F58" s="42">
        <v>369</v>
      </c>
      <c r="G58" s="42">
        <v>222</v>
      </c>
      <c r="H58" s="42">
        <v>44</v>
      </c>
      <c r="I58" s="43">
        <v>5</v>
      </c>
      <c r="J58" s="44">
        <v>0</v>
      </c>
      <c r="K58" s="45">
        <v>0</v>
      </c>
      <c r="L58" s="42">
        <v>0</v>
      </c>
    </row>
    <row r="59" spans="1:14" ht="14.1" customHeight="1" x14ac:dyDescent="0.25">
      <c r="A59" s="245" t="s">
        <v>64</v>
      </c>
      <c r="B59" s="42">
        <v>1</v>
      </c>
      <c r="C59" s="42">
        <v>521</v>
      </c>
      <c r="D59" s="42">
        <v>1463</v>
      </c>
      <c r="E59" s="42">
        <v>2373</v>
      </c>
      <c r="F59" s="42">
        <v>2443</v>
      </c>
      <c r="G59" s="42">
        <v>1460</v>
      </c>
      <c r="H59" s="42">
        <v>395</v>
      </c>
      <c r="I59" s="43">
        <v>28</v>
      </c>
      <c r="J59" s="44">
        <v>1</v>
      </c>
      <c r="K59" s="45">
        <v>0</v>
      </c>
      <c r="L59" s="42">
        <v>0</v>
      </c>
    </row>
    <row r="60" spans="1:14" ht="14.1" customHeight="1" x14ac:dyDescent="0.25">
      <c r="A60" s="245" t="s">
        <v>65</v>
      </c>
      <c r="B60" s="42">
        <v>3</v>
      </c>
      <c r="C60" s="42">
        <v>381</v>
      </c>
      <c r="D60" s="42">
        <v>892</v>
      </c>
      <c r="E60" s="42">
        <v>1239</v>
      </c>
      <c r="F60" s="42">
        <v>1273</v>
      </c>
      <c r="G60" s="42">
        <v>743</v>
      </c>
      <c r="H60" s="42">
        <v>178</v>
      </c>
      <c r="I60" s="43">
        <v>10</v>
      </c>
      <c r="J60" s="44">
        <v>1</v>
      </c>
      <c r="K60" s="45">
        <v>0</v>
      </c>
      <c r="L60" s="42">
        <v>0</v>
      </c>
    </row>
    <row r="61" spans="1:14" ht="14.1" customHeight="1" x14ac:dyDescent="0.25">
      <c r="A61" s="245" t="s">
        <v>66</v>
      </c>
      <c r="B61" s="42">
        <v>2</v>
      </c>
      <c r="C61" s="42">
        <v>199</v>
      </c>
      <c r="D61" s="42">
        <v>528</v>
      </c>
      <c r="E61" s="42">
        <v>857</v>
      </c>
      <c r="F61" s="42">
        <v>803</v>
      </c>
      <c r="G61" s="42">
        <v>512</v>
      </c>
      <c r="H61" s="42">
        <v>129</v>
      </c>
      <c r="I61" s="43">
        <v>6</v>
      </c>
      <c r="J61" s="44">
        <v>0</v>
      </c>
      <c r="K61" s="45">
        <v>0</v>
      </c>
      <c r="L61" s="42">
        <v>0</v>
      </c>
    </row>
    <row r="62" spans="1:14" ht="14.1" customHeight="1" x14ac:dyDescent="0.25">
      <c r="A62" s="245" t="s">
        <v>67</v>
      </c>
      <c r="B62" s="42">
        <v>3</v>
      </c>
      <c r="C62" s="42">
        <v>905</v>
      </c>
      <c r="D62" s="42">
        <v>2164</v>
      </c>
      <c r="E62" s="42">
        <v>3056</v>
      </c>
      <c r="F62" s="42">
        <v>2647</v>
      </c>
      <c r="G62" s="42">
        <v>1493</v>
      </c>
      <c r="H62" s="42">
        <v>361</v>
      </c>
      <c r="I62" s="43">
        <v>14</v>
      </c>
      <c r="J62" s="44">
        <v>2</v>
      </c>
      <c r="K62" s="45">
        <v>0</v>
      </c>
      <c r="L62" s="42">
        <v>0</v>
      </c>
    </row>
    <row r="63" spans="1:14" ht="14.1" customHeight="1" x14ac:dyDescent="0.25">
      <c r="A63" s="245" t="s">
        <v>68</v>
      </c>
      <c r="B63" s="42">
        <v>0</v>
      </c>
      <c r="C63" s="42">
        <v>317</v>
      </c>
      <c r="D63" s="42">
        <v>669</v>
      </c>
      <c r="E63" s="42">
        <v>1067</v>
      </c>
      <c r="F63" s="42">
        <v>990</v>
      </c>
      <c r="G63" s="42">
        <v>569</v>
      </c>
      <c r="H63" s="42">
        <v>159</v>
      </c>
      <c r="I63" s="43">
        <v>5</v>
      </c>
      <c r="J63" s="44">
        <v>0</v>
      </c>
      <c r="K63" s="45">
        <v>0</v>
      </c>
      <c r="L63" s="42">
        <v>0</v>
      </c>
    </row>
    <row r="64" spans="1:14" ht="14.1" customHeight="1" x14ac:dyDescent="0.25">
      <c r="A64" s="245" t="s">
        <v>69</v>
      </c>
      <c r="B64" s="42">
        <v>3</v>
      </c>
      <c r="C64" s="42">
        <v>463</v>
      </c>
      <c r="D64" s="42">
        <v>1154</v>
      </c>
      <c r="E64" s="42">
        <v>1751</v>
      </c>
      <c r="F64" s="42">
        <v>1654</v>
      </c>
      <c r="G64" s="42">
        <v>1050</v>
      </c>
      <c r="H64" s="42">
        <v>237</v>
      </c>
      <c r="I64" s="43">
        <v>11</v>
      </c>
      <c r="J64" s="44">
        <v>0</v>
      </c>
      <c r="K64" s="45">
        <v>0</v>
      </c>
      <c r="L64" s="42">
        <v>2</v>
      </c>
    </row>
    <row r="65" spans="1:12" ht="14.1" customHeight="1" x14ac:dyDescent="0.25">
      <c r="A65" s="245" t="s">
        <v>70</v>
      </c>
      <c r="B65" s="42">
        <v>2</v>
      </c>
      <c r="C65" s="42">
        <v>481</v>
      </c>
      <c r="D65" s="42">
        <v>1089</v>
      </c>
      <c r="E65" s="42">
        <v>1390</v>
      </c>
      <c r="F65" s="42">
        <v>1329</v>
      </c>
      <c r="G65" s="42">
        <v>708</v>
      </c>
      <c r="H65" s="42">
        <v>157</v>
      </c>
      <c r="I65" s="43">
        <v>4</v>
      </c>
      <c r="J65" s="44">
        <v>0</v>
      </c>
      <c r="K65" s="45">
        <v>0</v>
      </c>
      <c r="L65" s="42">
        <v>0</v>
      </c>
    </row>
    <row r="66" spans="1:12" ht="14.1" customHeight="1" x14ac:dyDescent="0.25">
      <c r="A66" s="245" t="s">
        <v>71</v>
      </c>
      <c r="B66" s="42">
        <v>0</v>
      </c>
      <c r="C66" s="42">
        <v>152</v>
      </c>
      <c r="D66" s="42">
        <v>349</v>
      </c>
      <c r="E66" s="42">
        <v>477</v>
      </c>
      <c r="F66" s="42">
        <v>494</v>
      </c>
      <c r="G66" s="42">
        <v>302</v>
      </c>
      <c r="H66" s="42">
        <v>83</v>
      </c>
      <c r="I66" s="43">
        <v>4</v>
      </c>
      <c r="J66" s="44">
        <v>3</v>
      </c>
      <c r="K66" s="45">
        <v>0</v>
      </c>
      <c r="L66" s="42">
        <v>0</v>
      </c>
    </row>
    <row r="67" spans="1:12" ht="14.1" customHeight="1" x14ac:dyDescent="0.25">
      <c r="A67" s="245" t="s">
        <v>72</v>
      </c>
      <c r="B67" s="42">
        <v>2</v>
      </c>
      <c r="C67" s="42">
        <v>499</v>
      </c>
      <c r="D67" s="42">
        <v>1309</v>
      </c>
      <c r="E67" s="42">
        <v>1780</v>
      </c>
      <c r="F67" s="42">
        <v>1847</v>
      </c>
      <c r="G67" s="42">
        <v>1149</v>
      </c>
      <c r="H67" s="42">
        <v>275</v>
      </c>
      <c r="I67" s="43">
        <v>13</v>
      </c>
      <c r="J67" s="44">
        <v>2</v>
      </c>
      <c r="K67" s="45">
        <v>0</v>
      </c>
      <c r="L67" s="42">
        <v>0</v>
      </c>
    </row>
    <row r="68" spans="1:12" ht="14.1" customHeight="1" x14ac:dyDescent="0.25">
      <c r="A68" s="246" t="s">
        <v>73</v>
      </c>
      <c r="B68" s="42">
        <v>1</v>
      </c>
      <c r="C68" s="42">
        <v>524</v>
      </c>
      <c r="D68" s="42">
        <v>1172</v>
      </c>
      <c r="E68" s="42">
        <v>1542</v>
      </c>
      <c r="F68" s="42">
        <v>1378</v>
      </c>
      <c r="G68" s="42">
        <v>818</v>
      </c>
      <c r="H68" s="42">
        <v>194</v>
      </c>
      <c r="I68" s="43">
        <v>3</v>
      </c>
      <c r="J68" s="44">
        <v>0</v>
      </c>
      <c r="K68" s="45">
        <v>0</v>
      </c>
      <c r="L68" s="42">
        <v>1</v>
      </c>
    </row>
    <row r="69" spans="1:12" ht="14.1" customHeight="1" x14ac:dyDescent="0.25">
      <c r="A69" s="245" t="s">
        <v>74</v>
      </c>
      <c r="B69" s="42">
        <v>1</v>
      </c>
      <c r="C69" s="42">
        <v>198</v>
      </c>
      <c r="D69" s="42">
        <v>491</v>
      </c>
      <c r="E69" s="42">
        <v>676</v>
      </c>
      <c r="F69" s="42">
        <v>619</v>
      </c>
      <c r="G69" s="42">
        <v>363</v>
      </c>
      <c r="H69" s="42">
        <v>80</v>
      </c>
      <c r="I69" s="43">
        <v>3</v>
      </c>
      <c r="J69" s="44">
        <v>0</v>
      </c>
      <c r="K69" s="45">
        <v>0</v>
      </c>
      <c r="L69" s="42">
        <v>1</v>
      </c>
    </row>
    <row r="70" spans="1:12" ht="14.1" customHeight="1" x14ac:dyDescent="0.25">
      <c r="A70" s="249" t="s">
        <v>75</v>
      </c>
      <c r="B70" s="38">
        <v>47</v>
      </c>
      <c r="C70" s="38">
        <v>3186</v>
      </c>
      <c r="D70" s="38">
        <v>7346</v>
      </c>
      <c r="E70" s="38">
        <v>10452</v>
      </c>
      <c r="F70" s="38">
        <v>10014</v>
      </c>
      <c r="G70" s="38">
        <v>5708</v>
      </c>
      <c r="H70" s="38">
        <v>1280</v>
      </c>
      <c r="I70" s="39">
        <v>66</v>
      </c>
      <c r="J70" s="40">
        <v>3</v>
      </c>
      <c r="K70" s="41">
        <v>4</v>
      </c>
      <c r="L70" s="38">
        <v>2</v>
      </c>
    </row>
    <row r="71" spans="1:12" ht="14.1" customHeight="1" x14ac:dyDescent="0.25">
      <c r="A71" s="245" t="s">
        <v>76</v>
      </c>
      <c r="B71" s="42">
        <v>3</v>
      </c>
      <c r="C71" s="42">
        <v>209</v>
      </c>
      <c r="D71" s="42">
        <v>474</v>
      </c>
      <c r="E71" s="42">
        <v>642</v>
      </c>
      <c r="F71" s="42">
        <v>622</v>
      </c>
      <c r="G71" s="42">
        <v>342</v>
      </c>
      <c r="H71" s="42">
        <v>69</v>
      </c>
      <c r="I71" s="43">
        <v>7</v>
      </c>
      <c r="J71" s="44">
        <v>0</v>
      </c>
      <c r="K71" s="45">
        <v>0</v>
      </c>
      <c r="L71" s="42">
        <v>1</v>
      </c>
    </row>
    <row r="72" spans="1:12" ht="14.1" customHeight="1" x14ac:dyDescent="0.25">
      <c r="A72" s="245" t="s">
        <v>77</v>
      </c>
      <c r="B72" s="42">
        <v>19</v>
      </c>
      <c r="C72" s="42">
        <v>1086</v>
      </c>
      <c r="D72" s="42">
        <v>2582</v>
      </c>
      <c r="E72" s="42">
        <v>3822</v>
      </c>
      <c r="F72" s="42">
        <v>3676</v>
      </c>
      <c r="G72" s="42">
        <v>2133</v>
      </c>
      <c r="H72" s="42">
        <v>498</v>
      </c>
      <c r="I72" s="43">
        <v>22</v>
      </c>
      <c r="J72" s="44">
        <v>3</v>
      </c>
      <c r="K72" s="45">
        <v>2</v>
      </c>
      <c r="L72" s="42">
        <v>1</v>
      </c>
    </row>
    <row r="73" spans="1:12" ht="14.1" customHeight="1" x14ac:dyDescent="0.25">
      <c r="A73" s="245" t="s">
        <v>78</v>
      </c>
      <c r="B73" s="42">
        <v>16</v>
      </c>
      <c r="C73" s="42">
        <v>957</v>
      </c>
      <c r="D73" s="42">
        <v>2286</v>
      </c>
      <c r="E73" s="42">
        <v>3185</v>
      </c>
      <c r="F73" s="42">
        <v>3111</v>
      </c>
      <c r="G73" s="42">
        <v>1682</v>
      </c>
      <c r="H73" s="42">
        <v>391</v>
      </c>
      <c r="I73" s="43">
        <v>24</v>
      </c>
      <c r="J73" s="44">
        <v>0</v>
      </c>
      <c r="K73" s="45">
        <v>2</v>
      </c>
      <c r="L73" s="42">
        <v>0</v>
      </c>
    </row>
    <row r="74" spans="1:12" ht="14.1" customHeight="1" x14ac:dyDescent="0.25">
      <c r="A74" s="245" t="s">
        <v>79</v>
      </c>
      <c r="B74" s="42">
        <v>5</v>
      </c>
      <c r="C74" s="42">
        <v>338</v>
      </c>
      <c r="D74" s="42">
        <v>896</v>
      </c>
      <c r="E74" s="42">
        <v>1238</v>
      </c>
      <c r="F74" s="42">
        <v>1259</v>
      </c>
      <c r="G74" s="42">
        <v>691</v>
      </c>
      <c r="H74" s="42">
        <v>146</v>
      </c>
      <c r="I74" s="43">
        <v>14</v>
      </c>
      <c r="J74" s="44">
        <v>0</v>
      </c>
      <c r="K74" s="45">
        <v>2</v>
      </c>
      <c r="L74" s="42">
        <v>0</v>
      </c>
    </row>
    <row r="75" spans="1:12" ht="14.1" customHeight="1" x14ac:dyDescent="0.25">
      <c r="A75" s="245" t="s">
        <v>80</v>
      </c>
      <c r="B75" s="42">
        <v>3</v>
      </c>
      <c r="C75" s="42">
        <v>182</v>
      </c>
      <c r="D75" s="42">
        <v>407</v>
      </c>
      <c r="E75" s="42">
        <v>470</v>
      </c>
      <c r="F75" s="42">
        <v>419</v>
      </c>
      <c r="G75" s="42">
        <v>208</v>
      </c>
      <c r="H75" s="42">
        <v>55</v>
      </c>
      <c r="I75" s="43">
        <v>1</v>
      </c>
      <c r="J75" s="44">
        <v>0</v>
      </c>
      <c r="K75" s="45">
        <v>0</v>
      </c>
      <c r="L75" s="42">
        <v>0</v>
      </c>
    </row>
    <row r="76" spans="1:12" ht="14.1" customHeight="1" x14ac:dyDescent="0.25">
      <c r="A76" s="248" t="s">
        <v>319</v>
      </c>
      <c r="B76" s="42">
        <v>8</v>
      </c>
      <c r="C76" s="42">
        <v>437</v>
      </c>
      <c r="D76" s="42">
        <v>983</v>
      </c>
      <c r="E76" s="42">
        <v>1477</v>
      </c>
      <c r="F76" s="42">
        <v>1433</v>
      </c>
      <c r="G76" s="42">
        <v>783</v>
      </c>
      <c r="H76" s="42">
        <v>190</v>
      </c>
      <c r="I76" s="43">
        <v>9</v>
      </c>
      <c r="J76" s="44">
        <v>0</v>
      </c>
      <c r="K76" s="45">
        <v>0</v>
      </c>
      <c r="L76" s="42">
        <v>0</v>
      </c>
    </row>
    <row r="77" spans="1:12" ht="14.1" customHeight="1" x14ac:dyDescent="0.25">
      <c r="A77" s="245" t="s">
        <v>81</v>
      </c>
      <c r="B77" s="42">
        <v>9</v>
      </c>
      <c r="C77" s="42">
        <v>934</v>
      </c>
      <c r="D77" s="42">
        <v>2004</v>
      </c>
      <c r="E77" s="42">
        <v>2803</v>
      </c>
      <c r="F77" s="42">
        <v>2605</v>
      </c>
      <c r="G77" s="42">
        <v>1551</v>
      </c>
      <c r="H77" s="42">
        <v>322</v>
      </c>
      <c r="I77" s="43">
        <v>13</v>
      </c>
      <c r="J77" s="44">
        <v>0</v>
      </c>
      <c r="K77" s="45">
        <v>0</v>
      </c>
      <c r="L77" s="42">
        <v>0</v>
      </c>
    </row>
    <row r="78" spans="1:12" ht="14.1" customHeight="1" x14ac:dyDescent="0.25">
      <c r="A78" s="244" t="s">
        <v>82</v>
      </c>
      <c r="B78" s="38">
        <v>60</v>
      </c>
      <c r="C78" s="38">
        <v>7520</v>
      </c>
      <c r="D78" s="38">
        <v>16425</v>
      </c>
      <c r="E78" s="38">
        <v>20165</v>
      </c>
      <c r="F78" s="38">
        <v>16639</v>
      </c>
      <c r="G78" s="38">
        <v>9413</v>
      </c>
      <c r="H78" s="38">
        <v>2183</v>
      </c>
      <c r="I78" s="39">
        <v>128</v>
      </c>
      <c r="J78" s="40">
        <v>12</v>
      </c>
      <c r="K78" s="41">
        <v>2</v>
      </c>
      <c r="L78" s="38">
        <v>48</v>
      </c>
    </row>
    <row r="79" spans="1:12" ht="14.1" customHeight="1" x14ac:dyDescent="0.25">
      <c r="A79" s="245" t="s">
        <v>83</v>
      </c>
      <c r="B79" s="42">
        <v>2</v>
      </c>
      <c r="C79" s="42">
        <v>147</v>
      </c>
      <c r="D79" s="42">
        <v>276</v>
      </c>
      <c r="E79" s="42">
        <v>330</v>
      </c>
      <c r="F79" s="42">
        <v>211</v>
      </c>
      <c r="G79" s="42">
        <v>159</v>
      </c>
      <c r="H79" s="42">
        <v>32</v>
      </c>
      <c r="I79" s="43">
        <v>2</v>
      </c>
      <c r="J79" s="44">
        <v>0</v>
      </c>
      <c r="K79" s="45">
        <v>0</v>
      </c>
      <c r="L79" s="42">
        <v>0</v>
      </c>
    </row>
    <row r="80" spans="1:12" ht="14.1" customHeight="1" x14ac:dyDescent="0.25">
      <c r="A80" s="245" t="s">
        <v>84</v>
      </c>
      <c r="B80" s="42">
        <v>2</v>
      </c>
      <c r="C80" s="42">
        <v>586</v>
      </c>
      <c r="D80" s="42">
        <v>1170</v>
      </c>
      <c r="E80" s="42">
        <v>1455</v>
      </c>
      <c r="F80" s="42">
        <v>1181</v>
      </c>
      <c r="G80" s="42">
        <v>655</v>
      </c>
      <c r="H80" s="42">
        <v>155</v>
      </c>
      <c r="I80" s="43">
        <v>3</v>
      </c>
      <c r="J80" s="44">
        <v>0</v>
      </c>
      <c r="K80" s="45">
        <v>0</v>
      </c>
      <c r="L80" s="42">
        <v>1</v>
      </c>
    </row>
    <row r="81" spans="1:12" ht="14.1" customHeight="1" x14ac:dyDescent="0.25">
      <c r="A81" s="245" t="s">
        <v>85</v>
      </c>
      <c r="B81" s="42">
        <v>2</v>
      </c>
      <c r="C81" s="42">
        <v>520</v>
      </c>
      <c r="D81" s="42">
        <v>1680</v>
      </c>
      <c r="E81" s="42">
        <v>1373</v>
      </c>
      <c r="F81" s="42">
        <v>716</v>
      </c>
      <c r="G81" s="42">
        <v>350</v>
      </c>
      <c r="H81" s="42">
        <v>81</v>
      </c>
      <c r="I81" s="43">
        <v>7</v>
      </c>
      <c r="J81" s="44">
        <v>0</v>
      </c>
      <c r="K81" s="45">
        <v>0</v>
      </c>
      <c r="L81" s="42">
        <v>5</v>
      </c>
    </row>
    <row r="82" spans="1:12" ht="14.1" customHeight="1" x14ac:dyDescent="0.25">
      <c r="A82" s="245" t="s">
        <v>86</v>
      </c>
      <c r="B82" s="42">
        <v>1</v>
      </c>
      <c r="C82" s="42">
        <v>207</v>
      </c>
      <c r="D82" s="42">
        <v>462</v>
      </c>
      <c r="E82" s="42">
        <v>605</v>
      </c>
      <c r="F82" s="42">
        <v>486</v>
      </c>
      <c r="G82" s="42">
        <v>302</v>
      </c>
      <c r="H82" s="42">
        <v>70</v>
      </c>
      <c r="I82" s="43">
        <v>3</v>
      </c>
      <c r="J82" s="44">
        <v>0</v>
      </c>
      <c r="K82" s="45">
        <v>0</v>
      </c>
      <c r="L82" s="42">
        <v>0</v>
      </c>
    </row>
    <row r="83" spans="1:12" ht="14.1" customHeight="1" x14ac:dyDescent="0.25">
      <c r="A83" s="245" t="s">
        <v>87</v>
      </c>
      <c r="B83" s="42">
        <v>5</v>
      </c>
      <c r="C83" s="42">
        <v>625</v>
      </c>
      <c r="D83" s="42">
        <v>1391</v>
      </c>
      <c r="E83" s="42">
        <v>1756</v>
      </c>
      <c r="F83" s="42">
        <v>1650</v>
      </c>
      <c r="G83" s="42">
        <v>999</v>
      </c>
      <c r="H83" s="42">
        <v>230</v>
      </c>
      <c r="I83" s="43">
        <v>18</v>
      </c>
      <c r="J83" s="44">
        <v>7</v>
      </c>
      <c r="K83" s="45">
        <v>0</v>
      </c>
      <c r="L83" s="42">
        <v>0</v>
      </c>
    </row>
    <row r="84" spans="1:12" ht="14.1" customHeight="1" x14ac:dyDescent="0.25">
      <c r="A84" s="245" t="s">
        <v>88</v>
      </c>
      <c r="B84" s="42">
        <v>5</v>
      </c>
      <c r="C84" s="42">
        <v>697</v>
      </c>
      <c r="D84" s="42">
        <v>1217</v>
      </c>
      <c r="E84" s="42">
        <v>1355</v>
      </c>
      <c r="F84" s="42">
        <v>1086</v>
      </c>
      <c r="G84" s="42">
        <v>598</v>
      </c>
      <c r="H84" s="42">
        <v>118</v>
      </c>
      <c r="I84" s="43">
        <v>2</v>
      </c>
      <c r="J84" s="44">
        <v>0</v>
      </c>
      <c r="K84" s="45">
        <v>0</v>
      </c>
      <c r="L84" s="42">
        <v>0</v>
      </c>
    </row>
    <row r="85" spans="1:12" ht="14.1" customHeight="1" x14ac:dyDescent="0.25">
      <c r="A85" s="245" t="s">
        <v>89</v>
      </c>
      <c r="B85" s="42">
        <v>14</v>
      </c>
      <c r="C85" s="42">
        <v>990</v>
      </c>
      <c r="D85" s="42">
        <v>2292</v>
      </c>
      <c r="E85" s="42">
        <v>2924</v>
      </c>
      <c r="F85" s="42">
        <v>2458</v>
      </c>
      <c r="G85" s="42">
        <v>1344</v>
      </c>
      <c r="H85" s="42">
        <v>337</v>
      </c>
      <c r="I85" s="43">
        <v>34</v>
      </c>
      <c r="J85" s="44">
        <v>2</v>
      </c>
      <c r="K85" s="45">
        <v>1</v>
      </c>
      <c r="L85" s="42">
        <v>0</v>
      </c>
    </row>
    <row r="86" spans="1:12" ht="14.1" customHeight="1" x14ac:dyDescent="0.25">
      <c r="A86" s="245" t="s">
        <v>90</v>
      </c>
      <c r="B86" s="42">
        <v>11</v>
      </c>
      <c r="C86" s="42">
        <v>1164</v>
      </c>
      <c r="D86" s="42">
        <v>2550</v>
      </c>
      <c r="E86" s="42">
        <v>3295</v>
      </c>
      <c r="F86" s="42">
        <v>2494</v>
      </c>
      <c r="G86" s="42">
        <v>1309</v>
      </c>
      <c r="H86" s="42">
        <v>312</v>
      </c>
      <c r="I86" s="43">
        <v>15</v>
      </c>
      <c r="J86" s="44">
        <v>2</v>
      </c>
      <c r="K86" s="45">
        <v>0</v>
      </c>
      <c r="L86" s="42">
        <v>1</v>
      </c>
    </row>
    <row r="87" spans="1:12" ht="14.1" customHeight="1" x14ac:dyDescent="0.25">
      <c r="A87" s="245" t="s">
        <v>91</v>
      </c>
      <c r="B87" s="42">
        <v>7</v>
      </c>
      <c r="C87" s="42">
        <v>883</v>
      </c>
      <c r="D87" s="42">
        <v>1836</v>
      </c>
      <c r="E87" s="42">
        <v>2493</v>
      </c>
      <c r="F87" s="42">
        <v>2045</v>
      </c>
      <c r="G87" s="42">
        <v>1224</v>
      </c>
      <c r="H87" s="42">
        <v>267</v>
      </c>
      <c r="I87" s="43">
        <v>15</v>
      </c>
      <c r="J87" s="44">
        <v>1</v>
      </c>
      <c r="K87" s="45">
        <v>0</v>
      </c>
      <c r="L87" s="42">
        <v>40</v>
      </c>
    </row>
    <row r="88" spans="1:12" ht="14.1" customHeight="1" x14ac:dyDescent="0.25">
      <c r="A88" s="245" t="s">
        <v>92</v>
      </c>
      <c r="B88" s="42">
        <v>8</v>
      </c>
      <c r="C88" s="42">
        <v>723</v>
      </c>
      <c r="D88" s="42">
        <v>1538</v>
      </c>
      <c r="E88" s="42">
        <v>2018</v>
      </c>
      <c r="F88" s="42">
        <v>1944</v>
      </c>
      <c r="G88" s="42">
        <v>1171</v>
      </c>
      <c r="H88" s="42">
        <v>304</v>
      </c>
      <c r="I88" s="43">
        <v>17</v>
      </c>
      <c r="J88" s="44">
        <v>0</v>
      </c>
      <c r="K88" s="45">
        <v>0</v>
      </c>
      <c r="L88" s="42">
        <v>1</v>
      </c>
    </row>
    <row r="89" spans="1:12" ht="14.1" customHeight="1" x14ac:dyDescent="0.25">
      <c r="A89" s="245" t="s">
        <v>93</v>
      </c>
      <c r="B89" s="42">
        <v>3</v>
      </c>
      <c r="C89" s="42">
        <v>661</v>
      </c>
      <c r="D89" s="42">
        <v>1383</v>
      </c>
      <c r="E89" s="42">
        <v>1588</v>
      </c>
      <c r="F89" s="42">
        <v>1455</v>
      </c>
      <c r="G89" s="42">
        <v>833</v>
      </c>
      <c r="H89" s="42">
        <v>171</v>
      </c>
      <c r="I89" s="43">
        <v>7</v>
      </c>
      <c r="J89" s="44">
        <v>0</v>
      </c>
      <c r="K89" s="45">
        <v>0</v>
      </c>
      <c r="L89" s="42">
        <v>0</v>
      </c>
    </row>
    <row r="90" spans="1:12" ht="14.1" customHeight="1" x14ac:dyDescent="0.25">
      <c r="A90" s="245" t="s">
        <v>94</v>
      </c>
      <c r="B90" s="42">
        <v>0</v>
      </c>
      <c r="C90" s="42">
        <v>317</v>
      </c>
      <c r="D90" s="42">
        <v>630</v>
      </c>
      <c r="E90" s="42">
        <v>973</v>
      </c>
      <c r="F90" s="42">
        <v>913</v>
      </c>
      <c r="G90" s="42">
        <v>469</v>
      </c>
      <c r="H90" s="42">
        <v>106</v>
      </c>
      <c r="I90" s="43">
        <v>5</v>
      </c>
      <c r="J90" s="44">
        <v>0</v>
      </c>
      <c r="K90" s="45">
        <v>1</v>
      </c>
      <c r="L90" s="42">
        <v>0</v>
      </c>
    </row>
    <row r="91" spans="1:12" ht="14.1" customHeight="1" x14ac:dyDescent="0.25">
      <c r="A91" s="249" t="s">
        <v>95</v>
      </c>
      <c r="B91" s="38">
        <v>24</v>
      </c>
      <c r="C91" s="38">
        <v>2521</v>
      </c>
      <c r="D91" s="38">
        <v>5671</v>
      </c>
      <c r="E91" s="38">
        <v>6924</v>
      </c>
      <c r="F91" s="38">
        <v>5467</v>
      </c>
      <c r="G91" s="38">
        <v>3075</v>
      </c>
      <c r="H91" s="38">
        <v>713</v>
      </c>
      <c r="I91" s="39">
        <v>30</v>
      </c>
      <c r="J91" s="40">
        <v>1</v>
      </c>
      <c r="K91" s="41">
        <v>0</v>
      </c>
      <c r="L91" s="38">
        <v>5</v>
      </c>
    </row>
    <row r="92" spans="1:12" ht="14.1" customHeight="1" x14ac:dyDescent="0.25">
      <c r="A92" s="245" t="s">
        <v>96</v>
      </c>
      <c r="B92" s="42">
        <v>7</v>
      </c>
      <c r="C92" s="42">
        <v>568</v>
      </c>
      <c r="D92" s="42">
        <v>1491</v>
      </c>
      <c r="E92" s="42">
        <v>1464</v>
      </c>
      <c r="F92" s="42">
        <v>1064</v>
      </c>
      <c r="G92" s="42">
        <v>571</v>
      </c>
      <c r="H92" s="42">
        <v>161</v>
      </c>
      <c r="I92" s="43">
        <v>10</v>
      </c>
      <c r="J92" s="44">
        <v>0</v>
      </c>
      <c r="K92" s="45">
        <v>0</v>
      </c>
      <c r="L92" s="42">
        <v>4</v>
      </c>
    </row>
    <row r="93" spans="1:12" ht="14.1" customHeight="1" x14ac:dyDescent="0.25">
      <c r="A93" s="245" t="s">
        <v>97</v>
      </c>
      <c r="B93" s="42">
        <v>1</v>
      </c>
      <c r="C93" s="42">
        <v>122</v>
      </c>
      <c r="D93" s="42">
        <v>209</v>
      </c>
      <c r="E93" s="42">
        <v>314</v>
      </c>
      <c r="F93" s="42">
        <v>258</v>
      </c>
      <c r="G93" s="42">
        <v>152</v>
      </c>
      <c r="H93" s="42">
        <v>50</v>
      </c>
      <c r="I93" s="43">
        <v>2</v>
      </c>
      <c r="J93" s="44">
        <v>0</v>
      </c>
      <c r="K93" s="45">
        <v>0</v>
      </c>
      <c r="L93" s="42">
        <v>0</v>
      </c>
    </row>
    <row r="94" spans="1:12" ht="14.1" customHeight="1" x14ac:dyDescent="0.25">
      <c r="A94" s="245" t="s">
        <v>98</v>
      </c>
      <c r="B94" s="42">
        <v>4</v>
      </c>
      <c r="C94" s="42">
        <v>527</v>
      </c>
      <c r="D94" s="42">
        <v>1286</v>
      </c>
      <c r="E94" s="42">
        <v>1616</v>
      </c>
      <c r="F94" s="42">
        <v>1318</v>
      </c>
      <c r="G94" s="42">
        <v>807</v>
      </c>
      <c r="H94" s="42">
        <v>172</v>
      </c>
      <c r="I94" s="43">
        <v>6</v>
      </c>
      <c r="J94" s="44">
        <v>0</v>
      </c>
      <c r="K94" s="45">
        <v>0</v>
      </c>
      <c r="L94" s="42">
        <v>0</v>
      </c>
    </row>
    <row r="95" spans="1:12" ht="14.1" customHeight="1" x14ac:dyDescent="0.25">
      <c r="A95" s="245" t="s">
        <v>99</v>
      </c>
      <c r="B95" s="42">
        <v>7</v>
      </c>
      <c r="C95" s="42">
        <v>547</v>
      </c>
      <c r="D95" s="42">
        <v>1134</v>
      </c>
      <c r="E95" s="42">
        <v>1595</v>
      </c>
      <c r="F95" s="42">
        <v>1313</v>
      </c>
      <c r="G95" s="42">
        <v>684</v>
      </c>
      <c r="H95" s="42">
        <v>151</v>
      </c>
      <c r="I95" s="43">
        <v>5</v>
      </c>
      <c r="J95" s="44">
        <v>1</v>
      </c>
      <c r="K95" s="45">
        <v>0</v>
      </c>
      <c r="L95" s="42">
        <v>0</v>
      </c>
    </row>
    <row r="96" spans="1:12" ht="14.1" customHeight="1" x14ac:dyDescent="0.25">
      <c r="A96" s="245" t="s">
        <v>100</v>
      </c>
      <c r="B96" s="42">
        <v>1</v>
      </c>
      <c r="C96" s="42">
        <v>357</v>
      </c>
      <c r="D96" s="42">
        <v>719</v>
      </c>
      <c r="E96" s="42">
        <v>911</v>
      </c>
      <c r="F96" s="42">
        <v>676</v>
      </c>
      <c r="G96" s="42">
        <v>412</v>
      </c>
      <c r="H96" s="42">
        <v>73</v>
      </c>
      <c r="I96" s="43">
        <v>4</v>
      </c>
      <c r="J96" s="44">
        <v>0</v>
      </c>
      <c r="K96" s="45">
        <v>0</v>
      </c>
      <c r="L96" s="42">
        <v>1</v>
      </c>
    </row>
    <row r="97" spans="1:12" ht="14.1" customHeight="1" x14ac:dyDescent="0.25">
      <c r="A97" s="245" t="s">
        <v>101</v>
      </c>
      <c r="B97" s="42">
        <v>0</v>
      </c>
      <c r="C97" s="42">
        <v>50</v>
      </c>
      <c r="D97" s="42">
        <v>125</v>
      </c>
      <c r="E97" s="42">
        <v>150</v>
      </c>
      <c r="F97" s="42">
        <v>139</v>
      </c>
      <c r="G97" s="42">
        <v>67</v>
      </c>
      <c r="H97" s="42">
        <v>18</v>
      </c>
      <c r="I97" s="43">
        <v>0</v>
      </c>
      <c r="J97" s="44">
        <v>0</v>
      </c>
      <c r="K97" s="45">
        <v>0</v>
      </c>
      <c r="L97" s="42">
        <v>0</v>
      </c>
    </row>
    <row r="98" spans="1:12" ht="14.1" customHeight="1" x14ac:dyDescent="0.25">
      <c r="A98" s="245" t="s">
        <v>102</v>
      </c>
      <c r="B98" s="42">
        <v>2</v>
      </c>
      <c r="C98" s="42">
        <v>209</v>
      </c>
      <c r="D98" s="42">
        <v>432</v>
      </c>
      <c r="E98" s="42">
        <v>627</v>
      </c>
      <c r="F98" s="42">
        <v>497</v>
      </c>
      <c r="G98" s="42">
        <v>278</v>
      </c>
      <c r="H98" s="42">
        <v>67</v>
      </c>
      <c r="I98" s="43">
        <v>1</v>
      </c>
      <c r="J98" s="44">
        <v>0</v>
      </c>
      <c r="K98" s="45">
        <v>0</v>
      </c>
      <c r="L98" s="42">
        <v>0</v>
      </c>
    </row>
    <row r="99" spans="1:12" ht="14.1" customHeight="1" x14ac:dyDescent="0.25">
      <c r="A99" s="245" t="s">
        <v>103</v>
      </c>
      <c r="B99" s="42">
        <v>0</v>
      </c>
      <c r="C99" s="42">
        <v>94</v>
      </c>
      <c r="D99" s="42">
        <v>192</v>
      </c>
      <c r="E99" s="42">
        <v>187</v>
      </c>
      <c r="F99" s="42">
        <v>158</v>
      </c>
      <c r="G99" s="42">
        <v>84</v>
      </c>
      <c r="H99" s="42">
        <v>14</v>
      </c>
      <c r="I99" s="43">
        <v>0</v>
      </c>
      <c r="J99" s="44">
        <v>0</v>
      </c>
      <c r="K99" s="45">
        <v>0</v>
      </c>
      <c r="L99" s="42">
        <v>0</v>
      </c>
    </row>
    <row r="100" spans="1:12" s="158" customFormat="1" ht="14.1" customHeight="1" x14ac:dyDescent="0.25">
      <c r="A100" s="320" t="s">
        <v>104</v>
      </c>
      <c r="B100" s="323">
        <v>2</v>
      </c>
      <c r="C100" s="323">
        <v>47</v>
      </c>
      <c r="D100" s="323">
        <v>83</v>
      </c>
      <c r="E100" s="323">
        <v>60</v>
      </c>
      <c r="F100" s="323">
        <v>44</v>
      </c>
      <c r="G100" s="323">
        <v>20</v>
      </c>
      <c r="H100" s="323">
        <v>7</v>
      </c>
      <c r="I100" s="324">
        <v>2</v>
      </c>
      <c r="J100" s="325">
        <v>0</v>
      </c>
      <c r="K100" s="326">
        <v>0</v>
      </c>
      <c r="L100" s="323">
        <v>0</v>
      </c>
    </row>
    <row r="103" spans="1:12" x14ac:dyDescent="0.25">
      <c r="B103" s="47"/>
      <c r="C103" s="48"/>
      <c r="K103" s="48"/>
    </row>
    <row r="104" spans="1:12" x14ac:dyDescent="0.25">
      <c r="C104" s="48"/>
      <c r="K104" s="48"/>
    </row>
    <row r="105" spans="1:12" x14ac:dyDescent="0.25">
      <c r="K105" s="48"/>
    </row>
  </sheetData>
  <mergeCells count="2">
    <mergeCell ref="A1:L1"/>
    <mergeCell ref="A2:L2"/>
  </mergeCells>
  <phoneticPr fontId="49" type="noConversion"/>
  <printOptions horizontalCentered="1"/>
  <pageMargins left="0.55118110236220474" right="0.31496062992125984" top="0.70866141732283472" bottom="0.19685039370078741" header="0.31496062992125984" footer="0.11811023622047245"/>
  <pageSetup paperSize="9" firstPageNumber="1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H57"/>
  <sheetViews>
    <sheetView zoomScaleNormal="100" zoomScaleSheetLayoutView="100" workbookViewId="0">
      <selection sqref="A1:H1"/>
    </sheetView>
  </sheetViews>
  <sheetFormatPr defaultRowHeight="12.95" customHeight="1" x14ac:dyDescent="0.25"/>
  <cols>
    <col min="1" max="1" width="18.28515625" customWidth="1"/>
    <col min="2" max="8" width="19.42578125" customWidth="1"/>
  </cols>
  <sheetData>
    <row r="1" spans="1:8" ht="18.75" customHeight="1" x14ac:dyDescent="0.25">
      <c r="A1" s="499" t="s">
        <v>331</v>
      </c>
      <c r="B1" s="499"/>
      <c r="C1" s="499"/>
      <c r="D1" s="499"/>
      <c r="E1" s="499"/>
      <c r="F1" s="499"/>
      <c r="G1" s="499"/>
      <c r="H1" s="499"/>
    </row>
    <row r="2" spans="1:8" ht="12.95" customHeight="1" x14ac:dyDescent="0.25">
      <c r="A2" s="499" t="s">
        <v>332</v>
      </c>
      <c r="B2" s="499"/>
      <c r="C2" s="499"/>
      <c r="D2" s="499"/>
      <c r="E2" s="499"/>
      <c r="F2" s="499"/>
      <c r="G2" s="499"/>
      <c r="H2" s="499"/>
    </row>
    <row r="3" spans="1:8" ht="12" customHeight="1" x14ac:dyDescent="0.25"/>
    <row r="4" spans="1:8" ht="12.95" customHeight="1" x14ac:dyDescent="0.25">
      <c r="A4" s="501" t="s">
        <v>243</v>
      </c>
      <c r="B4" s="503" t="s">
        <v>244</v>
      </c>
      <c r="C4" s="504" t="s">
        <v>245</v>
      </c>
      <c r="D4" s="505"/>
      <c r="E4" s="505"/>
      <c r="F4" s="505"/>
      <c r="G4" s="505"/>
      <c r="H4" s="505"/>
    </row>
    <row r="5" spans="1:8" ht="18" customHeight="1" x14ac:dyDescent="0.25">
      <c r="A5" s="502"/>
      <c r="B5" s="503"/>
      <c r="C5" s="381" t="s">
        <v>326</v>
      </c>
      <c r="D5" s="381" t="s">
        <v>327</v>
      </c>
      <c r="E5" s="381" t="s">
        <v>328</v>
      </c>
      <c r="F5" s="381" t="s">
        <v>329</v>
      </c>
      <c r="G5" s="382" t="s">
        <v>330</v>
      </c>
      <c r="H5" s="381" t="s">
        <v>246</v>
      </c>
    </row>
    <row r="6" spans="1:8" ht="12" customHeight="1" x14ac:dyDescent="0.25">
      <c r="A6" s="383">
        <v>11</v>
      </c>
      <c r="B6" s="85">
        <v>0</v>
      </c>
      <c r="C6" s="85">
        <v>0</v>
      </c>
      <c r="D6" s="85">
        <v>0</v>
      </c>
      <c r="E6" s="85">
        <v>0</v>
      </c>
      <c r="F6" s="85">
        <v>0</v>
      </c>
      <c r="G6" s="85">
        <v>0</v>
      </c>
      <c r="H6" s="85">
        <v>0</v>
      </c>
    </row>
    <row r="7" spans="1:8" ht="12" customHeight="1" x14ac:dyDescent="0.25">
      <c r="A7" s="384">
        <v>12</v>
      </c>
      <c r="B7" s="85">
        <v>2</v>
      </c>
      <c r="C7" s="85">
        <v>2</v>
      </c>
      <c r="D7" s="85">
        <v>0</v>
      </c>
      <c r="E7" s="85">
        <v>0</v>
      </c>
      <c r="F7" s="85">
        <v>0</v>
      </c>
      <c r="G7" s="85">
        <v>0</v>
      </c>
      <c r="H7" s="85">
        <v>0</v>
      </c>
    </row>
    <row r="8" spans="1:8" ht="12" customHeight="1" x14ac:dyDescent="0.25">
      <c r="A8" s="384">
        <v>13</v>
      </c>
      <c r="B8" s="85">
        <v>31</v>
      </c>
      <c r="C8" s="85">
        <v>31</v>
      </c>
      <c r="D8" s="85">
        <v>0</v>
      </c>
      <c r="E8" s="85">
        <v>0</v>
      </c>
      <c r="F8" s="85">
        <v>0</v>
      </c>
      <c r="G8" s="85">
        <v>0</v>
      </c>
      <c r="H8" s="85">
        <v>0</v>
      </c>
    </row>
    <row r="9" spans="1:8" ht="12" customHeight="1" x14ac:dyDescent="0.25">
      <c r="A9" s="384">
        <v>14</v>
      </c>
      <c r="B9" s="85">
        <v>263</v>
      </c>
      <c r="C9" s="85">
        <v>259</v>
      </c>
      <c r="D9" s="85">
        <v>3</v>
      </c>
      <c r="E9" s="85">
        <v>0</v>
      </c>
      <c r="F9" s="85">
        <v>0</v>
      </c>
      <c r="G9" s="85">
        <v>0</v>
      </c>
      <c r="H9" s="85">
        <v>1</v>
      </c>
    </row>
    <row r="10" spans="1:8" ht="12" customHeight="1" x14ac:dyDescent="0.25">
      <c r="A10" s="384">
        <v>15</v>
      </c>
      <c r="B10" s="85">
        <v>1074</v>
      </c>
      <c r="C10" s="85">
        <v>1038</v>
      </c>
      <c r="D10" s="85">
        <v>32</v>
      </c>
      <c r="E10" s="85">
        <v>0</v>
      </c>
      <c r="F10" s="85">
        <v>0</v>
      </c>
      <c r="G10" s="85">
        <v>0</v>
      </c>
      <c r="H10" s="85">
        <v>4</v>
      </c>
    </row>
    <row r="11" spans="1:8" ht="12" customHeight="1" x14ac:dyDescent="0.25">
      <c r="A11" s="384">
        <v>16</v>
      </c>
      <c r="B11" s="85">
        <v>3807</v>
      </c>
      <c r="C11" s="85">
        <v>3609</v>
      </c>
      <c r="D11" s="85">
        <v>166</v>
      </c>
      <c r="E11" s="85">
        <v>11</v>
      </c>
      <c r="F11" s="85">
        <v>1</v>
      </c>
      <c r="G11" s="85">
        <v>0</v>
      </c>
      <c r="H11" s="85">
        <v>20</v>
      </c>
    </row>
    <row r="12" spans="1:8" ht="12" customHeight="1" x14ac:dyDescent="0.25">
      <c r="A12" s="384">
        <v>17</v>
      </c>
      <c r="B12" s="85">
        <v>10366</v>
      </c>
      <c r="C12" s="85">
        <v>9297</v>
      </c>
      <c r="D12" s="85">
        <v>777</v>
      </c>
      <c r="E12" s="85">
        <v>50</v>
      </c>
      <c r="F12" s="85">
        <v>1</v>
      </c>
      <c r="G12" s="85">
        <v>0</v>
      </c>
      <c r="H12" s="85">
        <v>241</v>
      </c>
    </row>
    <row r="13" spans="1:8" ht="12" customHeight="1" x14ac:dyDescent="0.25">
      <c r="A13" s="384">
        <v>18</v>
      </c>
      <c r="B13" s="85">
        <v>20928</v>
      </c>
      <c r="C13" s="85">
        <v>17543</v>
      </c>
      <c r="D13" s="85">
        <v>2266</v>
      </c>
      <c r="E13" s="85">
        <v>157</v>
      </c>
      <c r="F13" s="85">
        <v>12</v>
      </c>
      <c r="G13" s="85">
        <v>2</v>
      </c>
      <c r="H13" s="85">
        <v>948</v>
      </c>
    </row>
    <row r="14" spans="1:8" ht="12" customHeight="1" x14ac:dyDescent="0.25">
      <c r="A14" s="384">
        <v>19</v>
      </c>
      <c r="B14" s="85">
        <v>34181</v>
      </c>
      <c r="C14" s="85">
        <v>27290</v>
      </c>
      <c r="D14" s="85">
        <v>5020</v>
      </c>
      <c r="E14" s="85">
        <v>440</v>
      </c>
      <c r="F14" s="85">
        <v>19</v>
      </c>
      <c r="G14" s="85">
        <v>3</v>
      </c>
      <c r="H14" s="85">
        <v>1409</v>
      </c>
    </row>
    <row r="15" spans="1:8" ht="12" customHeight="1" x14ac:dyDescent="0.25">
      <c r="A15" s="384">
        <v>20</v>
      </c>
      <c r="B15" s="85">
        <v>45893</v>
      </c>
      <c r="C15" s="85">
        <v>33898</v>
      </c>
      <c r="D15" s="85">
        <v>9122</v>
      </c>
      <c r="E15" s="85">
        <v>1093</v>
      </c>
      <c r="F15" s="85">
        <v>111</v>
      </c>
      <c r="G15" s="85">
        <v>16</v>
      </c>
      <c r="H15" s="85">
        <v>1653</v>
      </c>
    </row>
    <row r="16" spans="1:8" ht="12" customHeight="1" x14ac:dyDescent="0.25">
      <c r="A16" s="384">
        <v>21</v>
      </c>
      <c r="B16" s="85">
        <v>57622</v>
      </c>
      <c r="C16" s="85">
        <v>39123</v>
      </c>
      <c r="D16" s="85">
        <v>14113</v>
      </c>
      <c r="E16" s="85">
        <v>2016</v>
      </c>
      <c r="F16" s="85">
        <v>244</v>
      </c>
      <c r="G16" s="85">
        <v>21</v>
      </c>
      <c r="H16" s="85">
        <v>2105</v>
      </c>
    </row>
    <row r="17" spans="1:8" ht="12" customHeight="1" x14ac:dyDescent="0.25">
      <c r="A17" s="384">
        <v>22</v>
      </c>
      <c r="B17" s="85">
        <v>66000</v>
      </c>
      <c r="C17" s="85">
        <v>42268</v>
      </c>
      <c r="D17" s="85">
        <v>17982</v>
      </c>
      <c r="E17" s="85">
        <v>3268</v>
      </c>
      <c r="F17" s="85">
        <v>429</v>
      </c>
      <c r="G17" s="85">
        <v>71</v>
      </c>
      <c r="H17" s="85">
        <v>1982</v>
      </c>
    </row>
    <row r="18" spans="1:8" ht="12" customHeight="1" x14ac:dyDescent="0.25">
      <c r="A18" s="384">
        <v>23</v>
      </c>
      <c r="B18" s="85">
        <v>79075</v>
      </c>
      <c r="C18" s="85">
        <v>47820</v>
      </c>
      <c r="D18" s="85">
        <v>23472</v>
      </c>
      <c r="E18" s="85">
        <v>4677</v>
      </c>
      <c r="F18" s="85">
        <v>822</v>
      </c>
      <c r="G18" s="85">
        <v>158</v>
      </c>
      <c r="H18" s="85">
        <v>2126</v>
      </c>
    </row>
    <row r="19" spans="1:8" ht="12" customHeight="1" x14ac:dyDescent="0.25">
      <c r="A19" s="384">
        <v>24</v>
      </c>
      <c r="B19" s="85">
        <v>98613</v>
      </c>
      <c r="C19" s="85">
        <v>57105</v>
      </c>
      <c r="D19" s="85">
        <v>30897</v>
      </c>
      <c r="E19" s="85">
        <v>6659</v>
      </c>
      <c r="F19" s="85">
        <v>1354</v>
      </c>
      <c r="G19" s="85">
        <v>334</v>
      </c>
      <c r="H19" s="85">
        <v>2264</v>
      </c>
    </row>
    <row r="20" spans="1:8" ht="12" customHeight="1" x14ac:dyDescent="0.25">
      <c r="A20" s="384">
        <v>25</v>
      </c>
      <c r="B20" s="85">
        <v>116964</v>
      </c>
      <c r="C20" s="85">
        <v>64163</v>
      </c>
      <c r="D20" s="85">
        <v>39335</v>
      </c>
      <c r="E20" s="85">
        <v>8728</v>
      </c>
      <c r="F20" s="85">
        <v>1909</v>
      </c>
      <c r="G20" s="85">
        <v>506</v>
      </c>
      <c r="H20" s="85">
        <v>2323</v>
      </c>
    </row>
    <row r="21" spans="1:8" ht="12" customHeight="1" x14ac:dyDescent="0.25">
      <c r="A21" s="384">
        <v>26</v>
      </c>
      <c r="B21" s="85">
        <v>129383</v>
      </c>
      <c r="C21" s="85">
        <v>64547</v>
      </c>
      <c r="D21" s="85">
        <v>48865</v>
      </c>
      <c r="E21" s="85">
        <v>10610</v>
      </c>
      <c r="F21" s="85">
        <v>2421</v>
      </c>
      <c r="G21" s="85">
        <v>778</v>
      </c>
      <c r="H21" s="85">
        <v>2162</v>
      </c>
    </row>
    <row r="22" spans="1:8" ht="12" customHeight="1" x14ac:dyDescent="0.25">
      <c r="A22" s="384">
        <v>27</v>
      </c>
      <c r="B22" s="85">
        <v>137009</v>
      </c>
      <c r="C22" s="85">
        <v>60405</v>
      </c>
      <c r="D22" s="85">
        <v>57732</v>
      </c>
      <c r="E22" s="85">
        <v>12687</v>
      </c>
      <c r="F22" s="85">
        <v>2988</v>
      </c>
      <c r="G22" s="85">
        <v>1118</v>
      </c>
      <c r="H22" s="85">
        <v>2079</v>
      </c>
    </row>
    <row r="23" spans="1:8" ht="12" customHeight="1" x14ac:dyDescent="0.25">
      <c r="A23" s="384">
        <v>28</v>
      </c>
      <c r="B23" s="85">
        <v>142108</v>
      </c>
      <c r="C23" s="85">
        <v>54501</v>
      </c>
      <c r="D23" s="85">
        <v>65354</v>
      </c>
      <c r="E23" s="85">
        <v>15239</v>
      </c>
      <c r="F23" s="85">
        <v>3641</v>
      </c>
      <c r="G23" s="85">
        <v>1401</v>
      </c>
      <c r="H23" s="85">
        <v>1972</v>
      </c>
    </row>
    <row r="24" spans="1:8" ht="12" customHeight="1" x14ac:dyDescent="0.25">
      <c r="A24" s="384">
        <v>29</v>
      </c>
      <c r="B24" s="85">
        <v>140981</v>
      </c>
      <c r="C24" s="85">
        <v>47001</v>
      </c>
      <c r="D24" s="85">
        <v>68757</v>
      </c>
      <c r="E24" s="85">
        <v>17461</v>
      </c>
      <c r="F24" s="85">
        <v>4123</v>
      </c>
      <c r="G24" s="85">
        <v>1794</v>
      </c>
      <c r="H24" s="85">
        <v>1845</v>
      </c>
    </row>
    <row r="25" spans="1:8" ht="12" customHeight="1" x14ac:dyDescent="0.25">
      <c r="A25" s="384">
        <v>30</v>
      </c>
      <c r="B25" s="85">
        <v>127223</v>
      </c>
      <c r="C25" s="85">
        <v>37342</v>
      </c>
      <c r="D25" s="85">
        <v>63840</v>
      </c>
      <c r="E25" s="85">
        <v>18101</v>
      </c>
      <c r="F25" s="85">
        <v>4255</v>
      </c>
      <c r="G25" s="85">
        <v>2021</v>
      </c>
      <c r="H25" s="85">
        <v>1664</v>
      </c>
    </row>
    <row r="26" spans="1:8" ht="12" customHeight="1" x14ac:dyDescent="0.25">
      <c r="A26" s="384">
        <v>31</v>
      </c>
      <c r="B26" s="85">
        <v>116613</v>
      </c>
      <c r="C26" s="85">
        <v>29609</v>
      </c>
      <c r="D26" s="85">
        <v>59867</v>
      </c>
      <c r="E26" s="85">
        <v>18981</v>
      </c>
      <c r="F26" s="85">
        <v>4508</v>
      </c>
      <c r="G26" s="85">
        <v>2187</v>
      </c>
      <c r="H26" s="85">
        <v>1461</v>
      </c>
    </row>
    <row r="27" spans="1:8" ht="12" customHeight="1" x14ac:dyDescent="0.25">
      <c r="A27" s="384">
        <v>32</v>
      </c>
      <c r="B27" s="85">
        <v>106775</v>
      </c>
      <c r="C27" s="85">
        <v>23893</v>
      </c>
      <c r="D27" s="85">
        <v>54773</v>
      </c>
      <c r="E27" s="85">
        <v>19655</v>
      </c>
      <c r="F27" s="85">
        <v>4803</v>
      </c>
      <c r="G27" s="85">
        <v>2317</v>
      </c>
      <c r="H27" s="85">
        <v>1334</v>
      </c>
    </row>
    <row r="28" spans="1:8" ht="12" customHeight="1" x14ac:dyDescent="0.25">
      <c r="A28" s="384">
        <v>33</v>
      </c>
      <c r="B28" s="85">
        <v>93822</v>
      </c>
      <c r="C28" s="85">
        <v>18598</v>
      </c>
      <c r="D28" s="85">
        <v>47153</v>
      </c>
      <c r="E28" s="85">
        <v>19439</v>
      </c>
      <c r="F28" s="85">
        <v>4882</v>
      </c>
      <c r="G28" s="85">
        <v>2574</v>
      </c>
      <c r="H28" s="85">
        <v>1176</v>
      </c>
    </row>
    <row r="29" spans="1:8" ht="12" customHeight="1" x14ac:dyDescent="0.25">
      <c r="A29" s="384">
        <v>34</v>
      </c>
      <c r="B29" s="85">
        <v>77825</v>
      </c>
      <c r="C29" s="85">
        <v>13956</v>
      </c>
      <c r="D29" s="85">
        <v>37593</v>
      </c>
      <c r="E29" s="85">
        <v>18133</v>
      </c>
      <c r="F29" s="85">
        <v>4629</v>
      </c>
      <c r="G29" s="85">
        <v>2510</v>
      </c>
      <c r="H29" s="85">
        <v>1004</v>
      </c>
    </row>
    <row r="30" spans="1:8" ht="12" customHeight="1" x14ac:dyDescent="0.25">
      <c r="A30" s="384">
        <v>35</v>
      </c>
      <c r="B30" s="85">
        <v>67161</v>
      </c>
      <c r="C30" s="85">
        <v>11184</v>
      </c>
      <c r="D30" s="85">
        <v>31091</v>
      </c>
      <c r="E30" s="85">
        <v>16812</v>
      </c>
      <c r="F30" s="85">
        <v>4607</v>
      </c>
      <c r="G30" s="85">
        <v>2601</v>
      </c>
      <c r="H30" s="85">
        <v>866</v>
      </c>
    </row>
    <row r="31" spans="1:8" ht="12" customHeight="1" x14ac:dyDescent="0.25">
      <c r="A31" s="384">
        <v>36</v>
      </c>
      <c r="B31" s="85">
        <v>56539</v>
      </c>
      <c r="C31" s="85">
        <v>8885</v>
      </c>
      <c r="D31" s="85">
        <v>24762</v>
      </c>
      <c r="E31" s="85">
        <v>15270</v>
      </c>
      <c r="F31" s="85">
        <v>4407</v>
      </c>
      <c r="G31" s="85">
        <v>2445</v>
      </c>
      <c r="H31" s="85">
        <v>770</v>
      </c>
    </row>
    <row r="32" spans="1:8" ht="12" customHeight="1" x14ac:dyDescent="0.25">
      <c r="A32" s="384">
        <v>37</v>
      </c>
      <c r="B32" s="85">
        <v>45879</v>
      </c>
      <c r="C32" s="85">
        <v>6697</v>
      </c>
      <c r="D32" s="85">
        <v>19213</v>
      </c>
      <c r="E32" s="85">
        <v>12843</v>
      </c>
      <c r="F32" s="85">
        <v>4048</v>
      </c>
      <c r="G32" s="85">
        <v>2450</v>
      </c>
      <c r="H32" s="85">
        <v>628</v>
      </c>
    </row>
    <row r="33" spans="1:8" ht="12" customHeight="1" x14ac:dyDescent="0.25">
      <c r="A33" s="384">
        <v>38</v>
      </c>
      <c r="B33" s="85">
        <v>35605</v>
      </c>
      <c r="C33" s="85">
        <v>5135</v>
      </c>
      <c r="D33" s="85">
        <v>14125</v>
      </c>
      <c r="E33" s="85">
        <v>10372</v>
      </c>
      <c r="F33" s="85">
        <v>3320</v>
      </c>
      <c r="G33" s="85">
        <v>2167</v>
      </c>
      <c r="H33" s="85">
        <v>486</v>
      </c>
    </row>
    <row r="34" spans="1:8" ht="12" customHeight="1" x14ac:dyDescent="0.25">
      <c r="A34" s="384">
        <v>39</v>
      </c>
      <c r="B34" s="85">
        <v>26974</v>
      </c>
      <c r="C34" s="85">
        <v>3701</v>
      </c>
      <c r="D34" s="85">
        <v>10087</v>
      </c>
      <c r="E34" s="85">
        <v>8001</v>
      </c>
      <c r="F34" s="85">
        <v>2885</v>
      </c>
      <c r="G34" s="85">
        <v>1897</v>
      </c>
      <c r="H34" s="85">
        <v>403</v>
      </c>
    </row>
    <row r="35" spans="1:8" ht="12" customHeight="1" x14ac:dyDescent="0.25">
      <c r="A35" s="384">
        <v>40</v>
      </c>
      <c r="B35" s="85">
        <v>19412</v>
      </c>
      <c r="C35" s="85">
        <v>2574</v>
      </c>
      <c r="D35" s="85">
        <v>6843</v>
      </c>
      <c r="E35" s="85">
        <v>5962</v>
      </c>
      <c r="F35" s="85">
        <v>2223</v>
      </c>
      <c r="G35" s="85">
        <v>1521</v>
      </c>
      <c r="H35" s="85">
        <v>289</v>
      </c>
    </row>
    <row r="36" spans="1:8" ht="12" customHeight="1" x14ac:dyDescent="0.25">
      <c r="A36" s="384">
        <v>41</v>
      </c>
      <c r="B36" s="85">
        <v>12588</v>
      </c>
      <c r="C36" s="85">
        <v>1644</v>
      </c>
      <c r="D36" s="85">
        <v>4195</v>
      </c>
      <c r="E36" s="85">
        <v>3809</v>
      </c>
      <c r="F36" s="85">
        <v>1563</v>
      </c>
      <c r="G36" s="85">
        <v>1163</v>
      </c>
      <c r="H36" s="85">
        <v>214</v>
      </c>
    </row>
    <row r="37" spans="1:8" ht="12" customHeight="1" x14ac:dyDescent="0.25">
      <c r="A37" s="384">
        <v>42</v>
      </c>
      <c r="B37" s="85">
        <v>7739</v>
      </c>
      <c r="C37" s="85">
        <v>1022</v>
      </c>
      <c r="D37" s="85">
        <v>2422</v>
      </c>
      <c r="E37" s="85">
        <v>2376</v>
      </c>
      <c r="F37" s="85">
        <v>942</v>
      </c>
      <c r="G37" s="85">
        <v>828</v>
      </c>
      <c r="H37" s="85">
        <v>149</v>
      </c>
    </row>
    <row r="38" spans="1:8" ht="12" customHeight="1" x14ac:dyDescent="0.25">
      <c r="A38" s="384">
        <v>43</v>
      </c>
      <c r="B38" s="85">
        <v>4484</v>
      </c>
      <c r="C38" s="85">
        <v>629</v>
      </c>
      <c r="D38" s="85">
        <v>1330</v>
      </c>
      <c r="E38" s="85">
        <v>1356</v>
      </c>
      <c r="F38" s="85">
        <v>533</v>
      </c>
      <c r="G38" s="85">
        <v>523</v>
      </c>
      <c r="H38" s="85">
        <v>113</v>
      </c>
    </row>
    <row r="39" spans="1:8" ht="12" customHeight="1" x14ac:dyDescent="0.25">
      <c r="A39" s="384">
        <v>44</v>
      </c>
      <c r="B39" s="85">
        <v>2400</v>
      </c>
      <c r="C39" s="85">
        <v>359</v>
      </c>
      <c r="D39" s="85">
        <v>732</v>
      </c>
      <c r="E39" s="85">
        <v>664</v>
      </c>
      <c r="F39" s="85">
        <v>288</v>
      </c>
      <c r="G39" s="85">
        <v>289</v>
      </c>
      <c r="H39" s="85">
        <v>68</v>
      </c>
    </row>
    <row r="40" spans="1:8" ht="12" customHeight="1" x14ac:dyDescent="0.25">
      <c r="A40" s="384">
        <v>45</v>
      </c>
      <c r="B40" s="85">
        <v>1162</v>
      </c>
      <c r="C40" s="85">
        <v>177</v>
      </c>
      <c r="D40" s="85">
        <v>306</v>
      </c>
      <c r="E40" s="85">
        <v>346</v>
      </c>
      <c r="F40" s="85">
        <v>150</v>
      </c>
      <c r="G40" s="85">
        <v>159</v>
      </c>
      <c r="H40" s="85">
        <v>24</v>
      </c>
    </row>
    <row r="41" spans="1:8" ht="12" customHeight="1" x14ac:dyDescent="0.25">
      <c r="A41" s="384">
        <v>46</v>
      </c>
      <c r="B41" s="85">
        <v>558</v>
      </c>
      <c r="C41" s="85">
        <v>125</v>
      </c>
      <c r="D41" s="85">
        <v>138</v>
      </c>
      <c r="E41" s="85">
        <v>132</v>
      </c>
      <c r="F41" s="85">
        <v>77</v>
      </c>
      <c r="G41" s="85">
        <v>63</v>
      </c>
      <c r="H41" s="85">
        <v>23</v>
      </c>
    </row>
    <row r="42" spans="1:8" ht="12" customHeight="1" x14ac:dyDescent="0.25">
      <c r="A42" s="384">
        <v>47</v>
      </c>
      <c r="B42" s="85">
        <v>295</v>
      </c>
      <c r="C42" s="85">
        <v>71</v>
      </c>
      <c r="D42" s="85">
        <v>90</v>
      </c>
      <c r="E42" s="85">
        <v>60</v>
      </c>
      <c r="F42" s="85">
        <v>27</v>
      </c>
      <c r="G42" s="85">
        <v>31</v>
      </c>
      <c r="H42" s="85">
        <v>16</v>
      </c>
    </row>
    <row r="43" spans="1:8" ht="12" customHeight="1" x14ac:dyDescent="0.25">
      <c r="A43" s="384">
        <v>48</v>
      </c>
      <c r="B43" s="85">
        <v>153</v>
      </c>
      <c r="C43" s="85">
        <v>32</v>
      </c>
      <c r="D43" s="85">
        <v>39</v>
      </c>
      <c r="E43" s="85">
        <v>38</v>
      </c>
      <c r="F43" s="85">
        <v>21</v>
      </c>
      <c r="G43" s="85">
        <v>10</v>
      </c>
      <c r="H43" s="85">
        <v>13</v>
      </c>
    </row>
    <row r="44" spans="1:8" ht="12" customHeight="1" x14ac:dyDescent="0.25">
      <c r="A44" s="384">
        <v>49</v>
      </c>
      <c r="B44" s="85">
        <v>97</v>
      </c>
      <c r="C44" s="85">
        <v>17</v>
      </c>
      <c r="D44" s="85">
        <v>33</v>
      </c>
      <c r="E44" s="85">
        <v>25</v>
      </c>
      <c r="F44" s="85">
        <v>12</v>
      </c>
      <c r="G44" s="85">
        <v>3</v>
      </c>
      <c r="H44" s="85">
        <v>7</v>
      </c>
    </row>
    <row r="45" spans="1:8" ht="12" customHeight="1" x14ac:dyDescent="0.25">
      <c r="A45" s="384">
        <v>50</v>
      </c>
      <c r="B45" s="85">
        <v>50</v>
      </c>
      <c r="C45" s="85">
        <v>10</v>
      </c>
      <c r="D45" s="85">
        <v>16</v>
      </c>
      <c r="E45" s="85">
        <v>12</v>
      </c>
      <c r="F45" s="85">
        <v>6</v>
      </c>
      <c r="G45" s="85">
        <v>3</v>
      </c>
      <c r="H45" s="85">
        <v>3</v>
      </c>
    </row>
    <row r="46" spans="1:8" ht="12" customHeight="1" x14ac:dyDescent="0.25">
      <c r="A46" s="384">
        <v>51</v>
      </c>
      <c r="B46" s="85">
        <v>54</v>
      </c>
      <c r="C46" s="85">
        <v>18</v>
      </c>
      <c r="D46" s="85">
        <v>12</v>
      </c>
      <c r="E46" s="85">
        <v>14</v>
      </c>
      <c r="F46" s="85">
        <v>6</v>
      </c>
      <c r="G46" s="85">
        <v>3</v>
      </c>
      <c r="H46" s="85">
        <v>1</v>
      </c>
    </row>
    <row r="47" spans="1:8" ht="12" customHeight="1" x14ac:dyDescent="0.25">
      <c r="A47" s="384">
        <v>52</v>
      </c>
      <c r="B47" s="85">
        <v>34</v>
      </c>
      <c r="C47" s="85">
        <v>11</v>
      </c>
      <c r="D47" s="85">
        <v>10</v>
      </c>
      <c r="E47" s="85">
        <v>8</v>
      </c>
      <c r="F47" s="85">
        <v>2</v>
      </c>
      <c r="G47" s="85">
        <v>0</v>
      </c>
      <c r="H47" s="85">
        <v>3</v>
      </c>
    </row>
    <row r="48" spans="1:8" ht="12" customHeight="1" x14ac:dyDescent="0.25">
      <c r="A48" s="384">
        <v>53</v>
      </c>
      <c r="B48" s="85">
        <v>27</v>
      </c>
      <c r="C48" s="85">
        <v>5</v>
      </c>
      <c r="D48" s="85">
        <v>8</v>
      </c>
      <c r="E48" s="85">
        <v>8</v>
      </c>
      <c r="F48" s="85">
        <v>4</v>
      </c>
      <c r="G48" s="85">
        <v>1</v>
      </c>
      <c r="H48" s="85">
        <v>1</v>
      </c>
    </row>
    <row r="49" spans="1:8" ht="12" customHeight="1" x14ac:dyDescent="0.25">
      <c r="A49" s="384">
        <v>54</v>
      </c>
      <c r="B49" s="85">
        <v>13</v>
      </c>
      <c r="C49" s="85">
        <v>2</v>
      </c>
      <c r="D49" s="85">
        <v>3</v>
      </c>
      <c r="E49" s="85">
        <v>5</v>
      </c>
      <c r="F49" s="85">
        <v>1</v>
      </c>
      <c r="G49" s="85">
        <v>2</v>
      </c>
      <c r="H49" s="85">
        <v>0</v>
      </c>
    </row>
    <row r="50" spans="1:8" ht="12" customHeight="1" x14ac:dyDescent="0.25">
      <c r="A50" s="384">
        <v>55</v>
      </c>
      <c r="B50" s="85">
        <v>14</v>
      </c>
      <c r="C50" s="85">
        <v>0</v>
      </c>
      <c r="D50" s="85">
        <v>6</v>
      </c>
      <c r="E50" s="85">
        <v>5</v>
      </c>
      <c r="F50" s="85">
        <v>2</v>
      </c>
      <c r="G50" s="85">
        <v>0</v>
      </c>
      <c r="H50" s="85">
        <v>1</v>
      </c>
    </row>
    <row r="51" spans="1:8" ht="12" customHeight="1" x14ac:dyDescent="0.25">
      <c r="A51" s="384">
        <v>56</v>
      </c>
      <c r="B51" s="85">
        <v>3</v>
      </c>
      <c r="C51" s="85">
        <v>0</v>
      </c>
      <c r="D51" s="85">
        <v>0</v>
      </c>
      <c r="E51" s="85">
        <v>2</v>
      </c>
      <c r="F51" s="85">
        <v>0</v>
      </c>
      <c r="G51" s="85">
        <v>0</v>
      </c>
      <c r="H51" s="85">
        <v>1</v>
      </c>
    </row>
    <row r="52" spans="1:8" ht="12" customHeight="1" x14ac:dyDescent="0.25">
      <c r="A52" s="384">
        <v>57</v>
      </c>
      <c r="B52" s="85">
        <v>8</v>
      </c>
      <c r="C52" s="85">
        <v>2</v>
      </c>
      <c r="D52" s="85">
        <v>3</v>
      </c>
      <c r="E52" s="85">
        <v>2</v>
      </c>
      <c r="F52" s="85">
        <v>1</v>
      </c>
      <c r="G52" s="85">
        <v>0</v>
      </c>
      <c r="H52" s="85">
        <v>0</v>
      </c>
    </row>
    <row r="53" spans="1:8" ht="12" customHeight="1" x14ac:dyDescent="0.25">
      <c r="A53" s="384">
        <v>58</v>
      </c>
      <c r="B53" s="85">
        <v>4</v>
      </c>
      <c r="C53" s="85">
        <v>0</v>
      </c>
      <c r="D53" s="85">
        <v>2</v>
      </c>
      <c r="E53" s="85">
        <v>0</v>
      </c>
      <c r="F53" s="85">
        <v>0</v>
      </c>
      <c r="G53" s="85">
        <v>0</v>
      </c>
      <c r="H53" s="85">
        <v>2</v>
      </c>
    </row>
    <row r="54" spans="1:8" ht="12" customHeight="1" x14ac:dyDescent="0.25">
      <c r="A54" s="384">
        <v>59</v>
      </c>
      <c r="B54" s="85">
        <v>4</v>
      </c>
      <c r="C54" s="85">
        <v>1</v>
      </c>
      <c r="D54" s="85">
        <v>1</v>
      </c>
      <c r="E54" s="85">
        <v>1</v>
      </c>
      <c r="F54" s="85">
        <v>1</v>
      </c>
      <c r="G54" s="85">
        <v>0</v>
      </c>
      <c r="H54" s="85">
        <v>0</v>
      </c>
    </row>
    <row r="55" spans="1:8" ht="12" customHeight="1" x14ac:dyDescent="0.25">
      <c r="A55" s="385" t="s">
        <v>247</v>
      </c>
      <c r="B55" s="85">
        <v>1</v>
      </c>
      <c r="C55" s="85">
        <v>1</v>
      </c>
      <c r="D55" s="85">
        <v>0</v>
      </c>
      <c r="E55" s="85">
        <v>0</v>
      </c>
      <c r="F55" s="85">
        <v>0</v>
      </c>
      <c r="G55" s="85">
        <v>0</v>
      </c>
      <c r="H55" s="85">
        <v>0</v>
      </c>
    </row>
    <row r="56" spans="1:8" ht="12" customHeight="1" x14ac:dyDescent="0.25">
      <c r="A56" s="385" t="s">
        <v>248</v>
      </c>
      <c r="B56" s="464">
        <v>913</v>
      </c>
      <c r="C56" s="465">
        <v>132</v>
      </c>
      <c r="D56" s="465">
        <v>115</v>
      </c>
      <c r="E56" s="465">
        <v>100</v>
      </c>
      <c r="F56" s="465">
        <v>55</v>
      </c>
      <c r="G56" s="465">
        <v>29</v>
      </c>
      <c r="H56" s="465">
        <v>482</v>
      </c>
    </row>
    <row r="57" spans="1:8" ht="12" customHeight="1" x14ac:dyDescent="0.25">
      <c r="A57" s="386" t="s">
        <v>249</v>
      </c>
      <c r="B57" s="466">
        <v>1888729</v>
      </c>
      <c r="C57" s="467">
        <v>735732</v>
      </c>
      <c r="D57" s="467">
        <v>762701</v>
      </c>
      <c r="E57" s="467">
        <v>255628</v>
      </c>
      <c r="F57" s="467">
        <v>66333</v>
      </c>
      <c r="G57" s="467">
        <v>33999</v>
      </c>
      <c r="H57" s="467">
        <v>34336</v>
      </c>
    </row>
  </sheetData>
  <mergeCells count="5">
    <mergeCell ref="A1:H1"/>
    <mergeCell ref="A2:H2"/>
    <mergeCell ref="A4:A5"/>
    <mergeCell ref="B4:B5"/>
    <mergeCell ref="C4:H4"/>
  </mergeCells>
  <phoneticPr fontId="49" type="noConversion"/>
  <printOptions horizontalCentered="1"/>
  <pageMargins left="0.55118110236220474" right="0.31496062992125984" top="0.59055118110236227" bottom="0.11811023622047245" header="0.31496062992125984" footer="0"/>
  <pageSetup paperSize="9" scale="80" firstPageNumber="18" fitToWidth="0" fitToHeight="0" orientation="landscape" useFirstPageNumber="1" r:id="rId1"/>
  <headerFooter>
    <oddHeader>&amp;C&amp;"Arial,обычный"&amp;10&amp;P</oddHeader>
  </headerFooter>
  <rowBreaks count="1" manualBreakCount="1">
    <brk id="57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E17"/>
  <sheetViews>
    <sheetView zoomScaleNormal="100" workbookViewId="0">
      <selection activeCell="P11" sqref="P11"/>
    </sheetView>
  </sheetViews>
  <sheetFormatPr defaultRowHeight="15" x14ac:dyDescent="0.25"/>
  <cols>
    <col min="1" max="1" width="34.28515625" customWidth="1"/>
    <col min="3" max="5" width="7.28515625" customWidth="1"/>
    <col min="6" max="6" width="8.85546875" customWidth="1"/>
    <col min="7" max="7" width="7.5703125" customWidth="1"/>
    <col min="8" max="8" width="7.42578125" customWidth="1"/>
    <col min="9" max="9" width="8.42578125" customWidth="1"/>
    <col min="10" max="10" width="7.140625" customWidth="1"/>
    <col min="11" max="14" width="6.42578125" customWidth="1"/>
  </cols>
  <sheetData>
    <row r="1" spans="1:31" ht="15" customHeight="1" x14ac:dyDescent="0.25">
      <c r="A1" s="506" t="s">
        <v>251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</row>
    <row r="2" spans="1:31" x14ac:dyDescent="0.25">
      <c r="A2" s="510"/>
      <c r="B2" s="510"/>
      <c r="C2" s="510"/>
      <c r="D2" s="510"/>
      <c r="E2" s="510"/>
      <c r="F2" s="510"/>
      <c r="G2" s="510"/>
      <c r="H2" s="510"/>
      <c r="I2" s="510"/>
      <c r="J2" s="510"/>
      <c r="K2" s="510"/>
      <c r="L2" s="510"/>
      <c r="M2" s="510"/>
      <c r="N2" s="510"/>
    </row>
    <row r="3" spans="1:31" ht="15" customHeight="1" x14ac:dyDescent="0.25">
      <c r="A3" s="507" t="s">
        <v>124</v>
      </c>
      <c r="B3" s="508" t="s">
        <v>127</v>
      </c>
      <c r="C3" s="509" t="s">
        <v>126</v>
      </c>
      <c r="D3" s="509"/>
      <c r="E3" s="509"/>
      <c r="F3" s="509"/>
      <c r="G3" s="509"/>
      <c r="H3" s="509"/>
      <c r="I3" s="509"/>
      <c r="J3" s="509"/>
      <c r="K3" s="509"/>
      <c r="L3" s="509"/>
      <c r="M3" s="509"/>
      <c r="N3" s="509"/>
      <c r="O3" s="37"/>
    </row>
    <row r="4" spans="1:31" ht="30" customHeight="1" x14ac:dyDescent="0.25">
      <c r="A4" s="507"/>
      <c r="B4" s="508"/>
      <c r="C4" s="236" t="s">
        <v>112</v>
      </c>
      <c r="D4" s="237" t="s">
        <v>113</v>
      </c>
      <c r="E4" s="237" t="s">
        <v>114</v>
      </c>
      <c r="F4" s="237" t="s">
        <v>115</v>
      </c>
      <c r="G4" s="237" t="s">
        <v>116</v>
      </c>
      <c r="H4" s="237" t="s">
        <v>117</v>
      </c>
      <c r="I4" s="237" t="s">
        <v>118</v>
      </c>
      <c r="J4" s="237" t="s">
        <v>119</v>
      </c>
      <c r="K4" s="237" t="s">
        <v>120</v>
      </c>
      <c r="L4" s="237" t="s">
        <v>121</v>
      </c>
      <c r="M4" s="236" t="s">
        <v>122</v>
      </c>
      <c r="N4" s="236" t="s">
        <v>123</v>
      </c>
      <c r="O4" s="37"/>
    </row>
    <row r="5" spans="1:31" x14ac:dyDescent="0.25">
      <c r="A5" s="227" t="s">
        <v>127</v>
      </c>
      <c r="B5" s="50">
        <v>1888729</v>
      </c>
      <c r="C5" s="38">
        <v>296</v>
      </c>
      <c r="D5" s="38">
        <v>15247</v>
      </c>
      <c r="E5" s="38">
        <v>55109</v>
      </c>
      <c r="F5" s="50">
        <v>347203</v>
      </c>
      <c r="G5" s="50">
        <v>666445</v>
      </c>
      <c r="H5" s="50">
        <v>522258</v>
      </c>
      <c r="I5" s="50">
        <v>232158</v>
      </c>
      <c r="J5" s="38">
        <v>46623</v>
      </c>
      <c r="K5" s="38">
        <v>2265</v>
      </c>
      <c r="L5" s="38">
        <v>178</v>
      </c>
      <c r="M5" s="38">
        <v>34</v>
      </c>
      <c r="N5" s="50">
        <v>913</v>
      </c>
      <c r="O5" s="177"/>
    </row>
    <row r="6" spans="1:31" x14ac:dyDescent="0.25">
      <c r="A6" s="251" t="s">
        <v>362</v>
      </c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</row>
    <row r="7" spans="1:31" x14ac:dyDescent="0.25">
      <c r="A7" s="252" t="s">
        <v>128</v>
      </c>
      <c r="B7" s="51">
        <v>866449</v>
      </c>
      <c r="C7" s="42">
        <v>0</v>
      </c>
      <c r="D7" s="42">
        <v>0</v>
      </c>
      <c r="E7" s="42">
        <v>31</v>
      </c>
      <c r="F7" s="51">
        <v>74033</v>
      </c>
      <c r="G7" s="51">
        <v>352382</v>
      </c>
      <c r="H7" s="51">
        <v>296533</v>
      </c>
      <c r="I7" s="51">
        <v>120528</v>
      </c>
      <c r="J7" s="42">
        <v>21710</v>
      </c>
      <c r="K7" s="42">
        <v>1109</v>
      </c>
      <c r="L7" s="42">
        <v>96</v>
      </c>
      <c r="M7" s="42">
        <v>18</v>
      </c>
      <c r="N7" s="51">
        <v>9</v>
      </c>
    </row>
    <row r="8" spans="1:31" x14ac:dyDescent="0.25">
      <c r="A8" s="252" t="s">
        <v>129</v>
      </c>
      <c r="B8" s="51">
        <v>69318</v>
      </c>
      <c r="C8" s="42">
        <v>0</v>
      </c>
      <c r="D8" s="42">
        <v>0</v>
      </c>
      <c r="E8" s="42">
        <v>395</v>
      </c>
      <c r="F8" s="51">
        <v>31674</v>
      </c>
      <c r="G8" s="51">
        <v>21188</v>
      </c>
      <c r="H8" s="51">
        <v>11489</v>
      </c>
      <c r="I8" s="51">
        <v>3903</v>
      </c>
      <c r="J8" s="42">
        <v>636</v>
      </c>
      <c r="K8" s="42">
        <v>31</v>
      </c>
      <c r="L8" s="42">
        <v>1</v>
      </c>
      <c r="M8" s="42">
        <v>0</v>
      </c>
      <c r="N8" s="51">
        <v>1</v>
      </c>
    </row>
    <row r="9" spans="1:31" x14ac:dyDescent="0.25">
      <c r="A9" s="252" t="s">
        <v>130</v>
      </c>
      <c r="B9" s="51">
        <v>460466</v>
      </c>
      <c r="C9" s="42">
        <v>0</v>
      </c>
      <c r="D9" s="42">
        <v>1</v>
      </c>
      <c r="E9" s="42">
        <v>13606</v>
      </c>
      <c r="F9" s="51">
        <v>111676</v>
      </c>
      <c r="G9" s="51">
        <v>150307</v>
      </c>
      <c r="H9" s="51">
        <v>112735</v>
      </c>
      <c r="I9" s="51">
        <v>58241</v>
      </c>
      <c r="J9" s="42">
        <v>13265</v>
      </c>
      <c r="K9" s="42">
        <v>558</v>
      </c>
      <c r="L9" s="42">
        <v>28</v>
      </c>
      <c r="M9" s="42">
        <v>8</v>
      </c>
      <c r="N9" s="51">
        <v>41</v>
      </c>
    </row>
    <row r="10" spans="1:31" x14ac:dyDescent="0.25">
      <c r="A10" s="252" t="s">
        <v>131</v>
      </c>
      <c r="B10" s="51">
        <v>13429</v>
      </c>
      <c r="C10" s="42">
        <v>15</v>
      </c>
      <c r="D10" s="42">
        <v>693</v>
      </c>
      <c r="E10" s="42">
        <v>1657</v>
      </c>
      <c r="F10" s="51">
        <v>3108</v>
      </c>
      <c r="G10" s="51">
        <v>3743</v>
      </c>
      <c r="H10" s="51">
        <v>2629</v>
      </c>
      <c r="I10" s="51">
        <v>1276</v>
      </c>
      <c r="J10" s="42">
        <v>293</v>
      </c>
      <c r="K10" s="42">
        <v>13</v>
      </c>
      <c r="L10" s="42">
        <v>0</v>
      </c>
      <c r="M10" s="42">
        <v>0</v>
      </c>
      <c r="N10" s="51">
        <v>2</v>
      </c>
    </row>
    <row r="11" spans="1:31" x14ac:dyDescent="0.25">
      <c r="A11" s="252" t="s">
        <v>132</v>
      </c>
      <c r="B11" s="51">
        <v>225431</v>
      </c>
      <c r="C11" s="42">
        <v>4</v>
      </c>
      <c r="D11" s="42">
        <v>3816</v>
      </c>
      <c r="E11" s="42">
        <v>18385</v>
      </c>
      <c r="F11" s="51">
        <v>60028</v>
      </c>
      <c r="G11" s="51">
        <v>65084</v>
      </c>
      <c r="H11" s="51">
        <v>48098</v>
      </c>
      <c r="I11" s="51">
        <v>24303</v>
      </c>
      <c r="J11" s="42">
        <v>5433</v>
      </c>
      <c r="K11" s="42">
        <v>205</v>
      </c>
      <c r="L11" s="42">
        <v>10</v>
      </c>
      <c r="M11" s="42">
        <v>4</v>
      </c>
      <c r="N11" s="51">
        <v>61</v>
      </c>
    </row>
    <row r="12" spans="1:31" x14ac:dyDescent="0.25">
      <c r="A12" s="252" t="s">
        <v>133</v>
      </c>
      <c r="B12" s="51">
        <v>83570</v>
      </c>
      <c r="C12" s="42">
        <v>61</v>
      </c>
      <c r="D12" s="42">
        <v>7730</v>
      </c>
      <c r="E12" s="42">
        <v>11627</v>
      </c>
      <c r="F12" s="51">
        <v>21677</v>
      </c>
      <c r="G12" s="51">
        <v>19211</v>
      </c>
      <c r="H12" s="51">
        <v>14044</v>
      </c>
      <c r="I12" s="51">
        <v>7627</v>
      </c>
      <c r="J12" s="42">
        <v>1498</v>
      </c>
      <c r="K12" s="42">
        <v>43</v>
      </c>
      <c r="L12" s="42">
        <v>5</v>
      </c>
      <c r="M12" s="42">
        <v>0</v>
      </c>
      <c r="N12" s="51">
        <v>47</v>
      </c>
    </row>
    <row r="13" spans="1:31" x14ac:dyDescent="0.25">
      <c r="A13" s="253" t="s">
        <v>134</v>
      </c>
      <c r="B13" s="51">
        <v>10006</v>
      </c>
      <c r="C13" s="42">
        <v>157</v>
      </c>
      <c r="D13" s="42">
        <v>998</v>
      </c>
      <c r="E13" s="42">
        <v>884</v>
      </c>
      <c r="F13" s="51">
        <v>2209</v>
      </c>
      <c r="G13" s="51">
        <v>2514</v>
      </c>
      <c r="H13" s="51">
        <v>1932</v>
      </c>
      <c r="I13" s="51">
        <v>981</v>
      </c>
      <c r="J13" s="42">
        <v>226</v>
      </c>
      <c r="K13" s="42">
        <v>36</v>
      </c>
      <c r="L13" s="42">
        <v>9</v>
      </c>
      <c r="M13" s="42">
        <v>0</v>
      </c>
      <c r="N13" s="51">
        <v>60</v>
      </c>
    </row>
    <row r="14" spans="1:31" x14ac:dyDescent="0.25">
      <c r="A14" s="252" t="s">
        <v>135</v>
      </c>
      <c r="B14" s="51">
        <v>4476</v>
      </c>
      <c r="C14" s="42">
        <v>33</v>
      </c>
      <c r="D14" s="42">
        <v>332</v>
      </c>
      <c r="E14" s="42">
        <v>399</v>
      </c>
      <c r="F14" s="51">
        <v>1229</v>
      </c>
      <c r="G14" s="51">
        <v>1259</v>
      </c>
      <c r="H14" s="51">
        <v>782</v>
      </c>
      <c r="I14" s="51">
        <v>299</v>
      </c>
      <c r="J14" s="42">
        <v>111</v>
      </c>
      <c r="K14" s="42">
        <v>27</v>
      </c>
      <c r="L14" s="42">
        <v>1</v>
      </c>
      <c r="M14" s="42">
        <v>0</v>
      </c>
      <c r="N14" s="51">
        <v>4</v>
      </c>
    </row>
    <row r="15" spans="1:31" x14ac:dyDescent="0.25">
      <c r="A15" s="327" t="s">
        <v>136</v>
      </c>
      <c r="B15" s="468">
        <v>155584</v>
      </c>
      <c r="C15" s="323">
        <v>26</v>
      </c>
      <c r="D15" s="323">
        <v>1677</v>
      </c>
      <c r="E15" s="323">
        <v>8125</v>
      </c>
      <c r="F15" s="328">
        <v>41569</v>
      </c>
      <c r="G15" s="328">
        <v>50757</v>
      </c>
      <c r="H15" s="328">
        <v>34016</v>
      </c>
      <c r="I15" s="328">
        <v>15000</v>
      </c>
      <c r="J15" s="323">
        <v>3451</v>
      </c>
      <c r="K15" s="323">
        <v>243</v>
      </c>
      <c r="L15" s="323">
        <v>28</v>
      </c>
      <c r="M15" s="323">
        <v>4</v>
      </c>
      <c r="N15" s="328">
        <v>688</v>
      </c>
    </row>
    <row r="16" spans="1:31" s="37" customFormat="1" x14ac:dyDescent="0.25">
      <c r="A16" s="255"/>
      <c r="B16" s="256"/>
      <c r="C16" s="256"/>
      <c r="D16" s="256"/>
      <c r="E16" s="256"/>
      <c r="F16" s="52"/>
      <c r="G16" s="52"/>
      <c r="H16" s="52"/>
      <c r="I16" s="52"/>
      <c r="J16" s="52"/>
      <c r="K16" s="52"/>
      <c r="L16" s="3"/>
      <c r="M16" s="3"/>
      <c r="N16" s="3"/>
    </row>
    <row r="17" spans="1:1" s="37" customFormat="1" x14ac:dyDescent="0.25">
      <c r="A17" s="53"/>
    </row>
  </sheetData>
  <mergeCells count="5">
    <mergeCell ref="A1:N1"/>
    <mergeCell ref="A3:A4"/>
    <mergeCell ref="B3:B4"/>
    <mergeCell ref="C3:N3"/>
    <mergeCell ref="A2:N2"/>
  </mergeCells>
  <phoneticPr fontId="49" type="noConversion"/>
  <printOptions horizontalCentered="1"/>
  <pageMargins left="0.70866141732283472" right="0.70866141732283472" top="0.70866141732283472" bottom="0.74803149606299213" header="0.31496062992125984" footer="0.31496062992125984"/>
  <pageSetup paperSize="9" firstPageNumber="19" orientation="landscape" useFirstPageNumber="1" r:id="rId1"/>
  <headerFooter>
    <oddHeader>&amp;C&amp;"Arial,обычный"&amp;10&amp;P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H101"/>
  <sheetViews>
    <sheetView zoomScaleNormal="100" zoomScaleSheetLayoutView="100" workbookViewId="0">
      <selection activeCell="G10" sqref="G10"/>
    </sheetView>
  </sheetViews>
  <sheetFormatPr defaultColWidth="10.28515625" defaultRowHeight="14.25" x14ac:dyDescent="0.2"/>
  <cols>
    <col min="1" max="1" width="47.7109375" style="54" customWidth="1"/>
    <col min="2" max="6" width="16" style="54" customWidth="1"/>
    <col min="7" max="7" width="12.5703125" style="55" customWidth="1"/>
    <col min="8" max="8" width="13.85546875" style="55" customWidth="1"/>
    <col min="9" max="16384" width="10.28515625" style="55"/>
  </cols>
  <sheetData>
    <row r="1" spans="1:8" s="56" customFormat="1" ht="15" x14ac:dyDescent="0.25">
      <c r="A1" s="506" t="s">
        <v>285</v>
      </c>
      <c r="B1" s="483"/>
      <c r="C1" s="483"/>
      <c r="D1" s="483"/>
      <c r="E1" s="483"/>
      <c r="F1" s="483"/>
    </row>
    <row r="2" spans="1:8" s="56" customFormat="1" ht="12.75" customHeight="1" x14ac:dyDescent="0.25">
      <c r="A2" s="511"/>
      <c r="B2" s="511"/>
      <c r="C2" s="511"/>
      <c r="D2" s="511"/>
      <c r="E2" s="511"/>
      <c r="F2" s="511"/>
    </row>
    <row r="3" spans="1:8" x14ac:dyDescent="0.2">
      <c r="A3" s="512"/>
      <c r="B3" s="513" t="s">
        <v>137</v>
      </c>
      <c r="C3" s="514"/>
      <c r="D3" s="515"/>
      <c r="E3" s="519" t="s">
        <v>224</v>
      </c>
      <c r="F3" s="520"/>
    </row>
    <row r="4" spans="1:8" x14ac:dyDescent="0.2">
      <c r="A4" s="512"/>
      <c r="B4" s="516"/>
      <c r="C4" s="517"/>
      <c r="D4" s="518"/>
      <c r="E4" s="521"/>
      <c r="F4" s="522"/>
    </row>
    <row r="5" spans="1:8" ht="38.25" x14ac:dyDescent="0.2">
      <c r="A5" s="512"/>
      <c r="B5" s="294" t="s">
        <v>234</v>
      </c>
      <c r="C5" s="295" t="s">
        <v>230</v>
      </c>
      <c r="D5" s="296" t="s">
        <v>296</v>
      </c>
      <c r="E5" s="297" t="s">
        <v>234</v>
      </c>
      <c r="F5" s="295" t="s">
        <v>230</v>
      </c>
    </row>
    <row r="6" spans="1:8" s="56" customFormat="1" ht="15" x14ac:dyDescent="0.25">
      <c r="A6" s="469" t="s">
        <v>180</v>
      </c>
      <c r="B6" s="470">
        <v>1888729</v>
      </c>
      <c r="C6" s="470">
        <v>1908541</v>
      </c>
      <c r="D6" s="471">
        <v>100</v>
      </c>
      <c r="E6" s="473">
        <v>1289.259</v>
      </c>
      <c r="F6" s="472">
        <v>1303.5999999999999</v>
      </c>
    </row>
    <row r="7" spans="1:8" x14ac:dyDescent="0.2">
      <c r="A7" s="269" t="s">
        <v>253</v>
      </c>
      <c r="B7" s="57">
        <v>904055</v>
      </c>
      <c r="C7" s="57">
        <v>930102</v>
      </c>
      <c r="D7" s="57">
        <v>47.8</v>
      </c>
      <c r="E7" s="198">
        <v>616.4</v>
      </c>
      <c r="F7" s="58">
        <v>635.29999999999995</v>
      </c>
      <c r="G7" s="172"/>
      <c r="H7" s="172"/>
    </row>
    <row r="8" spans="1:8" x14ac:dyDescent="0.2">
      <c r="A8" s="270" t="s">
        <v>138</v>
      </c>
      <c r="D8" s="57"/>
      <c r="E8" s="198"/>
      <c r="F8" s="58"/>
      <c r="G8" s="172"/>
    </row>
    <row r="9" spans="1:8" x14ac:dyDescent="0.2">
      <c r="A9" s="270" t="s">
        <v>139</v>
      </c>
      <c r="B9" s="57">
        <v>481780</v>
      </c>
      <c r="C9" s="57">
        <v>494638</v>
      </c>
      <c r="D9" s="57">
        <v>25.5</v>
      </c>
      <c r="E9" s="198">
        <v>328.5</v>
      </c>
      <c r="F9" s="58">
        <v>337.9</v>
      </c>
    </row>
    <row r="10" spans="1:8" x14ac:dyDescent="0.2">
      <c r="A10" s="270" t="s">
        <v>140</v>
      </c>
      <c r="B10" s="57">
        <v>279818</v>
      </c>
      <c r="C10" s="57">
        <v>290300</v>
      </c>
      <c r="D10" s="57">
        <v>14.8</v>
      </c>
      <c r="E10" s="198">
        <v>190.8</v>
      </c>
      <c r="F10" s="58">
        <v>198.3</v>
      </c>
    </row>
    <row r="11" spans="1:8" x14ac:dyDescent="0.2">
      <c r="A11" s="271" t="s">
        <v>254</v>
      </c>
      <c r="B11" s="57">
        <v>299652</v>
      </c>
      <c r="C11" s="57">
        <v>300232</v>
      </c>
      <c r="D11" s="57">
        <v>15.8</v>
      </c>
      <c r="E11" s="198">
        <v>204.3</v>
      </c>
      <c r="F11" s="58">
        <v>205.1</v>
      </c>
    </row>
    <row r="12" spans="1:8" x14ac:dyDescent="0.2">
      <c r="A12" s="272" t="s">
        <v>269</v>
      </c>
      <c r="B12" s="57">
        <v>295729</v>
      </c>
      <c r="C12" s="57">
        <v>296476</v>
      </c>
      <c r="D12" s="57">
        <v>15.6</v>
      </c>
      <c r="E12" s="198">
        <v>201.6</v>
      </c>
      <c r="F12" s="58">
        <v>202.5</v>
      </c>
    </row>
    <row r="13" spans="1:8" x14ac:dyDescent="0.2">
      <c r="A13" s="269" t="s">
        <v>255</v>
      </c>
      <c r="B13" s="57">
        <v>167543</v>
      </c>
      <c r="C13" s="57">
        <v>177590</v>
      </c>
      <c r="D13" s="57">
        <v>8.9</v>
      </c>
      <c r="E13" s="198">
        <v>114.2</v>
      </c>
      <c r="F13" s="58">
        <v>121.3</v>
      </c>
    </row>
    <row r="14" spans="1:8" x14ac:dyDescent="0.2">
      <c r="A14" s="270" t="s">
        <v>270</v>
      </c>
      <c r="D14" s="57"/>
      <c r="E14" s="198"/>
      <c r="F14" s="58"/>
    </row>
    <row r="15" spans="1:8" x14ac:dyDescent="0.2">
      <c r="A15" s="270" t="s">
        <v>271</v>
      </c>
      <c r="B15" s="57">
        <v>14021</v>
      </c>
      <c r="C15" s="57">
        <v>15242</v>
      </c>
      <c r="D15" s="57">
        <v>0.7</v>
      </c>
      <c r="E15" s="198">
        <v>9.6</v>
      </c>
      <c r="F15" s="58">
        <v>10.4</v>
      </c>
    </row>
    <row r="16" spans="1:8" x14ac:dyDescent="0.2">
      <c r="A16" s="272" t="s">
        <v>272</v>
      </c>
      <c r="B16" s="57">
        <v>23119</v>
      </c>
      <c r="C16" s="57">
        <v>25476</v>
      </c>
      <c r="D16" s="57">
        <v>1.2</v>
      </c>
      <c r="E16" s="198">
        <v>15.8</v>
      </c>
      <c r="F16" s="58">
        <v>17.399999999999999</v>
      </c>
    </row>
    <row r="17" spans="1:6" x14ac:dyDescent="0.2">
      <c r="A17" s="272" t="s">
        <v>273</v>
      </c>
      <c r="B17" s="57">
        <v>10569</v>
      </c>
      <c r="C17" s="57">
        <v>11984</v>
      </c>
      <c r="D17" s="57">
        <v>0.6</v>
      </c>
      <c r="E17" s="198">
        <v>7.2</v>
      </c>
      <c r="F17" s="58">
        <v>8.1999999999999993</v>
      </c>
    </row>
    <row r="18" spans="1:6" x14ac:dyDescent="0.2">
      <c r="A18" s="270" t="s">
        <v>274</v>
      </c>
      <c r="B18" s="57">
        <v>21610</v>
      </c>
      <c r="C18" s="57">
        <v>24821</v>
      </c>
      <c r="D18" s="57">
        <v>1.1000000000000001</v>
      </c>
      <c r="E18" s="198">
        <v>14.7</v>
      </c>
      <c r="F18" s="58">
        <v>17</v>
      </c>
    </row>
    <row r="19" spans="1:6" x14ac:dyDescent="0.2">
      <c r="A19" s="270" t="s">
        <v>282</v>
      </c>
      <c r="B19" s="57">
        <v>15854</v>
      </c>
      <c r="C19" s="57">
        <v>17919</v>
      </c>
      <c r="D19" s="57">
        <v>0.8</v>
      </c>
      <c r="E19" s="198">
        <v>10.8</v>
      </c>
      <c r="F19" s="58">
        <v>12.2</v>
      </c>
    </row>
    <row r="20" spans="1:6" x14ac:dyDescent="0.2">
      <c r="A20" s="269" t="s">
        <v>256</v>
      </c>
      <c r="B20" s="57">
        <v>70332</v>
      </c>
      <c r="C20" s="57">
        <v>75813</v>
      </c>
      <c r="D20" s="57">
        <v>3.7</v>
      </c>
      <c r="E20" s="198">
        <v>48</v>
      </c>
      <c r="F20" s="58">
        <v>51.8</v>
      </c>
    </row>
    <row r="21" spans="1:6" x14ac:dyDescent="0.2">
      <c r="A21" s="269" t="s">
        <v>257</v>
      </c>
      <c r="B21" s="57">
        <v>98215</v>
      </c>
      <c r="C21" s="57">
        <v>101956</v>
      </c>
      <c r="D21" s="57">
        <v>5.2</v>
      </c>
      <c r="E21" s="198">
        <v>67</v>
      </c>
      <c r="F21" s="58">
        <v>69.599999999999994</v>
      </c>
    </row>
    <row r="22" spans="1:6" x14ac:dyDescent="0.2">
      <c r="A22" s="270" t="s">
        <v>275</v>
      </c>
      <c r="B22" s="57">
        <v>10354</v>
      </c>
      <c r="C22" s="57">
        <v>10854</v>
      </c>
      <c r="D22" s="57">
        <v>0.5</v>
      </c>
      <c r="E22" s="198">
        <v>7.1</v>
      </c>
      <c r="F22" s="58">
        <v>7.4</v>
      </c>
    </row>
    <row r="23" spans="1:6" ht="25.5" x14ac:dyDescent="0.2">
      <c r="A23" s="269" t="s">
        <v>252</v>
      </c>
      <c r="B23" s="57">
        <v>35335</v>
      </c>
      <c r="C23" s="57">
        <v>34372</v>
      </c>
      <c r="D23" s="57">
        <v>1.9</v>
      </c>
      <c r="E23" s="198">
        <v>24.1</v>
      </c>
      <c r="F23" s="58">
        <v>23.5</v>
      </c>
    </row>
    <row r="24" spans="1:6" x14ac:dyDescent="0.2">
      <c r="A24" s="270" t="s">
        <v>138</v>
      </c>
      <c r="D24" s="57"/>
      <c r="E24" s="198"/>
      <c r="F24" s="58"/>
    </row>
    <row r="25" spans="1:6" x14ac:dyDescent="0.2">
      <c r="A25" s="270" t="s">
        <v>276</v>
      </c>
      <c r="B25" s="57">
        <v>298</v>
      </c>
      <c r="C25" s="57">
        <v>335</v>
      </c>
      <c r="D25" s="57">
        <v>0.02</v>
      </c>
      <c r="E25" s="198">
        <v>0.2</v>
      </c>
      <c r="F25" s="58">
        <v>0.23899999999999999</v>
      </c>
    </row>
    <row r="26" spans="1:6" x14ac:dyDescent="0.2">
      <c r="A26" s="272" t="s">
        <v>277</v>
      </c>
      <c r="B26" s="57">
        <v>11373</v>
      </c>
      <c r="C26" s="57">
        <v>13484</v>
      </c>
      <c r="D26" s="57">
        <v>0.6</v>
      </c>
      <c r="E26" s="198">
        <v>7.8</v>
      </c>
      <c r="F26" s="58">
        <v>9.1999999999999993</v>
      </c>
    </row>
    <row r="27" spans="1:6" x14ac:dyDescent="0.2">
      <c r="A27" s="269" t="s">
        <v>267</v>
      </c>
      <c r="B27" s="57">
        <v>17928</v>
      </c>
      <c r="C27" s="57">
        <v>17078</v>
      </c>
      <c r="D27" s="57">
        <v>0.9</v>
      </c>
      <c r="E27" s="198">
        <v>12.2</v>
      </c>
      <c r="F27" s="58">
        <v>11.7</v>
      </c>
    </row>
    <row r="28" spans="1:6" x14ac:dyDescent="0.2">
      <c r="A28" s="269" t="s">
        <v>266</v>
      </c>
      <c r="B28" s="57">
        <v>83925</v>
      </c>
      <c r="C28" s="57">
        <v>59961</v>
      </c>
      <c r="D28" s="57">
        <v>4.4000000000000004</v>
      </c>
      <c r="E28" s="198">
        <v>57.2</v>
      </c>
      <c r="F28" s="58">
        <v>41</v>
      </c>
    </row>
    <row r="29" spans="1:6" x14ac:dyDescent="0.2">
      <c r="A29" s="269" t="s">
        <v>265</v>
      </c>
      <c r="B29" s="57">
        <v>3</v>
      </c>
      <c r="C29" s="57">
        <v>5</v>
      </c>
      <c r="D29" s="57">
        <v>2.0000000000000001E-4</v>
      </c>
      <c r="E29" s="387">
        <v>2E-3</v>
      </c>
      <c r="F29" s="199">
        <v>3.0000000000000001E-3</v>
      </c>
    </row>
    <row r="30" spans="1:6" x14ac:dyDescent="0.2">
      <c r="A30" s="269" t="s">
        <v>264</v>
      </c>
      <c r="B30" s="57">
        <v>176</v>
      </c>
      <c r="C30" s="57">
        <v>175</v>
      </c>
      <c r="D30" s="57">
        <v>0.01</v>
      </c>
      <c r="E30" s="198">
        <v>0.1</v>
      </c>
      <c r="F30" s="58">
        <v>0.1</v>
      </c>
    </row>
    <row r="31" spans="1:6" ht="25.5" x14ac:dyDescent="0.2">
      <c r="A31" s="269" t="s">
        <v>268</v>
      </c>
      <c r="B31" s="57">
        <v>33711</v>
      </c>
      <c r="C31" s="57">
        <v>28365</v>
      </c>
      <c r="D31" s="57">
        <v>1.8</v>
      </c>
      <c r="E31" s="198">
        <v>23</v>
      </c>
      <c r="F31" s="58">
        <v>19.399999999999999</v>
      </c>
    </row>
    <row r="32" spans="1:6" x14ac:dyDescent="0.2">
      <c r="A32" s="270" t="s">
        <v>278</v>
      </c>
      <c r="B32" s="57">
        <v>31502</v>
      </c>
      <c r="C32" s="57">
        <v>26773</v>
      </c>
      <c r="D32" s="57">
        <v>1.7</v>
      </c>
      <c r="E32" s="198">
        <v>21.5</v>
      </c>
      <c r="F32" s="58">
        <v>18.3</v>
      </c>
    </row>
    <row r="33" spans="1:6" ht="25.5" x14ac:dyDescent="0.2">
      <c r="A33" s="269" t="s">
        <v>263</v>
      </c>
      <c r="B33" s="57">
        <v>15847</v>
      </c>
      <c r="C33" s="57">
        <v>14427</v>
      </c>
      <c r="D33" s="57">
        <v>0.8</v>
      </c>
      <c r="E33" s="198">
        <v>10.8</v>
      </c>
      <c r="F33" s="58">
        <v>9.9</v>
      </c>
    </row>
    <row r="34" spans="1:6" ht="25.5" x14ac:dyDescent="0.2">
      <c r="A34" s="269" t="s">
        <v>262</v>
      </c>
      <c r="B34" s="57">
        <v>4483</v>
      </c>
      <c r="C34" s="57">
        <v>3584</v>
      </c>
      <c r="D34" s="57">
        <v>0.2</v>
      </c>
      <c r="E34" s="198">
        <v>3.1</v>
      </c>
      <c r="F34" s="58">
        <v>2.4</v>
      </c>
    </row>
    <row r="35" spans="1:6" ht="38.25" x14ac:dyDescent="0.2">
      <c r="A35" s="269" t="s">
        <v>261</v>
      </c>
      <c r="B35" s="57">
        <v>1637</v>
      </c>
      <c r="C35" s="57">
        <v>1684</v>
      </c>
      <c r="D35" s="57">
        <v>0.1</v>
      </c>
      <c r="E35" s="198">
        <v>1.1000000000000001</v>
      </c>
      <c r="F35" s="58">
        <v>1.2</v>
      </c>
    </row>
    <row r="36" spans="1:6" x14ac:dyDescent="0.2">
      <c r="A36" s="270" t="s">
        <v>279</v>
      </c>
      <c r="B36" s="57">
        <v>982</v>
      </c>
      <c r="C36" s="57">
        <v>1008</v>
      </c>
      <c r="D36" s="57">
        <v>0.1</v>
      </c>
      <c r="E36" s="198">
        <v>0.7</v>
      </c>
      <c r="F36" s="58">
        <v>0.7</v>
      </c>
    </row>
    <row r="37" spans="1:6" x14ac:dyDescent="0.2">
      <c r="A37" s="269" t="s">
        <v>260</v>
      </c>
      <c r="B37" s="57">
        <v>3188</v>
      </c>
      <c r="C37" s="57">
        <v>2515</v>
      </c>
      <c r="D37" s="57">
        <v>0.2</v>
      </c>
      <c r="E37" s="198">
        <v>2.2000000000000002</v>
      </c>
      <c r="F37" s="58">
        <v>1.7</v>
      </c>
    </row>
    <row r="38" spans="1:6" ht="25.5" x14ac:dyDescent="0.2">
      <c r="A38" s="269" t="s">
        <v>259</v>
      </c>
      <c r="B38" s="57">
        <v>189</v>
      </c>
      <c r="C38" s="57">
        <v>197</v>
      </c>
      <c r="D38" s="57">
        <v>0.01</v>
      </c>
      <c r="E38" s="198">
        <v>0.1</v>
      </c>
      <c r="F38" s="58">
        <v>0.1</v>
      </c>
    </row>
    <row r="39" spans="1:6" x14ac:dyDescent="0.2">
      <c r="A39" s="270" t="s">
        <v>280</v>
      </c>
      <c r="B39" s="57">
        <v>188</v>
      </c>
      <c r="C39" s="57">
        <v>196</v>
      </c>
      <c r="D39" s="57">
        <v>0.01</v>
      </c>
      <c r="E39" s="388" t="s">
        <v>359</v>
      </c>
      <c r="F39" s="198" t="s">
        <v>232</v>
      </c>
    </row>
    <row r="40" spans="1:6" ht="51" x14ac:dyDescent="0.2">
      <c r="A40" s="269" t="s">
        <v>258</v>
      </c>
      <c r="B40" s="220">
        <v>144217</v>
      </c>
      <c r="C40" s="220">
        <v>149147</v>
      </c>
      <c r="D40" s="57">
        <v>7.6</v>
      </c>
      <c r="E40" s="221">
        <v>98.3</v>
      </c>
      <c r="F40" s="160">
        <v>101.9</v>
      </c>
    </row>
    <row r="41" spans="1:6" x14ac:dyDescent="0.2">
      <c r="A41" s="270" t="s">
        <v>270</v>
      </c>
      <c r="B41" s="220"/>
      <c r="C41" s="220"/>
      <c r="D41" s="57"/>
      <c r="E41" s="221"/>
      <c r="F41" s="160"/>
    </row>
    <row r="42" spans="1:6" x14ac:dyDescent="0.2">
      <c r="A42" s="273" t="s">
        <v>281</v>
      </c>
      <c r="B42" s="220">
        <v>108744</v>
      </c>
      <c r="C42" s="220">
        <v>105719</v>
      </c>
      <c r="D42" s="57">
        <v>5.8</v>
      </c>
      <c r="E42" s="221">
        <v>74.099999999999994</v>
      </c>
      <c r="F42" s="160">
        <v>72.2</v>
      </c>
    </row>
    <row r="43" spans="1:6" x14ac:dyDescent="0.2">
      <c r="A43" s="274" t="s">
        <v>283</v>
      </c>
      <c r="B43" s="182">
        <v>34108</v>
      </c>
      <c r="C43" s="182">
        <v>42254</v>
      </c>
      <c r="D43" s="182">
        <v>1.8</v>
      </c>
      <c r="E43" s="204">
        <v>23.3</v>
      </c>
      <c r="F43" s="183">
        <v>28.8</v>
      </c>
    </row>
    <row r="44" spans="1:6" x14ac:dyDescent="0.2">
      <c r="A44" s="275"/>
      <c r="B44" s="220"/>
      <c r="C44" s="220"/>
      <c r="D44" s="221"/>
      <c r="E44" s="160"/>
      <c r="F44" s="222"/>
    </row>
    <row r="45" spans="1:6" x14ac:dyDescent="0.2">
      <c r="A45" s="150" t="s">
        <v>228</v>
      </c>
      <c r="B45" s="220"/>
      <c r="C45" s="220"/>
      <c r="D45" s="221"/>
      <c r="E45" s="160"/>
      <c r="F45" s="222"/>
    </row>
    <row r="46" spans="1:6" ht="15" customHeight="1" x14ac:dyDescent="0.2">
      <c r="A46" s="55"/>
      <c r="B46" s="59"/>
      <c r="E46" s="60"/>
      <c r="F46" s="5"/>
    </row>
    <row r="47" spans="1:6" ht="12.75" customHeight="1" x14ac:dyDescent="0.2"/>
    <row r="48" spans="1:6" ht="12.75" customHeight="1" x14ac:dyDescent="0.2">
      <c r="A48" s="61"/>
      <c r="B48" s="10"/>
      <c r="C48" s="57"/>
      <c r="D48" s="10"/>
    </row>
    <row r="49" spans="1:6" ht="12.75" customHeight="1" x14ac:dyDescent="0.2">
      <c r="A49" s="61"/>
      <c r="B49" s="57"/>
    </row>
    <row r="50" spans="1:6" ht="12.75" customHeight="1" x14ac:dyDescent="0.2">
      <c r="A50" s="61"/>
      <c r="D50" s="62"/>
    </row>
    <row r="51" spans="1:6" ht="12.75" customHeight="1" x14ac:dyDescent="0.2">
      <c r="A51" s="61"/>
      <c r="B51" s="10"/>
      <c r="C51" s="57"/>
    </row>
    <row r="52" spans="1:6" ht="12.75" customHeight="1" x14ac:dyDescent="0.2">
      <c r="A52" s="63"/>
    </row>
    <row r="53" spans="1:6" ht="12.75" customHeight="1" x14ac:dyDescent="0.2">
      <c r="A53" s="61"/>
      <c r="B53" s="55"/>
      <c r="C53" s="55"/>
      <c r="D53" s="55"/>
      <c r="E53" s="55"/>
      <c r="F53" s="55"/>
    </row>
    <row r="54" spans="1:6" ht="12.75" customHeight="1" x14ac:dyDescent="0.25">
      <c r="A54" s="64"/>
      <c r="B54" s="55"/>
      <c r="C54" s="55"/>
      <c r="D54" s="55"/>
      <c r="E54" s="55"/>
      <c r="F54" s="55"/>
    </row>
    <row r="55" spans="1:6" ht="12.75" customHeight="1" x14ac:dyDescent="0.2">
      <c r="A55" s="61"/>
      <c r="B55" s="55"/>
      <c r="C55" s="55"/>
      <c r="D55" s="55"/>
      <c r="E55" s="55"/>
      <c r="F55" s="55"/>
    </row>
    <row r="56" spans="1:6" ht="12.75" customHeight="1" x14ac:dyDescent="0.2">
      <c r="A56" s="61"/>
      <c r="B56" s="55"/>
      <c r="C56" s="55"/>
      <c r="D56" s="55"/>
      <c r="E56" s="55"/>
      <c r="F56" s="55"/>
    </row>
    <row r="57" spans="1:6" ht="12.75" customHeight="1" x14ac:dyDescent="0.2">
      <c r="A57" s="61"/>
      <c r="B57" s="55"/>
      <c r="C57" s="55"/>
      <c r="D57" s="55"/>
      <c r="E57" s="55"/>
      <c r="F57" s="55"/>
    </row>
    <row r="58" spans="1:6" ht="12.75" customHeight="1" x14ac:dyDescent="0.2">
      <c r="A58" s="61"/>
      <c r="B58" s="55"/>
      <c r="C58" s="55"/>
      <c r="D58" s="55"/>
      <c r="E58" s="55"/>
      <c r="F58" s="55"/>
    </row>
    <row r="59" spans="1:6" ht="12.75" customHeight="1" x14ac:dyDescent="0.2">
      <c r="A59" s="63"/>
      <c r="B59" s="55"/>
      <c r="C59" s="55"/>
      <c r="D59" s="55"/>
      <c r="E59" s="55"/>
      <c r="F59" s="55"/>
    </row>
    <row r="60" spans="1:6" ht="12.75" customHeight="1" x14ac:dyDescent="0.2">
      <c r="A60" s="61"/>
      <c r="B60" s="55"/>
      <c r="C60" s="55"/>
      <c r="D60" s="55"/>
      <c r="E60" s="55"/>
      <c r="F60" s="55"/>
    </row>
    <row r="61" spans="1:6" ht="12.75" customHeight="1" x14ac:dyDescent="0.2">
      <c r="A61" s="61"/>
      <c r="B61" s="55"/>
      <c r="C61" s="55"/>
      <c r="D61" s="55"/>
      <c r="E61" s="55"/>
      <c r="F61" s="55"/>
    </row>
    <row r="62" spans="1:6" ht="12.75" customHeight="1" x14ac:dyDescent="0.2">
      <c r="A62" s="61"/>
      <c r="B62" s="55"/>
      <c r="C62" s="55"/>
      <c r="D62" s="55"/>
      <c r="E62" s="55"/>
      <c r="F62" s="55"/>
    </row>
    <row r="63" spans="1:6" ht="12.75" customHeight="1" x14ac:dyDescent="0.2">
      <c r="A63" s="61"/>
      <c r="B63" s="55"/>
      <c r="C63" s="55"/>
      <c r="D63" s="55"/>
      <c r="E63" s="55"/>
      <c r="F63" s="55"/>
    </row>
    <row r="64" spans="1:6" ht="12.75" customHeight="1" x14ac:dyDescent="0.2">
      <c r="A64" s="61"/>
      <c r="B64" s="55"/>
      <c r="C64" s="55"/>
      <c r="D64" s="55"/>
      <c r="E64" s="55"/>
      <c r="F64" s="55"/>
    </row>
    <row r="65" spans="1:6" ht="12.75" customHeight="1" x14ac:dyDescent="0.2">
      <c r="A65" s="61"/>
      <c r="B65" s="55"/>
      <c r="C65" s="55"/>
      <c r="D65" s="55"/>
      <c r="E65" s="55"/>
      <c r="F65" s="55"/>
    </row>
    <row r="66" spans="1:6" ht="12.75" customHeight="1" x14ac:dyDescent="0.2">
      <c r="B66" s="55"/>
      <c r="C66" s="55"/>
      <c r="D66" s="55"/>
      <c r="E66" s="55"/>
      <c r="F66" s="55"/>
    </row>
    <row r="67" spans="1:6" ht="12.75" customHeight="1" x14ac:dyDescent="0.2">
      <c r="B67" s="55"/>
      <c r="C67" s="55"/>
      <c r="D67" s="55"/>
      <c r="E67" s="55"/>
      <c r="F67" s="55"/>
    </row>
    <row r="68" spans="1:6" ht="12.75" customHeight="1" x14ac:dyDescent="0.2">
      <c r="B68" s="55"/>
      <c r="C68" s="55"/>
      <c r="D68" s="55"/>
      <c r="E68" s="55"/>
      <c r="F68" s="55"/>
    </row>
    <row r="69" spans="1:6" ht="12.75" customHeight="1" x14ac:dyDescent="0.2">
      <c r="A69" s="55"/>
      <c r="B69" s="55"/>
      <c r="C69" s="55"/>
      <c r="D69" s="55"/>
      <c r="E69" s="55"/>
      <c r="F69" s="55"/>
    </row>
    <row r="70" spans="1:6" ht="12.75" customHeight="1" x14ac:dyDescent="0.2">
      <c r="A70" s="55"/>
      <c r="B70" s="55"/>
      <c r="C70" s="55"/>
      <c r="D70" s="55"/>
      <c r="E70" s="55"/>
      <c r="F70" s="55"/>
    </row>
    <row r="71" spans="1:6" ht="12.75" customHeight="1" x14ac:dyDescent="0.2">
      <c r="A71" s="55"/>
      <c r="B71" s="55"/>
      <c r="C71" s="55"/>
      <c r="D71" s="55"/>
      <c r="E71" s="55"/>
      <c r="F71" s="55"/>
    </row>
    <row r="72" spans="1:6" ht="12.75" customHeight="1" x14ac:dyDescent="0.2">
      <c r="A72" s="55"/>
      <c r="B72" s="55"/>
      <c r="C72" s="55"/>
      <c r="D72" s="55"/>
      <c r="E72" s="55"/>
      <c r="F72" s="55"/>
    </row>
    <row r="73" spans="1:6" ht="12.75" customHeight="1" x14ac:dyDescent="0.2">
      <c r="A73" s="55"/>
      <c r="B73" s="55"/>
      <c r="C73" s="55"/>
      <c r="D73" s="55"/>
      <c r="E73" s="55"/>
      <c r="F73" s="55"/>
    </row>
    <row r="74" spans="1:6" ht="12.75" customHeight="1" x14ac:dyDescent="0.2">
      <c r="A74" s="55"/>
      <c r="B74" s="55"/>
      <c r="C74" s="55"/>
      <c r="D74" s="55"/>
      <c r="E74" s="55"/>
      <c r="F74" s="55"/>
    </row>
    <row r="75" spans="1:6" ht="12.75" customHeight="1" x14ac:dyDescent="0.2">
      <c r="A75" s="55"/>
      <c r="B75" s="55"/>
      <c r="C75" s="55"/>
      <c r="D75" s="55"/>
      <c r="E75" s="55"/>
      <c r="F75" s="55"/>
    </row>
    <row r="76" spans="1:6" ht="12.75" customHeight="1" x14ac:dyDescent="0.2">
      <c r="A76" s="55"/>
      <c r="B76" s="55"/>
      <c r="C76" s="55"/>
      <c r="D76" s="55"/>
      <c r="E76" s="55"/>
      <c r="F76" s="55"/>
    </row>
    <row r="77" spans="1:6" ht="12.75" customHeight="1" x14ac:dyDescent="0.2">
      <c r="A77" s="55"/>
      <c r="B77" s="55"/>
      <c r="C77" s="55"/>
      <c r="D77" s="55"/>
      <c r="E77" s="55"/>
      <c r="F77" s="55"/>
    </row>
    <row r="78" spans="1:6" ht="12.75" customHeight="1" x14ac:dyDescent="0.2">
      <c r="A78" s="55"/>
      <c r="B78" s="55"/>
      <c r="C78" s="55"/>
      <c r="D78" s="55"/>
      <c r="E78" s="55"/>
      <c r="F78" s="55"/>
    </row>
    <row r="79" spans="1:6" ht="12.75" customHeight="1" x14ac:dyDescent="0.2">
      <c r="A79" s="55"/>
      <c r="B79" s="55"/>
      <c r="C79" s="55"/>
      <c r="D79" s="55"/>
      <c r="E79" s="55"/>
      <c r="F79" s="55"/>
    </row>
    <row r="80" spans="1:6" ht="12.75" customHeight="1" x14ac:dyDescent="0.2">
      <c r="A80" s="55"/>
      <c r="B80" s="55"/>
      <c r="C80" s="55"/>
      <c r="D80" s="55"/>
      <c r="E80" s="55"/>
      <c r="F80" s="55"/>
    </row>
    <row r="81" spans="1:6" ht="12.75" customHeight="1" x14ac:dyDescent="0.2">
      <c r="A81" s="55"/>
      <c r="B81" s="55"/>
      <c r="C81" s="55"/>
      <c r="D81" s="55"/>
      <c r="E81" s="55"/>
      <c r="F81" s="55"/>
    </row>
    <row r="82" spans="1:6" ht="12.75" customHeight="1" x14ac:dyDescent="0.2">
      <c r="A82" s="55"/>
      <c r="B82" s="55"/>
      <c r="C82" s="55"/>
      <c r="D82" s="55"/>
      <c r="E82" s="55"/>
      <c r="F82" s="55"/>
    </row>
    <row r="83" spans="1:6" ht="12.75" customHeight="1" x14ac:dyDescent="0.2">
      <c r="A83" s="55"/>
      <c r="B83" s="55"/>
      <c r="C83" s="55"/>
      <c r="D83" s="55"/>
      <c r="E83" s="55"/>
      <c r="F83" s="55"/>
    </row>
    <row r="84" spans="1:6" ht="12.75" customHeight="1" x14ac:dyDescent="0.2">
      <c r="A84" s="55"/>
      <c r="B84" s="55"/>
      <c r="C84" s="55"/>
      <c r="D84" s="55"/>
      <c r="E84" s="55"/>
      <c r="F84" s="55"/>
    </row>
    <row r="85" spans="1:6" ht="12.75" customHeight="1" x14ac:dyDescent="0.2">
      <c r="A85" s="55"/>
      <c r="B85" s="55"/>
      <c r="C85" s="55"/>
      <c r="D85" s="55"/>
      <c r="E85" s="55"/>
      <c r="F85" s="55"/>
    </row>
    <row r="86" spans="1:6" ht="12.75" customHeight="1" x14ac:dyDescent="0.2">
      <c r="A86" s="55"/>
      <c r="B86" s="55"/>
      <c r="C86" s="55"/>
      <c r="D86" s="55"/>
      <c r="E86" s="55"/>
      <c r="F86" s="55"/>
    </row>
    <row r="87" spans="1:6" ht="12.75" customHeight="1" x14ac:dyDescent="0.2">
      <c r="A87" s="55"/>
      <c r="B87" s="55"/>
      <c r="C87" s="55"/>
      <c r="D87" s="55"/>
      <c r="E87" s="55"/>
      <c r="F87" s="55"/>
    </row>
    <row r="88" spans="1:6" ht="12.75" customHeight="1" x14ac:dyDescent="0.2">
      <c r="A88" s="55"/>
      <c r="B88" s="55"/>
      <c r="C88" s="55"/>
      <c r="D88" s="55"/>
      <c r="E88" s="55"/>
      <c r="F88" s="55"/>
    </row>
    <row r="89" spans="1:6" ht="12.75" customHeight="1" x14ac:dyDescent="0.2">
      <c r="A89" s="55"/>
      <c r="B89" s="55"/>
      <c r="C89" s="55"/>
      <c r="D89" s="55"/>
      <c r="E89" s="55"/>
      <c r="F89" s="55"/>
    </row>
    <row r="90" spans="1:6" ht="12.75" customHeight="1" x14ac:dyDescent="0.2">
      <c r="A90" s="55"/>
      <c r="B90" s="55"/>
      <c r="C90" s="55"/>
      <c r="D90" s="55"/>
      <c r="E90" s="55"/>
      <c r="F90" s="55"/>
    </row>
    <row r="91" spans="1:6" ht="12.75" customHeight="1" x14ac:dyDescent="0.2">
      <c r="A91" s="55"/>
      <c r="B91" s="55"/>
      <c r="C91" s="55"/>
      <c r="D91" s="55"/>
      <c r="E91" s="55"/>
      <c r="F91" s="55"/>
    </row>
    <row r="92" spans="1:6" ht="12.75" customHeight="1" x14ac:dyDescent="0.2">
      <c r="A92" s="55"/>
      <c r="B92" s="55"/>
      <c r="C92" s="55"/>
      <c r="D92" s="55"/>
      <c r="E92" s="55"/>
      <c r="F92" s="55"/>
    </row>
    <row r="93" spans="1:6" ht="12.75" customHeight="1" x14ac:dyDescent="0.2">
      <c r="A93" s="55"/>
      <c r="B93" s="55"/>
      <c r="C93" s="55"/>
      <c r="D93" s="55"/>
      <c r="E93" s="55"/>
      <c r="F93" s="55"/>
    </row>
    <row r="94" spans="1:6" ht="12.75" customHeight="1" x14ac:dyDescent="0.2">
      <c r="A94" s="55"/>
      <c r="B94" s="55"/>
      <c r="C94" s="55"/>
      <c r="D94" s="55"/>
      <c r="E94" s="55"/>
      <c r="F94" s="55"/>
    </row>
    <row r="95" spans="1:6" ht="12.75" customHeight="1" x14ac:dyDescent="0.2">
      <c r="A95" s="55"/>
      <c r="B95" s="55"/>
      <c r="C95" s="55"/>
      <c r="D95" s="55"/>
      <c r="E95" s="55"/>
      <c r="F95" s="55"/>
    </row>
    <row r="96" spans="1:6" ht="12.75" customHeight="1" x14ac:dyDescent="0.2">
      <c r="A96" s="55"/>
      <c r="B96" s="55"/>
      <c r="C96" s="55"/>
      <c r="D96" s="55"/>
      <c r="E96" s="55"/>
      <c r="F96" s="55"/>
    </row>
    <row r="97" spans="1:6" ht="12.75" customHeight="1" x14ac:dyDescent="0.2">
      <c r="A97" s="55"/>
      <c r="B97" s="55"/>
      <c r="C97" s="55"/>
      <c r="D97" s="55"/>
      <c r="E97" s="55"/>
      <c r="F97" s="55"/>
    </row>
    <row r="98" spans="1:6" ht="12.75" customHeight="1" x14ac:dyDescent="0.2">
      <c r="A98" s="55"/>
      <c r="B98" s="55"/>
      <c r="C98" s="55"/>
      <c r="D98" s="55"/>
      <c r="E98" s="55"/>
      <c r="F98" s="55"/>
    </row>
    <row r="99" spans="1:6" ht="12.75" customHeight="1" x14ac:dyDescent="0.2">
      <c r="A99" s="55"/>
      <c r="B99" s="55"/>
      <c r="C99" s="55"/>
      <c r="D99" s="55"/>
      <c r="E99" s="55"/>
      <c r="F99" s="55"/>
    </row>
    <row r="100" spans="1:6" ht="12.75" customHeight="1" x14ac:dyDescent="0.2">
      <c r="A100" s="55"/>
      <c r="B100" s="55"/>
      <c r="C100" s="55"/>
      <c r="D100" s="55"/>
      <c r="E100" s="55"/>
      <c r="F100" s="55"/>
    </row>
    <row r="101" spans="1:6" ht="12.75" customHeight="1" x14ac:dyDescent="0.2">
      <c r="A101" s="55"/>
      <c r="B101" s="55"/>
      <c r="C101" s="55"/>
      <c r="D101" s="55"/>
      <c r="E101" s="55"/>
      <c r="F101" s="55"/>
    </row>
  </sheetData>
  <mergeCells count="5">
    <mergeCell ref="A1:F1"/>
    <mergeCell ref="A2:F2"/>
    <mergeCell ref="A3:A5"/>
    <mergeCell ref="B3:D4"/>
    <mergeCell ref="E3:F4"/>
  </mergeCells>
  <phoneticPr fontId="49" type="noConversion"/>
  <printOptions horizontalCentered="1"/>
  <pageMargins left="0.59055118110236227" right="0.59055118110236227" top="0.70866141732283472" bottom="0.19685039370078741" header="0.31496062992125984" footer="0.51181102362204722"/>
  <pageSetup paperSize="9" firstPageNumber="20" orientation="landscape" useFirstPageNumber="1" r:id="rId1"/>
  <headerFooter alignWithMargins="0">
    <oddHeader>&amp;C&amp;"Arial,обычный"&amp;10&amp;P</oddHeader>
  </headerFooter>
  <rowBreaks count="1" manualBreakCount="1">
    <brk id="30" max="5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T302"/>
  <sheetViews>
    <sheetView zoomScaleNormal="100" zoomScaleSheetLayoutView="100" workbookViewId="0">
      <selection activeCell="I16" sqref="I16"/>
    </sheetView>
  </sheetViews>
  <sheetFormatPr defaultRowHeight="14.25" x14ac:dyDescent="0.2"/>
  <cols>
    <col min="1" max="1" width="41.7109375" style="5" customWidth="1"/>
    <col min="2" max="2" width="14.7109375" style="5" customWidth="1"/>
    <col min="3" max="3" width="13.7109375" style="5" customWidth="1"/>
    <col min="4" max="5" width="13" style="5" customWidth="1"/>
    <col min="6" max="7" width="12.5703125" style="5" customWidth="1"/>
    <col min="8" max="8" width="12.140625" style="5" customWidth="1"/>
    <col min="9" max="9" width="9.42578125" style="9" bestFit="1" customWidth="1"/>
    <col min="10" max="16384" width="9.140625" style="9"/>
  </cols>
  <sheetData>
    <row r="1" spans="1:20" s="8" customFormat="1" ht="15" x14ac:dyDescent="0.25">
      <c r="A1" s="523" t="s">
        <v>286</v>
      </c>
      <c r="B1" s="483"/>
      <c r="C1" s="483"/>
      <c r="D1" s="483"/>
      <c r="E1" s="483"/>
      <c r="F1" s="483"/>
      <c r="G1" s="483"/>
      <c r="H1" s="483"/>
    </row>
    <row r="2" spans="1:20" s="8" customFormat="1" ht="15" x14ac:dyDescent="0.25">
      <c r="A2" s="523" t="s">
        <v>284</v>
      </c>
      <c r="B2" s="483"/>
      <c r="C2" s="483" t="s">
        <v>141</v>
      </c>
      <c r="D2" s="483" t="s">
        <v>142</v>
      </c>
      <c r="E2" s="483"/>
      <c r="F2" s="483"/>
      <c r="G2" s="483"/>
      <c r="H2" s="483"/>
    </row>
    <row r="3" spans="1:20" x14ac:dyDescent="0.2">
      <c r="A3" s="65"/>
      <c r="B3" s="65"/>
      <c r="C3" s="65"/>
      <c r="D3" s="65"/>
      <c r="E3" s="65"/>
      <c r="F3" s="65"/>
      <c r="G3" s="65"/>
      <c r="H3" s="65"/>
    </row>
    <row r="4" spans="1:20" x14ac:dyDescent="0.2">
      <c r="A4" s="524"/>
      <c r="B4" s="525" t="s">
        <v>143</v>
      </c>
      <c r="C4" s="526"/>
      <c r="D4" s="526"/>
      <c r="E4" s="526"/>
      <c r="F4" s="526"/>
      <c r="G4" s="526"/>
      <c r="H4" s="527"/>
    </row>
    <row r="5" spans="1:20" ht="57" customHeight="1" x14ac:dyDescent="0.2">
      <c r="A5" s="524"/>
      <c r="B5" s="287" t="s">
        <v>144</v>
      </c>
      <c r="C5" s="278" t="s">
        <v>145</v>
      </c>
      <c r="D5" s="278" t="s">
        <v>317</v>
      </c>
      <c r="E5" s="278" t="s">
        <v>147</v>
      </c>
      <c r="F5" s="278" t="s">
        <v>148</v>
      </c>
      <c r="G5" s="278" t="s">
        <v>149</v>
      </c>
      <c r="H5" s="278" t="s">
        <v>150</v>
      </c>
    </row>
    <row r="6" spans="1:20" s="8" customFormat="1" ht="12.95" customHeight="1" x14ac:dyDescent="0.25">
      <c r="A6" s="406" t="s">
        <v>13</v>
      </c>
      <c r="B6" s="394">
        <v>35335</v>
      </c>
      <c r="C6" s="394">
        <v>11373</v>
      </c>
      <c r="D6" s="402">
        <v>299652</v>
      </c>
      <c r="E6" s="404">
        <v>904055</v>
      </c>
      <c r="F6" s="402">
        <v>70332</v>
      </c>
      <c r="G6" s="402">
        <v>98215</v>
      </c>
      <c r="H6" s="404">
        <v>167543</v>
      </c>
      <c r="I6" s="395"/>
      <c r="J6" s="395"/>
      <c r="K6" s="395"/>
      <c r="L6" s="395"/>
      <c r="M6" s="395"/>
      <c r="N6" s="395"/>
      <c r="O6" s="395"/>
      <c r="P6" s="395"/>
      <c r="Q6" s="395"/>
      <c r="R6" s="395"/>
      <c r="S6" s="395"/>
      <c r="T6" s="395"/>
    </row>
    <row r="7" spans="1:20" s="8" customFormat="1" ht="12.95" customHeight="1" x14ac:dyDescent="0.25">
      <c r="A7" s="249" t="s">
        <v>14</v>
      </c>
      <c r="B7" s="396">
        <v>4797</v>
      </c>
      <c r="C7" s="397">
        <v>1449</v>
      </c>
      <c r="D7" s="402">
        <v>85585</v>
      </c>
      <c r="E7" s="404">
        <v>256647</v>
      </c>
      <c r="F7" s="402">
        <v>19774</v>
      </c>
      <c r="G7" s="402">
        <v>26856</v>
      </c>
      <c r="H7" s="404">
        <v>39481</v>
      </c>
    </row>
    <row r="8" spans="1:20" ht="12.95" customHeight="1" x14ac:dyDescent="0.2">
      <c r="A8" s="245" t="s">
        <v>15</v>
      </c>
      <c r="B8" s="392">
        <v>64</v>
      </c>
      <c r="C8" s="398">
        <v>10</v>
      </c>
      <c r="D8" s="401">
        <v>3080</v>
      </c>
      <c r="E8" s="400">
        <v>11765</v>
      </c>
      <c r="F8" s="401">
        <v>809</v>
      </c>
      <c r="G8" s="401">
        <v>784</v>
      </c>
      <c r="H8" s="400">
        <v>1295</v>
      </c>
    </row>
    <row r="9" spans="1:20" ht="12.95" customHeight="1" x14ac:dyDescent="0.2">
      <c r="A9" s="245" t="s">
        <v>16</v>
      </c>
      <c r="B9" s="392">
        <v>156</v>
      </c>
      <c r="C9" s="398">
        <v>89</v>
      </c>
      <c r="D9" s="401">
        <v>2954</v>
      </c>
      <c r="E9" s="400">
        <v>9139</v>
      </c>
      <c r="F9" s="401">
        <v>858</v>
      </c>
      <c r="G9" s="401">
        <v>1055</v>
      </c>
      <c r="H9" s="400">
        <v>1631</v>
      </c>
    </row>
    <row r="10" spans="1:20" ht="12.95" customHeight="1" x14ac:dyDescent="0.2">
      <c r="A10" s="245" t="s">
        <v>17</v>
      </c>
      <c r="B10" s="392">
        <v>152</v>
      </c>
      <c r="C10" s="398">
        <v>60</v>
      </c>
      <c r="D10" s="401">
        <v>3482</v>
      </c>
      <c r="E10" s="400">
        <v>11517</v>
      </c>
      <c r="F10" s="401">
        <v>860</v>
      </c>
      <c r="G10" s="401">
        <v>1902</v>
      </c>
      <c r="H10" s="400">
        <v>1740</v>
      </c>
    </row>
    <row r="11" spans="1:20" ht="12.95" customHeight="1" x14ac:dyDescent="0.2">
      <c r="A11" s="245" t="s">
        <v>18</v>
      </c>
      <c r="B11" s="392">
        <v>168</v>
      </c>
      <c r="C11" s="398">
        <v>85</v>
      </c>
      <c r="D11" s="401">
        <v>4328</v>
      </c>
      <c r="E11" s="400">
        <v>14049</v>
      </c>
      <c r="F11" s="401">
        <v>1164</v>
      </c>
      <c r="G11" s="401">
        <v>1445</v>
      </c>
      <c r="H11" s="400">
        <v>4086</v>
      </c>
    </row>
    <row r="12" spans="1:20" ht="12.95" customHeight="1" x14ac:dyDescent="0.2">
      <c r="A12" s="245" t="s">
        <v>19</v>
      </c>
      <c r="B12" s="392">
        <v>200</v>
      </c>
      <c r="C12" s="398">
        <v>35</v>
      </c>
      <c r="D12" s="401">
        <v>2171</v>
      </c>
      <c r="E12" s="400">
        <v>6136</v>
      </c>
      <c r="F12" s="401">
        <v>575</v>
      </c>
      <c r="G12" s="401">
        <v>1071</v>
      </c>
      <c r="H12" s="400">
        <v>1161</v>
      </c>
    </row>
    <row r="13" spans="1:20" ht="12.95" customHeight="1" x14ac:dyDescent="0.2">
      <c r="A13" s="245" t="s">
        <v>20</v>
      </c>
      <c r="B13" s="392">
        <v>143</v>
      </c>
      <c r="C13" s="398">
        <v>52</v>
      </c>
      <c r="D13" s="401">
        <v>2334</v>
      </c>
      <c r="E13" s="400">
        <v>7947</v>
      </c>
      <c r="F13" s="401">
        <v>638</v>
      </c>
      <c r="G13" s="401">
        <v>768</v>
      </c>
      <c r="H13" s="400">
        <v>1215</v>
      </c>
    </row>
    <row r="14" spans="1:20" ht="12.95" customHeight="1" x14ac:dyDescent="0.2">
      <c r="A14" s="407" t="s">
        <v>21</v>
      </c>
      <c r="B14" s="392">
        <v>54</v>
      </c>
      <c r="C14" s="398">
        <v>13</v>
      </c>
      <c r="D14" s="401">
        <v>1578</v>
      </c>
      <c r="E14" s="400">
        <v>5320</v>
      </c>
      <c r="F14" s="401">
        <v>328</v>
      </c>
      <c r="G14" s="401">
        <v>504</v>
      </c>
      <c r="H14" s="400">
        <v>770</v>
      </c>
    </row>
    <row r="15" spans="1:20" ht="12.95" customHeight="1" x14ac:dyDescent="0.2">
      <c r="A15" s="245" t="s">
        <v>22</v>
      </c>
      <c r="B15" s="392">
        <v>115</v>
      </c>
      <c r="C15" s="398">
        <v>88</v>
      </c>
      <c r="D15" s="401">
        <v>2713</v>
      </c>
      <c r="E15" s="400">
        <v>8516</v>
      </c>
      <c r="F15" s="401">
        <v>820</v>
      </c>
      <c r="G15" s="401">
        <v>938</v>
      </c>
      <c r="H15" s="400">
        <v>1133</v>
      </c>
    </row>
    <row r="16" spans="1:20" ht="12.95" customHeight="1" x14ac:dyDescent="0.2">
      <c r="A16" s="245" t="s">
        <v>23</v>
      </c>
      <c r="B16" s="392">
        <v>61</v>
      </c>
      <c r="C16" s="398">
        <v>27</v>
      </c>
      <c r="D16" s="401">
        <v>2313</v>
      </c>
      <c r="E16" s="400">
        <v>7229</v>
      </c>
      <c r="F16" s="401">
        <v>714</v>
      </c>
      <c r="G16" s="401">
        <v>700</v>
      </c>
      <c r="H16" s="400">
        <v>1336</v>
      </c>
    </row>
    <row r="17" spans="1:8" ht="12.95" customHeight="1" x14ac:dyDescent="0.2">
      <c r="A17" s="245" t="s">
        <v>24</v>
      </c>
      <c r="B17" s="392">
        <v>986</v>
      </c>
      <c r="C17" s="398">
        <v>261</v>
      </c>
      <c r="D17" s="401">
        <v>14569</v>
      </c>
      <c r="E17" s="400">
        <v>47120</v>
      </c>
      <c r="F17" s="401">
        <v>3761</v>
      </c>
      <c r="G17" s="401">
        <v>5604</v>
      </c>
      <c r="H17" s="400">
        <v>7994</v>
      </c>
    </row>
    <row r="18" spans="1:8" ht="12.95" customHeight="1" x14ac:dyDescent="0.2">
      <c r="A18" s="245" t="s">
        <v>25</v>
      </c>
      <c r="B18" s="392">
        <v>45</v>
      </c>
      <c r="C18" s="398">
        <v>14</v>
      </c>
      <c r="D18" s="401">
        <v>1920</v>
      </c>
      <c r="E18" s="400">
        <v>7134</v>
      </c>
      <c r="F18" s="401">
        <v>489</v>
      </c>
      <c r="G18" s="401">
        <v>730</v>
      </c>
      <c r="H18" s="400">
        <v>824</v>
      </c>
    </row>
    <row r="19" spans="1:8" ht="12.95" customHeight="1" x14ac:dyDescent="0.2">
      <c r="A19" s="407" t="s">
        <v>26</v>
      </c>
      <c r="B19" s="392">
        <v>105</v>
      </c>
      <c r="C19" s="398">
        <v>19</v>
      </c>
      <c r="D19" s="401">
        <v>2536</v>
      </c>
      <c r="E19" s="400">
        <v>7249</v>
      </c>
      <c r="F19" s="401">
        <v>1238</v>
      </c>
      <c r="G19" s="401">
        <v>944</v>
      </c>
      <c r="H19" s="400">
        <v>1414</v>
      </c>
    </row>
    <row r="20" spans="1:8" ht="12.95" customHeight="1" x14ac:dyDescent="0.2">
      <c r="A20" s="245" t="s">
        <v>27</v>
      </c>
      <c r="B20" s="392">
        <v>182</v>
      </c>
      <c r="C20" s="398">
        <v>97</v>
      </c>
      <c r="D20" s="401">
        <v>1991</v>
      </c>
      <c r="E20" s="400">
        <v>6441</v>
      </c>
      <c r="F20" s="401">
        <v>489</v>
      </c>
      <c r="G20" s="401">
        <v>806</v>
      </c>
      <c r="H20" s="400">
        <v>1324</v>
      </c>
    </row>
    <row r="21" spans="1:8" ht="12.95" customHeight="1" x14ac:dyDescent="0.2">
      <c r="A21" s="245" t="s">
        <v>28</v>
      </c>
      <c r="B21" s="392">
        <v>98</v>
      </c>
      <c r="C21" s="398">
        <v>34</v>
      </c>
      <c r="D21" s="401">
        <v>1941</v>
      </c>
      <c r="E21" s="400">
        <v>6825</v>
      </c>
      <c r="F21" s="401">
        <v>665</v>
      </c>
      <c r="G21" s="401">
        <v>728</v>
      </c>
      <c r="H21" s="400">
        <v>1245</v>
      </c>
    </row>
    <row r="22" spans="1:8" ht="12.95" customHeight="1" x14ac:dyDescent="0.2">
      <c r="A22" s="245" t="s">
        <v>29</v>
      </c>
      <c r="B22" s="392">
        <v>324</v>
      </c>
      <c r="C22" s="398">
        <v>96</v>
      </c>
      <c r="D22" s="401">
        <v>3401</v>
      </c>
      <c r="E22" s="400">
        <v>12253</v>
      </c>
      <c r="F22" s="401">
        <v>1059</v>
      </c>
      <c r="G22" s="401">
        <v>1242</v>
      </c>
      <c r="H22" s="400">
        <v>1876</v>
      </c>
    </row>
    <row r="23" spans="1:8" ht="12.95" customHeight="1" x14ac:dyDescent="0.2">
      <c r="A23" s="245" t="s">
        <v>30</v>
      </c>
      <c r="B23" s="392">
        <v>297</v>
      </c>
      <c r="C23" s="398">
        <v>103</v>
      </c>
      <c r="D23" s="401">
        <v>3914</v>
      </c>
      <c r="E23" s="400">
        <v>10823</v>
      </c>
      <c r="F23" s="401">
        <v>1159</v>
      </c>
      <c r="G23" s="401">
        <v>1356</v>
      </c>
      <c r="H23" s="400">
        <v>1865</v>
      </c>
    </row>
    <row r="24" spans="1:8" ht="12.95" customHeight="1" x14ac:dyDescent="0.2">
      <c r="A24" s="245" t="s">
        <v>31</v>
      </c>
      <c r="B24" s="392">
        <v>105</v>
      </c>
      <c r="C24" s="398">
        <v>55</v>
      </c>
      <c r="D24" s="401">
        <v>2832</v>
      </c>
      <c r="E24" s="400">
        <v>8506</v>
      </c>
      <c r="F24" s="401">
        <v>549</v>
      </c>
      <c r="G24" s="401">
        <v>1268</v>
      </c>
      <c r="H24" s="400">
        <v>1601</v>
      </c>
    </row>
    <row r="25" spans="1:8" ht="12.95" customHeight="1" x14ac:dyDescent="0.2">
      <c r="A25" s="245" t="s">
        <v>32</v>
      </c>
      <c r="B25" s="392">
        <v>1542</v>
      </c>
      <c r="C25" s="398">
        <v>311</v>
      </c>
      <c r="D25" s="401">
        <v>27528</v>
      </c>
      <c r="E25" s="400">
        <v>68678</v>
      </c>
      <c r="F25" s="401">
        <v>3599</v>
      </c>
      <c r="G25" s="401">
        <v>5011</v>
      </c>
      <c r="H25" s="400">
        <v>6971</v>
      </c>
    </row>
    <row r="26" spans="1:8" s="8" customFormat="1" ht="12.95" customHeight="1" x14ac:dyDescent="0.25">
      <c r="A26" s="308" t="s">
        <v>33</v>
      </c>
      <c r="B26" s="396">
        <v>2783</v>
      </c>
      <c r="C26" s="397">
        <v>716</v>
      </c>
      <c r="D26" s="402">
        <v>32608</v>
      </c>
      <c r="E26" s="404">
        <v>99131</v>
      </c>
      <c r="F26" s="402">
        <v>6459</v>
      </c>
      <c r="G26" s="402">
        <v>9380</v>
      </c>
      <c r="H26" s="404">
        <v>15692</v>
      </c>
    </row>
    <row r="27" spans="1:8" ht="12.95" customHeight="1" x14ac:dyDescent="0.2">
      <c r="A27" s="245" t="s">
        <v>34</v>
      </c>
      <c r="B27" s="392">
        <v>110</v>
      </c>
      <c r="C27" s="398">
        <v>49</v>
      </c>
      <c r="D27" s="401">
        <v>1534</v>
      </c>
      <c r="E27" s="400">
        <v>4558</v>
      </c>
      <c r="F27" s="401">
        <v>328</v>
      </c>
      <c r="G27" s="401">
        <v>478</v>
      </c>
      <c r="H27" s="400">
        <v>772</v>
      </c>
    </row>
    <row r="28" spans="1:8" ht="12.95" customHeight="1" x14ac:dyDescent="0.2">
      <c r="A28" s="245" t="s">
        <v>35</v>
      </c>
      <c r="B28" s="392">
        <v>117</v>
      </c>
      <c r="C28" s="398">
        <v>71</v>
      </c>
      <c r="D28" s="401">
        <v>1748</v>
      </c>
      <c r="E28" s="400">
        <v>4704</v>
      </c>
      <c r="F28" s="401">
        <v>420</v>
      </c>
      <c r="G28" s="401">
        <v>861</v>
      </c>
      <c r="H28" s="400">
        <v>1365</v>
      </c>
    </row>
    <row r="29" spans="1:8" ht="12.95" customHeight="1" x14ac:dyDescent="0.2">
      <c r="A29" s="245" t="s">
        <v>36</v>
      </c>
      <c r="B29" s="392">
        <v>126</v>
      </c>
      <c r="C29" s="398">
        <v>59</v>
      </c>
      <c r="D29" s="401">
        <v>2760</v>
      </c>
      <c r="E29" s="400">
        <v>9019</v>
      </c>
      <c r="F29" s="401">
        <v>563</v>
      </c>
      <c r="G29" s="401">
        <v>796</v>
      </c>
      <c r="H29" s="400">
        <v>1714</v>
      </c>
    </row>
    <row r="30" spans="1:8" ht="12.95" customHeight="1" x14ac:dyDescent="0.2">
      <c r="A30" s="245" t="s">
        <v>37</v>
      </c>
      <c r="B30" s="392">
        <v>2</v>
      </c>
      <c r="C30" s="401">
        <v>0</v>
      </c>
      <c r="D30" s="401">
        <v>64</v>
      </c>
      <c r="E30" s="400">
        <v>177</v>
      </c>
      <c r="F30" s="401">
        <v>11</v>
      </c>
      <c r="G30" s="401">
        <v>23</v>
      </c>
      <c r="H30" s="400">
        <v>65</v>
      </c>
    </row>
    <row r="31" spans="1:8" ht="12.95" customHeight="1" x14ac:dyDescent="0.2">
      <c r="A31" s="408" t="s">
        <v>318</v>
      </c>
      <c r="B31" s="392">
        <v>124</v>
      </c>
      <c r="C31" s="398">
        <v>59</v>
      </c>
      <c r="D31" s="401">
        <v>2696</v>
      </c>
      <c r="E31" s="400">
        <v>8842</v>
      </c>
      <c r="F31" s="401">
        <v>552</v>
      </c>
      <c r="G31" s="401">
        <v>773</v>
      </c>
      <c r="H31" s="400">
        <v>1649</v>
      </c>
    </row>
    <row r="32" spans="1:8" ht="12.95" customHeight="1" x14ac:dyDescent="0.2">
      <c r="A32" s="245" t="s">
        <v>38</v>
      </c>
      <c r="B32" s="392">
        <v>101</v>
      </c>
      <c r="C32" s="398">
        <v>49</v>
      </c>
      <c r="D32" s="401">
        <v>2529</v>
      </c>
      <c r="E32" s="400">
        <v>9709</v>
      </c>
      <c r="F32" s="401">
        <v>502</v>
      </c>
      <c r="G32" s="401">
        <v>1135</v>
      </c>
      <c r="H32" s="400">
        <v>1524</v>
      </c>
    </row>
    <row r="33" spans="1:8" ht="12.95" customHeight="1" x14ac:dyDescent="0.2">
      <c r="A33" s="245" t="s">
        <v>39</v>
      </c>
      <c r="B33" s="392">
        <v>197</v>
      </c>
      <c r="C33" s="398">
        <v>40</v>
      </c>
      <c r="D33" s="401">
        <v>1944</v>
      </c>
      <c r="E33" s="400">
        <v>5640</v>
      </c>
      <c r="F33" s="401">
        <v>343</v>
      </c>
      <c r="G33" s="401">
        <v>702</v>
      </c>
      <c r="H33" s="400">
        <v>1123</v>
      </c>
    </row>
    <row r="34" spans="1:8" ht="12.95" customHeight="1" x14ac:dyDescent="0.2">
      <c r="A34" s="245" t="s">
        <v>40</v>
      </c>
      <c r="B34" s="392">
        <v>597</v>
      </c>
      <c r="C34" s="398">
        <v>112</v>
      </c>
      <c r="D34" s="401">
        <v>4267</v>
      </c>
      <c r="E34" s="400">
        <v>12811</v>
      </c>
      <c r="F34" s="401">
        <v>1002</v>
      </c>
      <c r="G34" s="401">
        <v>1285</v>
      </c>
      <c r="H34" s="400">
        <v>2469</v>
      </c>
    </row>
    <row r="35" spans="1:8" ht="12.95" customHeight="1" x14ac:dyDescent="0.2">
      <c r="A35" s="245" t="s">
        <v>41</v>
      </c>
      <c r="B35" s="392">
        <v>110</v>
      </c>
      <c r="C35" s="398">
        <v>33</v>
      </c>
      <c r="D35" s="401">
        <v>1539</v>
      </c>
      <c r="E35" s="400">
        <v>4662</v>
      </c>
      <c r="F35" s="401">
        <v>174</v>
      </c>
      <c r="G35" s="401">
        <v>459</v>
      </c>
      <c r="H35" s="400">
        <v>929</v>
      </c>
    </row>
    <row r="36" spans="1:8" ht="12.95" customHeight="1" x14ac:dyDescent="0.2">
      <c r="A36" s="245" t="s">
        <v>42</v>
      </c>
      <c r="B36" s="392">
        <v>103</v>
      </c>
      <c r="C36" s="398">
        <v>30</v>
      </c>
      <c r="D36" s="401">
        <v>1253</v>
      </c>
      <c r="E36" s="400">
        <v>5686</v>
      </c>
      <c r="F36" s="401">
        <v>344</v>
      </c>
      <c r="G36" s="401">
        <v>563</v>
      </c>
      <c r="H36" s="400">
        <v>968</v>
      </c>
    </row>
    <row r="37" spans="1:8" ht="12.95" customHeight="1" x14ac:dyDescent="0.2">
      <c r="A37" s="245" t="s">
        <v>43</v>
      </c>
      <c r="B37" s="392">
        <v>88</v>
      </c>
      <c r="C37" s="398">
        <v>57</v>
      </c>
      <c r="D37" s="401">
        <v>1610</v>
      </c>
      <c r="E37" s="400">
        <v>6844</v>
      </c>
      <c r="F37" s="401">
        <v>453</v>
      </c>
      <c r="G37" s="401">
        <v>517</v>
      </c>
      <c r="H37" s="400">
        <v>980</v>
      </c>
    </row>
    <row r="38" spans="1:8" s="8" customFormat="1" ht="12.95" customHeight="1" x14ac:dyDescent="0.25">
      <c r="A38" s="245" t="s">
        <v>44</v>
      </c>
      <c r="B38" s="392">
        <v>1234</v>
      </c>
      <c r="C38" s="398">
        <v>216</v>
      </c>
      <c r="D38" s="401">
        <v>13424</v>
      </c>
      <c r="E38" s="400">
        <v>35498</v>
      </c>
      <c r="F38" s="401">
        <v>2330</v>
      </c>
      <c r="G38" s="401">
        <v>2584</v>
      </c>
      <c r="H38" s="400">
        <v>3848</v>
      </c>
    </row>
    <row r="39" spans="1:8" s="8" customFormat="1" ht="12.95" customHeight="1" x14ac:dyDescent="0.25">
      <c r="A39" s="249" t="s">
        <v>45</v>
      </c>
      <c r="B39" s="396">
        <v>3679</v>
      </c>
      <c r="C39" s="397">
        <v>1795</v>
      </c>
      <c r="D39" s="402">
        <v>33340</v>
      </c>
      <c r="E39" s="404">
        <v>106120</v>
      </c>
      <c r="F39" s="402">
        <v>6006</v>
      </c>
      <c r="G39" s="402">
        <v>10984</v>
      </c>
      <c r="H39" s="404">
        <v>15694</v>
      </c>
    </row>
    <row r="40" spans="1:8" ht="12.95" customHeight="1" x14ac:dyDescent="0.2">
      <c r="A40" s="245" t="s">
        <v>46</v>
      </c>
      <c r="B40" s="392">
        <v>86</v>
      </c>
      <c r="C40" s="398">
        <v>36</v>
      </c>
      <c r="D40" s="401">
        <v>986</v>
      </c>
      <c r="E40" s="400">
        <v>2955</v>
      </c>
      <c r="F40" s="401">
        <v>182</v>
      </c>
      <c r="G40" s="401">
        <v>287</v>
      </c>
      <c r="H40" s="400">
        <v>444</v>
      </c>
    </row>
    <row r="41" spans="1:8" ht="12.95" customHeight="1" x14ac:dyDescent="0.2">
      <c r="A41" s="245" t="s">
        <v>47</v>
      </c>
      <c r="B41" s="392">
        <v>41</v>
      </c>
      <c r="C41" s="398">
        <v>32</v>
      </c>
      <c r="D41" s="401">
        <v>481</v>
      </c>
      <c r="E41" s="400">
        <v>1280</v>
      </c>
      <c r="F41" s="401">
        <v>81</v>
      </c>
      <c r="G41" s="401">
        <v>123</v>
      </c>
      <c r="H41" s="400">
        <v>318</v>
      </c>
    </row>
    <row r="42" spans="1:8" ht="12.95" customHeight="1" x14ac:dyDescent="0.2">
      <c r="A42" s="245" t="s">
        <v>211</v>
      </c>
      <c r="B42" s="392">
        <v>722</v>
      </c>
      <c r="C42" s="398">
        <v>273</v>
      </c>
      <c r="D42" s="401">
        <v>4338</v>
      </c>
      <c r="E42" s="400">
        <v>17991</v>
      </c>
      <c r="F42" s="401">
        <v>649</v>
      </c>
      <c r="G42" s="401">
        <v>1549</v>
      </c>
      <c r="H42" s="400">
        <v>1991</v>
      </c>
    </row>
    <row r="43" spans="1:8" ht="12.95" customHeight="1" x14ac:dyDescent="0.2">
      <c r="A43" s="245" t="s">
        <v>48</v>
      </c>
      <c r="B43" s="392">
        <v>895</v>
      </c>
      <c r="C43" s="398">
        <v>302</v>
      </c>
      <c r="D43" s="401">
        <v>10859</v>
      </c>
      <c r="E43" s="400">
        <v>29843</v>
      </c>
      <c r="F43" s="401">
        <v>1879</v>
      </c>
      <c r="G43" s="401">
        <v>3225</v>
      </c>
      <c r="H43" s="400">
        <v>5367</v>
      </c>
    </row>
    <row r="44" spans="1:8" ht="12.95" customHeight="1" x14ac:dyDescent="0.2">
      <c r="A44" s="245" t="s">
        <v>49</v>
      </c>
      <c r="B44" s="392">
        <v>227</v>
      </c>
      <c r="C44" s="398">
        <v>143</v>
      </c>
      <c r="D44" s="401">
        <v>1944</v>
      </c>
      <c r="E44" s="400">
        <v>5572</v>
      </c>
      <c r="F44" s="401">
        <v>385</v>
      </c>
      <c r="G44" s="401">
        <v>628</v>
      </c>
      <c r="H44" s="400">
        <v>1057</v>
      </c>
    </row>
    <row r="45" spans="1:8" ht="12.95" customHeight="1" x14ac:dyDescent="0.2">
      <c r="A45" s="245" t="s">
        <v>50</v>
      </c>
      <c r="B45" s="392">
        <v>594</v>
      </c>
      <c r="C45" s="398">
        <v>282</v>
      </c>
      <c r="D45" s="401">
        <v>5912</v>
      </c>
      <c r="E45" s="400">
        <v>17868</v>
      </c>
      <c r="F45" s="401">
        <v>1031</v>
      </c>
      <c r="G45" s="401">
        <v>2018</v>
      </c>
      <c r="H45" s="400">
        <v>2624</v>
      </c>
    </row>
    <row r="46" spans="1:8" ht="12.95" customHeight="1" x14ac:dyDescent="0.2">
      <c r="A46" s="245" t="s">
        <v>51</v>
      </c>
      <c r="B46" s="392">
        <v>990</v>
      </c>
      <c r="C46" s="398">
        <v>675</v>
      </c>
      <c r="D46" s="401">
        <v>7813</v>
      </c>
      <c r="E46" s="400">
        <v>27086</v>
      </c>
      <c r="F46" s="401">
        <v>1685</v>
      </c>
      <c r="G46" s="401">
        <v>2773</v>
      </c>
      <c r="H46" s="400">
        <v>3513</v>
      </c>
    </row>
    <row r="47" spans="1:8" ht="12.95" customHeight="1" x14ac:dyDescent="0.2">
      <c r="A47" s="245" t="s">
        <v>213</v>
      </c>
      <c r="B47" s="392">
        <v>124</v>
      </c>
      <c r="C47" s="398">
        <v>52</v>
      </c>
      <c r="D47" s="401">
        <v>1007</v>
      </c>
      <c r="E47" s="400">
        <v>3525</v>
      </c>
      <c r="F47" s="401">
        <v>114</v>
      </c>
      <c r="G47" s="401">
        <v>381</v>
      </c>
      <c r="H47" s="400">
        <v>380</v>
      </c>
    </row>
    <row r="48" spans="1:8" s="8" customFormat="1" ht="12.95" customHeight="1" x14ac:dyDescent="0.25">
      <c r="A48" s="250" t="s">
        <v>52</v>
      </c>
      <c r="B48" s="396">
        <v>708</v>
      </c>
      <c r="C48" s="397">
        <v>368</v>
      </c>
      <c r="D48" s="402">
        <v>11635</v>
      </c>
      <c r="E48" s="404">
        <v>40399</v>
      </c>
      <c r="F48" s="402">
        <v>3168</v>
      </c>
      <c r="G48" s="402">
        <v>3328</v>
      </c>
      <c r="H48" s="404">
        <v>5063</v>
      </c>
    </row>
    <row r="49" spans="1:8" ht="12.95" customHeight="1" x14ac:dyDescent="0.2">
      <c r="A49" s="245" t="s">
        <v>53</v>
      </c>
      <c r="B49" s="392">
        <v>148</v>
      </c>
      <c r="C49" s="398">
        <v>75</v>
      </c>
      <c r="D49" s="401">
        <v>2241</v>
      </c>
      <c r="E49" s="400">
        <v>6422</v>
      </c>
      <c r="F49" s="401">
        <v>1670</v>
      </c>
      <c r="G49" s="401">
        <v>607</v>
      </c>
      <c r="H49" s="400">
        <v>1339</v>
      </c>
    </row>
    <row r="50" spans="1:8" ht="12.95" customHeight="1" x14ac:dyDescent="0.2">
      <c r="A50" s="245" t="s">
        <v>54</v>
      </c>
      <c r="B50" s="392">
        <v>32</v>
      </c>
      <c r="C50" s="398">
        <v>13</v>
      </c>
      <c r="D50" s="401">
        <v>254</v>
      </c>
      <c r="E50" s="400">
        <v>707</v>
      </c>
      <c r="F50" s="401">
        <v>25</v>
      </c>
      <c r="G50" s="401">
        <v>23</v>
      </c>
      <c r="H50" s="400">
        <v>110</v>
      </c>
    </row>
    <row r="51" spans="1:8" ht="12.95" customHeight="1" x14ac:dyDescent="0.2">
      <c r="A51" s="245" t="s">
        <v>55</v>
      </c>
      <c r="B51" s="392">
        <v>100</v>
      </c>
      <c r="C51" s="398">
        <v>62</v>
      </c>
      <c r="D51" s="401">
        <v>1146</v>
      </c>
      <c r="E51" s="400">
        <v>4013</v>
      </c>
      <c r="F51" s="401">
        <v>206</v>
      </c>
      <c r="G51" s="401">
        <v>362</v>
      </c>
      <c r="H51" s="400">
        <v>505</v>
      </c>
    </row>
    <row r="52" spans="1:8" ht="12.95" customHeight="1" x14ac:dyDescent="0.2">
      <c r="A52" s="245" t="s">
        <v>56</v>
      </c>
      <c r="B52" s="392">
        <v>21</v>
      </c>
      <c r="C52" s="398">
        <v>10</v>
      </c>
      <c r="D52" s="401">
        <v>632</v>
      </c>
      <c r="E52" s="400">
        <v>2103</v>
      </c>
      <c r="F52" s="401">
        <v>132</v>
      </c>
      <c r="G52" s="401">
        <v>201</v>
      </c>
      <c r="H52" s="400">
        <v>293</v>
      </c>
    </row>
    <row r="53" spans="1:8" ht="12.95" customHeight="1" x14ac:dyDescent="0.2">
      <c r="A53" s="245" t="s">
        <v>57</v>
      </c>
      <c r="B53" s="392">
        <v>62</v>
      </c>
      <c r="C53" s="398">
        <v>39</v>
      </c>
      <c r="D53" s="401">
        <v>1135</v>
      </c>
      <c r="E53" s="400">
        <v>4673</v>
      </c>
      <c r="F53" s="401">
        <v>206</v>
      </c>
      <c r="G53" s="401">
        <v>474</v>
      </c>
      <c r="H53" s="400">
        <v>430</v>
      </c>
    </row>
    <row r="54" spans="1:8" ht="12.95" customHeight="1" x14ac:dyDescent="0.2">
      <c r="A54" s="245" t="s">
        <v>58</v>
      </c>
      <c r="B54" s="392">
        <v>110</v>
      </c>
      <c r="C54" s="398">
        <v>35</v>
      </c>
      <c r="D54" s="401">
        <v>1166</v>
      </c>
      <c r="E54" s="400">
        <v>3755</v>
      </c>
      <c r="F54" s="401">
        <v>146</v>
      </c>
      <c r="G54" s="401">
        <v>190</v>
      </c>
      <c r="H54" s="400">
        <v>340</v>
      </c>
    </row>
    <row r="55" spans="1:8" s="8" customFormat="1" ht="12.95" customHeight="1" x14ac:dyDescent="0.25">
      <c r="A55" s="245" t="s">
        <v>59</v>
      </c>
      <c r="B55" s="392">
        <v>235</v>
      </c>
      <c r="C55" s="398">
        <v>134</v>
      </c>
      <c r="D55" s="401">
        <v>5061</v>
      </c>
      <c r="E55" s="400">
        <v>18726</v>
      </c>
      <c r="F55" s="401">
        <v>783</v>
      </c>
      <c r="G55" s="401">
        <v>1471</v>
      </c>
      <c r="H55" s="400">
        <v>2046</v>
      </c>
    </row>
    <row r="56" spans="1:8" s="8" customFormat="1" ht="12.95" customHeight="1" x14ac:dyDescent="0.25">
      <c r="A56" s="249" t="s">
        <v>60</v>
      </c>
      <c r="B56" s="396">
        <v>7354</v>
      </c>
      <c r="C56" s="397">
        <v>1755</v>
      </c>
      <c r="D56" s="402">
        <v>57965</v>
      </c>
      <c r="E56" s="404">
        <v>184546</v>
      </c>
      <c r="F56" s="402">
        <v>14610</v>
      </c>
      <c r="G56" s="402">
        <v>21721</v>
      </c>
      <c r="H56" s="404">
        <v>38523</v>
      </c>
    </row>
    <row r="57" spans="1:8" ht="12.95" customHeight="1" x14ac:dyDescent="0.2">
      <c r="A57" s="245" t="s">
        <v>61</v>
      </c>
      <c r="B57" s="392">
        <v>998</v>
      </c>
      <c r="C57" s="398">
        <v>288</v>
      </c>
      <c r="D57" s="401">
        <v>6901</v>
      </c>
      <c r="E57" s="400">
        <v>21677</v>
      </c>
      <c r="F57" s="401">
        <v>3006</v>
      </c>
      <c r="G57" s="401">
        <v>2574</v>
      </c>
      <c r="H57" s="400">
        <v>5286</v>
      </c>
    </row>
    <row r="58" spans="1:8" ht="12.95" customHeight="1" x14ac:dyDescent="0.2">
      <c r="A58" s="245" t="s">
        <v>62</v>
      </c>
      <c r="B58" s="392">
        <v>62</v>
      </c>
      <c r="C58" s="398">
        <v>34</v>
      </c>
      <c r="D58" s="401">
        <v>1296</v>
      </c>
      <c r="E58" s="400">
        <v>3702</v>
      </c>
      <c r="F58" s="401">
        <v>389</v>
      </c>
      <c r="G58" s="401">
        <v>550</v>
      </c>
      <c r="H58" s="400">
        <v>1139</v>
      </c>
    </row>
    <row r="59" spans="1:8" ht="12.95" customHeight="1" x14ac:dyDescent="0.2">
      <c r="A59" s="245" t="s">
        <v>63</v>
      </c>
      <c r="B59" s="392">
        <v>105</v>
      </c>
      <c r="C59" s="398">
        <v>25</v>
      </c>
      <c r="D59" s="401">
        <v>1409</v>
      </c>
      <c r="E59" s="400">
        <v>3472</v>
      </c>
      <c r="F59" s="401">
        <v>431</v>
      </c>
      <c r="G59" s="401">
        <v>548</v>
      </c>
      <c r="H59" s="400">
        <v>902</v>
      </c>
    </row>
    <row r="60" spans="1:8" ht="12.95" customHeight="1" x14ac:dyDescent="0.2">
      <c r="A60" s="245" t="s">
        <v>64</v>
      </c>
      <c r="B60" s="392">
        <v>585</v>
      </c>
      <c r="C60" s="398">
        <v>153</v>
      </c>
      <c r="D60" s="401">
        <v>7630</v>
      </c>
      <c r="E60" s="400">
        <v>23248</v>
      </c>
      <c r="F60" s="401">
        <v>1577</v>
      </c>
      <c r="G60" s="401">
        <v>1955</v>
      </c>
      <c r="H60" s="400">
        <v>3559</v>
      </c>
    </row>
    <row r="61" spans="1:8" ht="12.95" customHeight="1" x14ac:dyDescent="0.2">
      <c r="A61" s="245" t="s">
        <v>65</v>
      </c>
      <c r="B61" s="392">
        <v>286</v>
      </c>
      <c r="C61" s="398">
        <v>100</v>
      </c>
      <c r="D61" s="401">
        <v>2878</v>
      </c>
      <c r="E61" s="400">
        <v>8150</v>
      </c>
      <c r="F61" s="401">
        <v>846</v>
      </c>
      <c r="G61" s="401">
        <v>1289</v>
      </c>
      <c r="H61" s="400">
        <v>2164</v>
      </c>
    </row>
    <row r="62" spans="1:8" ht="12.95" customHeight="1" x14ac:dyDescent="0.2">
      <c r="A62" s="245" t="s">
        <v>66</v>
      </c>
      <c r="B62" s="392">
        <v>145</v>
      </c>
      <c r="C62" s="398">
        <v>60</v>
      </c>
      <c r="D62" s="401">
        <v>2050</v>
      </c>
      <c r="E62" s="400">
        <v>5706</v>
      </c>
      <c r="F62" s="401">
        <v>859</v>
      </c>
      <c r="G62" s="401">
        <v>1046</v>
      </c>
      <c r="H62" s="400">
        <v>2192</v>
      </c>
    </row>
    <row r="63" spans="1:8" ht="12.95" customHeight="1" x14ac:dyDescent="0.2">
      <c r="A63" s="245" t="s">
        <v>67</v>
      </c>
      <c r="B63" s="392">
        <v>1121</v>
      </c>
      <c r="C63" s="398">
        <v>219</v>
      </c>
      <c r="D63" s="401">
        <v>5150</v>
      </c>
      <c r="E63" s="400">
        <v>18220</v>
      </c>
      <c r="F63" s="401">
        <v>1101</v>
      </c>
      <c r="G63" s="401">
        <v>2354</v>
      </c>
      <c r="H63" s="400">
        <v>3904</v>
      </c>
    </row>
    <row r="64" spans="1:8" ht="12.95" customHeight="1" x14ac:dyDescent="0.2">
      <c r="A64" s="245" t="s">
        <v>68</v>
      </c>
      <c r="B64" s="392">
        <v>109</v>
      </c>
      <c r="C64" s="398">
        <v>55</v>
      </c>
      <c r="D64" s="401">
        <v>3062</v>
      </c>
      <c r="E64" s="400">
        <v>9295</v>
      </c>
      <c r="F64" s="401">
        <v>654</v>
      </c>
      <c r="G64" s="401">
        <v>940</v>
      </c>
      <c r="H64" s="400">
        <v>1861</v>
      </c>
    </row>
    <row r="65" spans="1:8" ht="12.95" customHeight="1" x14ac:dyDescent="0.2">
      <c r="A65" s="245" t="s">
        <v>69</v>
      </c>
      <c r="B65" s="392">
        <v>479</v>
      </c>
      <c r="C65" s="398">
        <v>93</v>
      </c>
      <c r="D65" s="401">
        <v>6198</v>
      </c>
      <c r="E65" s="400">
        <v>21040</v>
      </c>
      <c r="F65" s="401">
        <v>1401</v>
      </c>
      <c r="G65" s="401">
        <v>2897</v>
      </c>
      <c r="H65" s="400">
        <v>3673</v>
      </c>
    </row>
    <row r="66" spans="1:8" ht="12.95" customHeight="1" x14ac:dyDescent="0.2">
      <c r="A66" s="245" t="s">
        <v>70</v>
      </c>
      <c r="B66" s="392">
        <v>689</v>
      </c>
      <c r="C66" s="398">
        <v>154</v>
      </c>
      <c r="D66" s="401">
        <v>4463</v>
      </c>
      <c r="E66" s="400">
        <v>12109</v>
      </c>
      <c r="F66" s="401">
        <v>896</v>
      </c>
      <c r="G66" s="401">
        <v>1532</v>
      </c>
      <c r="H66" s="400">
        <v>2499</v>
      </c>
    </row>
    <row r="67" spans="1:8" ht="12.95" customHeight="1" x14ac:dyDescent="0.2">
      <c r="A67" s="245" t="s">
        <v>71</v>
      </c>
      <c r="B67" s="392">
        <v>134</v>
      </c>
      <c r="C67" s="398">
        <v>49</v>
      </c>
      <c r="D67" s="401">
        <v>2712</v>
      </c>
      <c r="E67" s="400">
        <v>10982</v>
      </c>
      <c r="F67" s="401">
        <v>876</v>
      </c>
      <c r="G67" s="401">
        <v>1181</v>
      </c>
      <c r="H67" s="400">
        <v>1757</v>
      </c>
    </row>
    <row r="68" spans="1:8" ht="12.95" customHeight="1" x14ac:dyDescent="0.2">
      <c r="A68" s="245" t="s">
        <v>72</v>
      </c>
      <c r="B68" s="392">
        <v>1611</v>
      </c>
      <c r="C68" s="398">
        <v>291</v>
      </c>
      <c r="D68" s="401">
        <v>6759</v>
      </c>
      <c r="E68" s="400">
        <v>18882</v>
      </c>
      <c r="F68" s="401">
        <v>896</v>
      </c>
      <c r="G68" s="401">
        <v>2104</v>
      </c>
      <c r="H68" s="400">
        <v>5197</v>
      </c>
    </row>
    <row r="69" spans="1:8" ht="12.95" customHeight="1" x14ac:dyDescent="0.2">
      <c r="A69" s="407" t="s">
        <v>73</v>
      </c>
      <c r="B69" s="392">
        <v>548</v>
      </c>
      <c r="C69" s="398">
        <v>113</v>
      </c>
      <c r="D69" s="401">
        <v>4655</v>
      </c>
      <c r="E69" s="400">
        <v>17833</v>
      </c>
      <c r="F69" s="401">
        <v>1218</v>
      </c>
      <c r="G69" s="401">
        <v>1957</v>
      </c>
      <c r="H69" s="400">
        <v>2717</v>
      </c>
    </row>
    <row r="70" spans="1:8" s="8" customFormat="1" ht="12.95" customHeight="1" x14ac:dyDescent="0.25">
      <c r="A70" s="245" t="s">
        <v>74</v>
      </c>
      <c r="B70" s="392">
        <v>482</v>
      </c>
      <c r="C70" s="398">
        <v>121</v>
      </c>
      <c r="D70" s="401">
        <v>2802</v>
      </c>
      <c r="E70" s="400">
        <v>10230</v>
      </c>
      <c r="F70" s="401">
        <v>460</v>
      </c>
      <c r="G70" s="401">
        <v>794</v>
      </c>
      <c r="H70" s="400">
        <v>1673</v>
      </c>
    </row>
    <row r="71" spans="1:8" s="8" customFormat="1" ht="12.95" customHeight="1" x14ac:dyDescent="0.25">
      <c r="A71" s="249" t="s">
        <v>75</v>
      </c>
      <c r="B71" s="396">
        <v>5350</v>
      </c>
      <c r="C71" s="397">
        <v>1392</v>
      </c>
      <c r="D71" s="402">
        <v>24476</v>
      </c>
      <c r="E71" s="404">
        <v>69614</v>
      </c>
      <c r="F71" s="402">
        <v>5514</v>
      </c>
      <c r="G71" s="402">
        <v>8173</v>
      </c>
      <c r="H71" s="404">
        <v>16539</v>
      </c>
    </row>
    <row r="72" spans="1:8" ht="12.95" customHeight="1" x14ac:dyDescent="0.2">
      <c r="A72" s="245" t="s">
        <v>76</v>
      </c>
      <c r="B72" s="392">
        <v>382</v>
      </c>
      <c r="C72" s="398">
        <v>186</v>
      </c>
      <c r="D72" s="401">
        <v>2210</v>
      </c>
      <c r="E72" s="400">
        <v>5253</v>
      </c>
      <c r="F72" s="401">
        <v>841</v>
      </c>
      <c r="G72" s="401">
        <v>702</v>
      </c>
      <c r="H72" s="400">
        <v>1353</v>
      </c>
    </row>
    <row r="73" spans="1:8" ht="12.95" customHeight="1" x14ac:dyDescent="0.2">
      <c r="A73" s="245" t="s">
        <v>77</v>
      </c>
      <c r="B73" s="392">
        <v>2238</v>
      </c>
      <c r="C73" s="398">
        <v>552</v>
      </c>
      <c r="D73" s="401">
        <v>9606</v>
      </c>
      <c r="E73" s="400">
        <v>29367</v>
      </c>
      <c r="F73" s="401">
        <v>1951</v>
      </c>
      <c r="G73" s="401">
        <v>3618</v>
      </c>
      <c r="H73" s="400">
        <v>6522</v>
      </c>
    </row>
    <row r="74" spans="1:8" ht="12.95" customHeight="1" x14ac:dyDescent="0.2">
      <c r="A74" s="245" t="s">
        <v>78</v>
      </c>
      <c r="B74" s="392">
        <v>1226</v>
      </c>
      <c r="C74" s="398">
        <v>232</v>
      </c>
      <c r="D74" s="401">
        <v>4303</v>
      </c>
      <c r="E74" s="400">
        <v>13386</v>
      </c>
      <c r="F74" s="401">
        <v>1075</v>
      </c>
      <c r="G74" s="401">
        <v>1530</v>
      </c>
      <c r="H74" s="400">
        <v>3658</v>
      </c>
    </row>
    <row r="75" spans="1:8" ht="12.95" customHeight="1" x14ac:dyDescent="0.2">
      <c r="A75" s="245" t="s">
        <v>79</v>
      </c>
      <c r="B75" s="392">
        <v>472</v>
      </c>
      <c r="C75" s="398">
        <v>64</v>
      </c>
      <c r="D75" s="401">
        <v>1792</v>
      </c>
      <c r="E75" s="400">
        <v>4158</v>
      </c>
      <c r="F75" s="401">
        <v>322</v>
      </c>
      <c r="G75" s="401">
        <v>655</v>
      </c>
      <c r="H75" s="400">
        <v>1257</v>
      </c>
    </row>
    <row r="76" spans="1:8" ht="12.95" customHeight="1" x14ac:dyDescent="0.2">
      <c r="A76" s="245" t="s">
        <v>80</v>
      </c>
      <c r="B76" s="392">
        <v>83</v>
      </c>
      <c r="C76" s="398">
        <v>24</v>
      </c>
      <c r="D76" s="401">
        <v>505</v>
      </c>
      <c r="E76" s="400">
        <v>1037</v>
      </c>
      <c r="F76" s="401">
        <v>93</v>
      </c>
      <c r="G76" s="401">
        <v>191</v>
      </c>
      <c r="H76" s="400">
        <v>608</v>
      </c>
    </row>
    <row r="77" spans="1:8" s="8" customFormat="1" ht="12.95" customHeight="1" x14ac:dyDescent="0.25">
      <c r="A77" s="408" t="s">
        <v>319</v>
      </c>
      <c r="B77" s="392">
        <v>671</v>
      </c>
      <c r="C77" s="398">
        <v>144</v>
      </c>
      <c r="D77" s="401">
        <v>2006</v>
      </c>
      <c r="E77" s="400">
        <v>8191</v>
      </c>
      <c r="F77" s="401">
        <v>660</v>
      </c>
      <c r="G77" s="401">
        <v>684</v>
      </c>
      <c r="H77" s="400">
        <v>1793</v>
      </c>
    </row>
    <row r="78" spans="1:8" ht="12.95" customHeight="1" x14ac:dyDescent="0.2">
      <c r="A78" s="245" t="s">
        <v>81</v>
      </c>
      <c r="B78" s="392">
        <v>1504</v>
      </c>
      <c r="C78" s="398">
        <v>422</v>
      </c>
      <c r="D78" s="401">
        <v>8357</v>
      </c>
      <c r="E78" s="400">
        <v>21608</v>
      </c>
      <c r="F78" s="401">
        <v>1647</v>
      </c>
      <c r="G78" s="401">
        <v>2323</v>
      </c>
      <c r="H78" s="400">
        <v>5006</v>
      </c>
    </row>
    <row r="79" spans="1:8" s="8" customFormat="1" ht="12.95" customHeight="1" x14ac:dyDescent="0.25">
      <c r="A79" s="249" t="s">
        <v>82</v>
      </c>
      <c r="B79" s="396">
        <v>9135</v>
      </c>
      <c r="C79" s="397">
        <v>2995</v>
      </c>
      <c r="D79" s="402">
        <v>41656</v>
      </c>
      <c r="E79" s="404">
        <v>111910</v>
      </c>
      <c r="F79" s="402">
        <v>11540</v>
      </c>
      <c r="G79" s="402">
        <v>12844</v>
      </c>
      <c r="H79" s="404">
        <v>27403</v>
      </c>
    </row>
    <row r="80" spans="1:8" ht="12.95" customHeight="1" x14ac:dyDescent="0.2">
      <c r="A80" s="245" t="s">
        <v>83</v>
      </c>
      <c r="B80" s="392">
        <v>37</v>
      </c>
      <c r="C80" s="398">
        <v>14</v>
      </c>
      <c r="D80" s="401">
        <v>315</v>
      </c>
      <c r="E80" s="400">
        <v>919</v>
      </c>
      <c r="F80" s="401">
        <v>111</v>
      </c>
      <c r="G80" s="401">
        <v>111</v>
      </c>
      <c r="H80" s="400">
        <v>306</v>
      </c>
    </row>
    <row r="81" spans="1:8" ht="12.95" customHeight="1" x14ac:dyDescent="0.2">
      <c r="A81" s="245" t="s">
        <v>84</v>
      </c>
      <c r="B81" s="392">
        <v>230</v>
      </c>
      <c r="C81" s="398">
        <v>62</v>
      </c>
      <c r="D81" s="401">
        <v>1750</v>
      </c>
      <c r="E81" s="400">
        <v>4640</v>
      </c>
      <c r="F81" s="401">
        <v>661</v>
      </c>
      <c r="G81" s="401">
        <v>671</v>
      </c>
      <c r="H81" s="400">
        <v>1619</v>
      </c>
    </row>
    <row r="82" spans="1:8" ht="12.95" customHeight="1" x14ac:dyDescent="0.2">
      <c r="A82" s="245" t="s">
        <v>85</v>
      </c>
      <c r="B82" s="392">
        <v>163</v>
      </c>
      <c r="C82" s="398">
        <v>147</v>
      </c>
      <c r="D82" s="401">
        <v>377</v>
      </c>
      <c r="E82" s="400">
        <v>1090</v>
      </c>
      <c r="F82" s="401">
        <v>182</v>
      </c>
      <c r="G82" s="401">
        <v>213</v>
      </c>
      <c r="H82" s="400">
        <v>830</v>
      </c>
    </row>
    <row r="83" spans="1:8" ht="12.95" customHeight="1" x14ac:dyDescent="0.2">
      <c r="A83" s="245" t="s">
        <v>86</v>
      </c>
      <c r="B83" s="392">
        <v>106</v>
      </c>
      <c r="C83" s="398">
        <v>49</v>
      </c>
      <c r="D83" s="401">
        <v>1172</v>
      </c>
      <c r="E83" s="400">
        <v>3433</v>
      </c>
      <c r="F83" s="401">
        <v>378</v>
      </c>
      <c r="G83" s="401">
        <v>365</v>
      </c>
      <c r="H83" s="400">
        <v>836</v>
      </c>
    </row>
    <row r="84" spans="1:8" ht="12.95" customHeight="1" x14ac:dyDescent="0.2">
      <c r="A84" s="245" t="s">
        <v>87</v>
      </c>
      <c r="B84" s="392">
        <v>1230</v>
      </c>
      <c r="C84" s="398">
        <v>525</v>
      </c>
      <c r="D84" s="401">
        <v>5290</v>
      </c>
      <c r="E84" s="400">
        <v>13920</v>
      </c>
      <c r="F84" s="401">
        <v>1495</v>
      </c>
      <c r="G84" s="401">
        <v>1461</v>
      </c>
      <c r="H84" s="400">
        <v>2831</v>
      </c>
    </row>
    <row r="85" spans="1:8" ht="12.95" customHeight="1" x14ac:dyDescent="0.2">
      <c r="A85" s="245" t="s">
        <v>88</v>
      </c>
      <c r="B85" s="392">
        <v>252</v>
      </c>
      <c r="C85" s="398">
        <v>107</v>
      </c>
      <c r="D85" s="401">
        <v>2028</v>
      </c>
      <c r="E85" s="400">
        <v>5122</v>
      </c>
      <c r="F85" s="401">
        <v>791</v>
      </c>
      <c r="G85" s="401">
        <v>650</v>
      </c>
      <c r="H85" s="400">
        <v>1906</v>
      </c>
    </row>
    <row r="86" spans="1:8" ht="12.95" customHeight="1" x14ac:dyDescent="0.2">
      <c r="A86" s="245" t="s">
        <v>89</v>
      </c>
      <c r="B86" s="392">
        <v>1018</v>
      </c>
      <c r="C86" s="398">
        <v>433</v>
      </c>
      <c r="D86" s="401">
        <v>6910</v>
      </c>
      <c r="E86" s="400">
        <v>16728</v>
      </c>
      <c r="F86" s="401">
        <v>1659</v>
      </c>
      <c r="G86" s="401">
        <v>2390</v>
      </c>
      <c r="H86" s="400">
        <v>4364</v>
      </c>
    </row>
    <row r="87" spans="1:8" ht="12.95" customHeight="1" x14ac:dyDescent="0.2">
      <c r="A87" s="245" t="s">
        <v>90</v>
      </c>
      <c r="B87" s="392">
        <v>1811</v>
      </c>
      <c r="C87" s="398">
        <v>493</v>
      </c>
      <c r="D87" s="401">
        <v>5105</v>
      </c>
      <c r="E87" s="400">
        <v>15865</v>
      </c>
      <c r="F87" s="401">
        <v>1354</v>
      </c>
      <c r="G87" s="401">
        <v>1496</v>
      </c>
      <c r="H87" s="400">
        <v>3646</v>
      </c>
    </row>
    <row r="88" spans="1:8" ht="12.95" customHeight="1" x14ac:dyDescent="0.2">
      <c r="A88" s="245" t="s">
        <v>91</v>
      </c>
      <c r="B88" s="392">
        <v>1983</v>
      </c>
      <c r="C88" s="398">
        <v>469</v>
      </c>
      <c r="D88" s="401">
        <v>6633</v>
      </c>
      <c r="E88" s="400">
        <v>15304</v>
      </c>
      <c r="F88" s="401">
        <v>1560</v>
      </c>
      <c r="G88" s="401">
        <v>2016</v>
      </c>
      <c r="H88" s="400">
        <v>4100</v>
      </c>
    </row>
    <row r="89" spans="1:8" ht="12.95" customHeight="1" x14ac:dyDescent="0.2">
      <c r="A89" s="245" t="s">
        <v>92</v>
      </c>
      <c r="B89" s="392">
        <v>1442</v>
      </c>
      <c r="C89" s="398">
        <v>423</v>
      </c>
      <c r="D89" s="401">
        <v>6062</v>
      </c>
      <c r="E89" s="400">
        <v>18192</v>
      </c>
      <c r="F89" s="401">
        <v>1340</v>
      </c>
      <c r="G89" s="401">
        <v>1382</v>
      </c>
      <c r="H89" s="400">
        <v>3244</v>
      </c>
    </row>
    <row r="90" spans="1:8" s="8" customFormat="1" ht="12.95" customHeight="1" x14ac:dyDescent="0.25">
      <c r="A90" s="245" t="s">
        <v>93</v>
      </c>
      <c r="B90" s="392">
        <v>635</v>
      </c>
      <c r="C90" s="398">
        <v>232</v>
      </c>
      <c r="D90" s="401">
        <v>3788</v>
      </c>
      <c r="E90" s="400">
        <v>11376</v>
      </c>
      <c r="F90" s="401">
        <v>1367</v>
      </c>
      <c r="G90" s="401">
        <v>1152</v>
      </c>
      <c r="H90" s="400">
        <v>2388</v>
      </c>
    </row>
    <row r="91" spans="1:8" ht="12.95" customHeight="1" x14ac:dyDescent="0.2">
      <c r="A91" s="245" t="s">
        <v>94</v>
      </c>
      <c r="B91" s="392">
        <v>228</v>
      </c>
      <c r="C91" s="398">
        <v>41</v>
      </c>
      <c r="D91" s="401">
        <v>2226</v>
      </c>
      <c r="E91" s="400">
        <v>5321</v>
      </c>
      <c r="F91" s="401">
        <v>642</v>
      </c>
      <c r="G91" s="401">
        <v>937</v>
      </c>
      <c r="H91" s="400">
        <v>1333</v>
      </c>
    </row>
    <row r="92" spans="1:8" s="8" customFormat="1" ht="12.95" customHeight="1" x14ac:dyDescent="0.25">
      <c r="A92" s="249" t="s">
        <v>95</v>
      </c>
      <c r="B92" s="396">
        <v>1529</v>
      </c>
      <c r="C92" s="397">
        <v>903</v>
      </c>
      <c r="D92" s="402">
        <v>12387</v>
      </c>
      <c r="E92" s="404">
        <v>35688</v>
      </c>
      <c r="F92" s="402">
        <v>3261</v>
      </c>
      <c r="G92" s="402">
        <v>4929</v>
      </c>
      <c r="H92" s="404">
        <v>9148</v>
      </c>
    </row>
    <row r="93" spans="1:8" ht="12.95" customHeight="1" x14ac:dyDescent="0.2">
      <c r="A93" s="245" t="s">
        <v>96</v>
      </c>
      <c r="B93" s="392">
        <v>144</v>
      </c>
      <c r="C93" s="398">
        <v>47</v>
      </c>
      <c r="D93" s="401">
        <v>1294</v>
      </c>
      <c r="E93" s="400">
        <v>3544</v>
      </c>
      <c r="F93" s="401">
        <v>258</v>
      </c>
      <c r="G93" s="401">
        <v>366</v>
      </c>
      <c r="H93" s="400">
        <v>1302</v>
      </c>
    </row>
    <row r="94" spans="1:8" ht="12.95" customHeight="1" x14ac:dyDescent="0.2">
      <c r="A94" s="245" t="s">
        <v>97</v>
      </c>
      <c r="B94" s="392">
        <v>42</v>
      </c>
      <c r="C94" s="398">
        <v>25</v>
      </c>
      <c r="D94" s="401">
        <v>575</v>
      </c>
      <c r="E94" s="400">
        <v>1859</v>
      </c>
      <c r="F94" s="401">
        <v>148</v>
      </c>
      <c r="G94" s="401">
        <v>194</v>
      </c>
      <c r="H94" s="400">
        <v>420</v>
      </c>
    </row>
    <row r="95" spans="1:8" ht="12.95" customHeight="1" x14ac:dyDescent="0.2">
      <c r="A95" s="245" t="s">
        <v>98</v>
      </c>
      <c r="B95" s="392">
        <v>698</v>
      </c>
      <c r="C95" s="398">
        <v>438</v>
      </c>
      <c r="D95" s="401">
        <v>4480</v>
      </c>
      <c r="E95" s="400">
        <v>12516</v>
      </c>
      <c r="F95" s="401">
        <v>1083</v>
      </c>
      <c r="G95" s="401">
        <v>1619</v>
      </c>
      <c r="H95" s="400">
        <v>2404</v>
      </c>
    </row>
    <row r="96" spans="1:8" ht="12.95" customHeight="1" x14ac:dyDescent="0.2">
      <c r="A96" s="245" t="s">
        <v>99</v>
      </c>
      <c r="B96" s="392">
        <v>329</v>
      </c>
      <c r="C96" s="398">
        <v>168</v>
      </c>
      <c r="D96" s="401">
        <v>2496</v>
      </c>
      <c r="E96" s="400">
        <v>8620</v>
      </c>
      <c r="F96" s="401">
        <v>652</v>
      </c>
      <c r="G96" s="401">
        <v>1090</v>
      </c>
      <c r="H96" s="400">
        <v>1960</v>
      </c>
    </row>
    <row r="97" spans="1:8" ht="12.95" customHeight="1" x14ac:dyDescent="0.2">
      <c r="A97" s="245" t="s">
        <v>100</v>
      </c>
      <c r="B97" s="392">
        <v>152</v>
      </c>
      <c r="C97" s="398">
        <v>116</v>
      </c>
      <c r="D97" s="401">
        <v>1632</v>
      </c>
      <c r="E97" s="400">
        <v>3988</v>
      </c>
      <c r="F97" s="401">
        <v>464</v>
      </c>
      <c r="G97" s="401">
        <v>774</v>
      </c>
      <c r="H97" s="400">
        <v>1600</v>
      </c>
    </row>
    <row r="98" spans="1:8" ht="12.95" customHeight="1" x14ac:dyDescent="0.2">
      <c r="A98" s="245" t="s">
        <v>101</v>
      </c>
      <c r="B98" s="392">
        <v>14</v>
      </c>
      <c r="C98" s="398">
        <v>4</v>
      </c>
      <c r="D98" s="401">
        <v>292</v>
      </c>
      <c r="E98" s="400">
        <v>714</v>
      </c>
      <c r="F98" s="401">
        <v>72</v>
      </c>
      <c r="G98" s="401">
        <v>95</v>
      </c>
      <c r="H98" s="400">
        <v>268</v>
      </c>
    </row>
    <row r="99" spans="1:8" ht="12.95" customHeight="1" x14ac:dyDescent="0.2">
      <c r="A99" s="245" t="s">
        <v>102</v>
      </c>
      <c r="B99" s="392">
        <v>72</v>
      </c>
      <c r="C99" s="398">
        <v>43</v>
      </c>
      <c r="D99" s="401">
        <v>1155</v>
      </c>
      <c r="E99" s="400">
        <v>2867</v>
      </c>
      <c r="F99" s="401">
        <v>446</v>
      </c>
      <c r="G99" s="401">
        <v>573</v>
      </c>
      <c r="H99" s="400">
        <v>787</v>
      </c>
    </row>
    <row r="100" spans="1:8" ht="12.95" customHeight="1" x14ac:dyDescent="0.2">
      <c r="A100" s="245" t="s">
        <v>103</v>
      </c>
      <c r="B100" s="392">
        <v>62</v>
      </c>
      <c r="C100" s="398">
        <v>51</v>
      </c>
      <c r="D100" s="401">
        <v>385</v>
      </c>
      <c r="E100" s="400">
        <v>1377</v>
      </c>
      <c r="F100" s="401">
        <v>118</v>
      </c>
      <c r="G100" s="401">
        <v>183</v>
      </c>
      <c r="H100" s="400">
        <v>299</v>
      </c>
    </row>
    <row r="101" spans="1:8" ht="12.95" customHeight="1" x14ac:dyDescent="0.2">
      <c r="A101" s="320" t="s">
        <v>104</v>
      </c>
      <c r="B101" s="393">
        <v>16</v>
      </c>
      <c r="C101" s="399">
        <v>11</v>
      </c>
      <c r="D101" s="403">
        <v>78</v>
      </c>
      <c r="E101" s="405">
        <v>203</v>
      </c>
      <c r="F101" s="403">
        <v>20</v>
      </c>
      <c r="G101" s="403">
        <v>35</v>
      </c>
      <c r="H101" s="405">
        <v>108</v>
      </c>
    </row>
    <row r="102" spans="1:8" ht="12.75" customHeight="1" x14ac:dyDescent="0.2"/>
    <row r="103" spans="1:8" ht="12.75" customHeight="1" x14ac:dyDescent="0.2"/>
    <row r="104" spans="1:8" ht="12.75" customHeight="1" x14ac:dyDescent="0.2">
      <c r="B104" s="18"/>
      <c r="C104" s="67"/>
      <c r="D104" s="69"/>
      <c r="E104" s="68"/>
      <c r="F104" s="68"/>
      <c r="G104" s="67"/>
      <c r="H104" s="67"/>
    </row>
    <row r="105" spans="1:8" ht="12.75" customHeight="1" x14ac:dyDescent="0.2">
      <c r="B105" s="18"/>
      <c r="C105" s="67"/>
      <c r="D105" s="69"/>
      <c r="E105" s="68"/>
      <c r="F105" s="68"/>
      <c r="G105" s="67"/>
      <c r="H105" s="67"/>
    </row>
    <row r="106" spans="1:8" ht="12.75" customHeight="1" x14ac:dyDescent="0.2">
      <c r="B106" s="18"/>
      <c r="C106" s="67"/>
      <c r="D106" s="69"/>
      <c r="E106" s="68"/>
      <c r="F106" s="68"/>
      <c r="G106" s="70"/>
      <c r="H106" s="67"/>
    </row>
    <row r="107" spans="1:8" ht="12.75" customHeight="1" x14ac:dyDescent="0.2">
      <c r="B107" s="18"/>
      <c r="C107" s="67"/>
      <c r="D107" s="69"/>
      <c r="E107" s="68"/>
      <c r="F107" s="68"/>
      <c r="G107" s="70"/>
      <c r="H107" s="67"/>
    </row>
    <row r="108" spans="1:8" ht="12.75" customHeight="1" x14ac:dyDescent="0.2">
      <c r="B108" s="18"/>
      <c r="C108" s="67"/>
      <c r="D108" s="69"/>
      <c r="E108" s="68"/>
      <c r="F108" s="68"/>
      <c r="G108" s="70"/>
      <c r="H108" s="67"/>
    </row>
    <row r="109" spans="1:8" ht="12.75" customHeight="1" x14ac:dyDescent="0.2">
      <c r="B109" s="18"/>
      <c r="C109" s="67"/>
      <c r="D109" s="69"/>
      <c r="E109" s="68"/>
      <c r="F109" s="68"/>
      <c r="G109" s="70"/>
      <c r="H109" s="67"/>
    </row>
    <row r="110" spans="1:8" ht="12.75" customHeight="1" x14ac:dyDescent="0.2">
      <c r="B110" s="18"/>
      <c r="C110" s="67"/>
      <c r="D110" s="69"/>
      <c r="E110" s="68"/>
      <c r="F110" s="68"/>
      <c r="G110" s="70"/>
      <c r="H110" s="67"/>
    </row>
    <row r="111" spans="1:8" ht="12.75" customHeight="1" x14ac:dyDescent="0.2">
      <c r="B111" s="18"/>
      <c r="C111" s="67"/>
      <c r="D111" s="69"/>
      <c r="E111" s="68"/>
      <c r="F111" s="68"/>
      <c r="G111" s="70"/>
      <c r="H111" s="67"/>
    </row>
    <row r="112" spans="1:8" ht="12.75" customHeight="1" x14ac:dyDescent="0.2">
      <c r="B112" s="18"/>
      <c r="C112" s="67"/>
      <c r="D112" s="69"/>
      <c r="E112" s="68"/>
      <c r="F112" s="68"/>
      <c r="G112" s="70"/>
      <c r="H112" s="67"/>
    </row>
    <row r="113" spans="1:8" ht="12.75" customHeight="1" x14ac:dyDescent="0.2">
      <c r="A113" s="9"/>
      <c r="B113" s="18"/>
      <c r="C113" s="67"/>
      <c r="D113" s="69"/>
      <c r="E113" s="68"/>
      <c r="F113" s="68"/>
      <c r="G113" s="70"/>
      <c r="H113" s="67"/>
    </row>
    <row r="114" spans="1:8" ht="12.75" customHeight="1" x14ac:dyDescent="0.2">
      <c r="A114" s="9"/>
      <c r="B114" s="18"/>
      <c r="C114" s="67"/>
      <c r="D114" s="69"/>
      <c r="E114" s="68"/>
      <c r="F114" s="68"/>
      <c r="G114" s="70"/>
      <c r="H114" s="67"/>
    </row>
    <row r="115" spans="1:8" ht="12.75" customHeight="1" x14ac:dyDescent="0.2">
      <c r="A115" s="9"/>
      <c r="B115" s="18"/>
      <c r="C115" s="67"/>
      <c r="D115" s="69"/>
      <c r="E115" s="18"/>
      <c r="F115" s="68"/>
      <c r="G115" s="70"/>
      <c r="H115" s="67"/>
    </row>
    <row r="116" spans="1:8" ht="12.75" customHeight="1" x14ac:dyDescent="0.2">
      <c r="A116" s="9"/>
      <c r="B116" s="18"/>
      <c r="C116" s="67"/>
      <c r="D116" s="69"/>
      <c r="E116" s="18"/>
      <c r="F116" s="68"/>
      <c r="G116" s="70"/>
      <c r="H116" s="67"/>
    </row>
    <row r="117" spans="1:8" ht="12.75" customHeight="1" x14ac:dyDescent="0.2">
      <c r="A117" s="9"/>
      <c r="B117" s="18"/>
      <c r="C117" s="67"/>
      <c r="D117" s="69"/>
      <c r="E117" s="18"/>
      <c r="F117" s="18"/>
      <c r="G117" s="70"/>
      <c r="H117" s="67"/>
    </row>
    <row r="118" spans="1:8" ht="12.75" customHeight="1" x14ac:dyDescent="0.2">
      <c r="A118" s="9"/>
      <c r="C118" s="67"/>
      <c r="D118" s="71"/>
      <c r="G118" s="70"/>
      <c r="H118" s="67"/>
    </row>
    <row r="119" spans="1:8" ht="12.75" customHeight="1" x14ac:dyDescent="0.2">
      <c r="A119" s="9"/>
      <c r="C119" s="67"/>
      <c r="D119" s="71"/>
      <c r="G119" s="70"/>
      <c r="H119" s="67"/>
    </row>
    <row r="120" spans="1:8" ht="12.75" customHeight="1" x14ac:dyDescent="0.2">
      <c r="A120" s="9"/>
      <c r="C120" s="67"/>
      <c r="D120" s="71"/>
      <c r="G120" s="70"/>
      <c r="H120" s="67"/>
    </row>
    <row r="121" spans="1:8" x14ac:dyDescent="0.2">
      <c r="A121" s="9"/>
      <c r="C121" s="67"/>
      <c r="D121" s="71"/>
      <c r="G121" s="70"/>
      <c r="H121" s="67"/>
    </row>
    <row r="122" spans="1:8" x14ac:dyDescent="0.2">
      <c r="A122" s="9"/>
      <c r="C122" s="67"/>
      <c r="D122" s="71"/>
      <c r="G122" s="70"/>
      <c r="H122" s="67"/>
    </row>
    <row r="123" spans="1:8" x14ac:dyDescent="0.2">
      <c r="A123" s="9"/>
      <c r="C123" s="67"/>
      <c r="D123" s="71"/>
      <c r="G123" s="70"/>
      <c r="H123" s="67"/>
    </row>
    <row r="124" spans="1:8" x14ac:dyDescent="0.2">
      <c r="A124" s="9"/>
      <c r="C124" s="67"/>
      <c r="D124" s="71"/>
      <c r="G124" s="70"/>
      <c r="H124" s="67"/>
    </row>
    <row r="125" spans="1:8" x14ac:dyDescent="0.2">
      <c r="A125" s="9"/>
      <c r="C125" s="67"/>
      <c r="D125" s="71"/>
      <c r="G125" s="70"/>
      <c r="H125" s="67"/>
    </row>
    <row r="126" spans="1:8" x14ac:dyDescent="0.2">
      <c r="A126" s="9"/>
      <c r="C126" s="67"/>
      <c r="D126" s="71"/>
      <c r="G126" s="70"/>
      <c r="H126" s="67"/>
    </row>
    <row r="127" spans="1:8" x14ac:dyDescent="0.2">
      <c r="A127" s="9"/>
      <c r="C127" s="67"/>
      <c r="D127" s="71"/>
      <c r="G127" s="70"/>
      <c r="H127" s="67"/>
    </row>
    <row r="128" spans="1:8" x14ac:dyDescent="0.2">
      <c r="A128" s="9"/>
      <c r="C128" s="67"/>
      <c r="D128" s="71"/>
      <c r="G128" s="70"/>
      <c r="H128" s="67"/>
    </row>
    <row r="129" spans="1:8" x14ac:dyDescent="0.2">
      <c r="A129" s="9"/>
      <c r="B129" s="9"/>
      <c r="C129" s="9"/>
      <c r="D129" s="71"/>
      <c r="G129" s="70"/>
      <c r="H129" s="67"/>
    </row>
    <row r="130" spans="1:8" x14ac:dyDescent="0.2">
      <c r="A130" s="9"/>
      <c r="B130" s="9"/>
      <c r="C130" s="9"/>
      <c r="D130" s="71"/>
      <c r="G130" s="70"/>
      <c r="H130" s="67"/>
    </row>
    <row r="131" spans="1:8" x14ac:dyDescent="0.2">
      <c r="A131" s="9"/>
      <c r="B131" s="9"/>
      <c r="C131" s="9"/>
      <c r="D131" s="71"/>
      <c r="G131" s="70"/>
      <c r="H131" s="67"/>
    </row>
    <row r="132" spans="1:8" x14ac:dyDescent="0.2">
      <c r="A132" s="9"/>
      <c r="B132" s="9"/>
      <c r="C132" s="9"/>
      <c r="D132" s="71"/>
      <c r="G132" s="70"/>
      <c r="H132" s="67"/>
    </row>
    <row r="133" spans="1:8" x14ac:dyDescent="0.2">
      <c r="A133" s="9"/>
      <c r="B133" s="9"/>
      <c r="C133" s="9"/>
      <c r="D133" s="71"/>
      <c r="G133" s="70"/>
      <c r="H133" s="67"/>
    </row>
    <row r="134" spans="1:8" x14ac:dyDescent="0.2">
      <c r="A134" s="9"/>
      <c r="B134" s="9"/>
      <c r="C134" s="9"/>
      <c r="D134" s="71"/>
      <c r="G134" s="70"/>
      <c r="H134" s="67"/>
    </row>
    <row r="135" spans="1:8" x14ac:dyDescent="0.2">
      <c r="A135" s="9"/>
      <c r="B135" s="9"/>
      <c r="C135" s="9"/>
      <c r="D135" s="71"/>
      <c r="G135" s="70"/>
      <c r="H135" s="67"/>
    </row>
    <row r="136" spans="1:8" x14ac:dyDescent="0.2">
      <c r="A136" s="9"/>
      <c r="B136" s="9"/>
      <c r="C136" s="9"/>
      <c r="D136" s="71"/>
      <c r="G136" s="70"/>
      <c r="H136" s="67"/>
    </row>
    <row r="137" spans="1:8" x14ac:dyDescent="0.2">
      <c r="A137" s="9"/>
      <c r="B137" s="9"/>
      <c r="C137" s="9"/>
      <c r="D137" s="71"/>
      <c r="G137" s="70"/>
      <c r="H137" s="67"/>
    </row>
    <row r="138" spans="1:8" x14ac:dyDescent="0.2">
      <c r="A138" s="9"/>
      <c r="B138" s="9"/>
      <c r="C138" s="9"/>
      <c r="D138" s="71"/>
      <c r="G138" s="70"/>
      <c r="H138" s="67"/>
    </row>
    <row r="139" spans="1:8" x14ac:dyDescent="0.2">
      <c r="A139" s="9"/>
      <c r="B139" s="9"/>
      <c r="C139" s="9"/>
      <c r="D139" s="71"/>
      <c r="G139" s="70"/>
    </row>
    <row r="140" spans="1:8" x14ac:dyDescent="0.2">
      <c r="A140" s="9"/>
      <c r="B140" s="9"/>
      <c r="C140" s="9"/>
      <c r="D140" s="71"/>
      <c r="G140" s="70"/>
    </row>
    <row r="141" spans="1:8" x14ac:dyDescent="0.2">
      <c r="A141" s="9"/>
      <c r="B141" s="9"/>
      <c r="C141" s="9"/>
      <c r="D141" s="71"/>
      <c r="G141" s="70"/>
    </row>
    <row r="142" spans="1:8" x14ac:dyDescent="0.2">
      <c r="A142" s="9"/>
      <c r="B142" s="9"/>
      <c r="C142" s="9"/>
      <c r="D142" s="71"/>
      <c r="G142" s="70"/>
    </row>
    <row r="143" spans="1:8" x14ac:dyDescent="0.2">
      <c r="A143" s="9"/>
      <c r="B143" s="9"/>
      <c r="C143" s="9"/>
      <c r="D143" s="71"/>
      <c r="G143" s="70"/>
    </row>
    <row r="144" spans="1:8" x14ac:dyDescent="0.2">
      <c r="A144" s="9"/>
      <c r="B144" s="9"/>
      <c r="C144" s="9"/>
      <c r="D144" s="71"/>
      <c r="G144" s="70"/>
    </row>
    <row r="145" spans="1:8" x14ac:dyDescent="0.2">
      <c r="A145" s="9"/>
      <c r="B145" s="9"/>
      <c r="C145" s="9"/>
      <c r="D145" s="71"/>
      <c r="G145" s="70"/>
      <c r="H145" s="9"/>
    </row>
    <row r="146" spans="1:8" x14ac:dyDescent="0.2">
      <c r="A146" s="9"/>
      <c r="B146" s="9"/>
      <c r="C146" s="9"/>
      <c r="D146" s="71"/>
      <c r="G146" s="70"/>
      <c r="H146" s="9"/>
    </row>
    <row r="147" spans="1:8" x14ac:dyDescent="0.2">
      <c r="A147" s="9"/>
      <c r="B147" s="9"/>
      <c r="C147" s="9"/>
      <c r="D147" s="71"/>
      <c r="G147" s="70"/>
      <c r="H147" s="9"/>
    </row>
    <row r="148" spans="1:8" x14ac:dyDescent="0.2">
      <c r="A148" s="9"/>
      <c r="B148" s="9"/>
      <c r="C148" s="9"/>
      <c r="D148" s="71"/>
      <c r="G148" s="70"/>
      <c r="H148" s="9"/>
    </row>
    <row r="149" spans="1:8" x14ac:dyDescent="0.2">
      <c r="A149" s="9"/>
      <c r="B149" s="9"/>
      <c r="C149" s="9"/>
      <c r="D149" s="71"/>
      <c r="G149" s="70"/>
      <c r="H149" s="9"/>
    </row>
    <row r="150" spans="1:8" x14ac:dyDescent="0.2">
      <c r="A150" s="9"/>
      <c r="B150" s="9"/>
      <c r="C150" s="9"/>
      <c r="D150" s="71"/>
      <c r="G150" s="70"/>
      <c r="H150" s="9"/>
    </row>
    <row r="151" spans="1:8" x14ac:dyDescent="0.2">
      <c r="A151" s="9"/>
      <c r="B151" s="9"/>
      <c r="C151" s="9"/>
      <c r="D151" s="71"/>
      <c r="G151" s="70"/>
      <c r="H151" s="9"/>
    </row>
    <row r="152" spans="1:8" x14ac:dyDescent="0.2">
      <c r="A152" s="9"/>
      <c r="B152" s="9"/>
      <c r="C152" s="9"/>
      <c r="D152" s="71"/>
      <c r="G152" s="70"/>
      <c r="H152" s="9"/>
    </row>
    <row r="153" spans="1:8" x14ac:dyDescent="0.2">
      <c r="A153" s="9"/>
      <c r="B153" s="9"/>
      <c r="C153" s="9"/>
      <c r="D153" s="71"/>
      <c r="G153" s="70"/>
      <c r="H153" s="9"/>
    </row>
    <row r="154" spans="1:8" x14ac:dyDescent="0.2">
      <c r="A154" s="9"/>
      <c r="B154" s="9"/>
      <c r="C154" s="9"/>
      <c r="D154" s="71"/>
      <c r="G154" s="70"/>
      <c r="H154" s="9"/>
    </row>
    <row r="155" spans="1:8" x14ac:dyDescent="0.2">
      <c r="A155" s="9"/>
      <c r="B155" s="9"/>
      <c r="C155" s="9"/>
      <c r="D155" s="71"/>
      <c r="G155" s="70"/>
      <c r="H155" s="9"/>
    </row>
    <row r="156" spans="1:8" x14ac:dyDescent="0.2">
      <c r="A156" s="9"/>
      <c r="B156" s="9"/>
      <c r="C156" s="9"/>
      <c r="D156" s="71"/>
      <c r="G156" s="70"/>
      <c r="H156" s="9"/>
    </row>
    <row r="157" spans="1:8" x14ac:dyDescent="0.2">
      <c r="A157" s="9"/>
      <c r="B157" s="9"/>
      <c r="C157" s="9"/>
      <c r="D157" s="71"/>
      <c r="G157" s="70"/>
      <c r="H157" s="9"/>
    </row>
    <row r="158" spans="1:8" x14ac:dyDescent="0.2">
      <c r="A158" s="9"/>
      <c r="B158" s="9"/>
      <c r="C158" s="9"/>
      <c r="D158" s="71"/>
      <c r="G158" s="70"/>
      <c r="H158" s="9"/>
    </row>
    <row r="159" spans="1:8" x14ac:dyDescent="0.2">
      <c r="A159" s="9"/>
      <c r="B159" s="9"/>
      <c r="C159" s="9"/>
      <c r="D159" s="71"/>
      <c r="G159" s="70"/>
      <c r="H159" s="9"/>
    </row>
    <row r="160" spans="1:8" x14ac:dyDescent="0.2">
      <c r="A160" s="9"/>
      <c r="B160" s="9"/>
      <c r="C160" s="9"/>
      <c r="D160" s="71"/>
      <c r="G160" s="70"/>
      <c r="H160" s="9"/>
    </row>
    <row r="161" spans="1:8" x14ac:dyDescent="0.2">
      <c r="A161" s="9"/>
      <c r="B161" s="9"/>
      <c r="C161" s="9"/>
      <c r="D161" s="71"/>
      <c r="G161" s="70"/>
      <c r="H161" s="9"/>
    </row>
    <row r="162" spans="1:8" x14ac:dyDescent="0.2">
      <c r="A162" s="9"/>
      <c r="B162" s="9"/>
      <c r="C162" s="9"/>
      <c r="D162" s="71"/>
      <c r="G162" s="70"/>
      <c r="H162" s="9"/>
    </row>
    <row r="163" spans="1:8" x14ac:dyDescent="0.2">
      <c r="A163" s="9"/>
      <c r="B163" s="9"/>
      <c r="C163" s="9"/>
      <c r="D163" s="71"/>
      <c r="G163" s="70"/>
      <c r="H163" s="9"/>
    </row>
    <row r="164" spans="1:8" x14ac:dyDescent="0.2">
      <c r="A164" s="9"/>
      <c r="B164" s="9"/>
      <c r="C164" s="9"/>
      <c r="D164" s="71"/>
      <c r="G164" s="70"/>
      <c r="H164" s="9"/>
    </row>
    <row r="165" spans="1:8" x14ac:dyDescent="0.2">
      <c r="A165" s="9"/>
      <c r="B165" s="9"/>
      <c r="C165" s="9"/>
      <c r="D165" s="71"/>
      <c r="G165" s="70"/>
      <c r="H165" s="9"/>
    </row>
    <row r="166" spans="1:8" x14ac:dyDescent="0.2">
      <c r="A166" s="9"/>
      <c r="B166" s="9"/>
      <c r="C166" s="9"/>
      <c r="D166" s="71"/>
      <c r="G166" s="70"/>
      <c r="H166" s="9"/>
    </row>
    <row r="167" spans="1:8" x14ac:dyDescent="0.2">
      <c r="A167" s="9"/>
      <c r="B167" s="9"/>
      <c r="C167" s="9"/>
      <c r="D167" s="71"/>
      <c r="G167" s="70"/>
      <c r="H167" s="9"/>
    </row>
    <row r="168" spans="1:8" x14ac:dyDescent="0.2">
      <c r="A168" s="9"/>
      <c r="B168" s="9"/>
      <c r="C168" s="9"/>
      <c r="D168" s="71"/>
      <c r="G168" s="70"/>
      <c r="H168" s="9"/>
    </row>
    <row r="169" spans="1:8" x14ac:dyDescent="0.2">
      <c r="A169" s="9"/>
      <c r="B169" s="9"/>
      <c r="C169" s="9"/>
      <c r="D169" s="71"/>
      <c r="G169" s="70"/>
      <c r="H169" s="9"/>
    </row>
    <row r="170" spans="1:8" x14ac:dyDescent="0.2">
      <c r="A170" s="9"/>
      <c r="B170" s="9"/>
      <c r="C170" s="9"/>
      <c r="D170" s="71"/>
      <c r="G170" s="70"/>
      <c r="H170" s="9"/>
    </row>
    <row r="171" spans="1:8" x14ac:dyDescent="0.2">
      <c r="A171" s="9"/>
      <c r="B171" s="9"/>
      <c r="C171" s="9"/>
      <c r="D171" s="71"/>
      <c r="G171" s="70"/>
      <c r="H171" s="9"/>
    </row>
    <row r="172" spans="1:8" x14ac:dyDescent="0.2">
      <c r="A172" s="9"/>
      <c r="B172" s="9"/>
      <c r="C172" s="9"/>
      <c r="D172" s="71"/>
      <c r="G172" s="70"/>
      <c r="H172" s="9"/>
    </row>
    <row r="173" spans="1:8" x14ac:dyDescent="0.2">
      <c r="A173" s="9"/>
      <c r="B173" s="9"/>
      <c r="C173" s="9"/>
      <c r="D173" s="71"/>
      <c r="G173" s="70"/>
      <c r="H173" s="9"/>
    </row>
    <row r="174" spans="1:8" x14ac:dyDescent="0.2">
      <c r="A174" s="9"/>
      <c r="B174" s="9"/>
      <c r="C174" s="9"/>
      <c r="D174" s="71"/>
      <c r="G174" s="70"/>
      <c r="H174" s="9"/>
    </row>
    <row r="175" spans="1:8" x14ac:dyDescent="0.2">
      <c r="A175" s="9"/>
      <c r="B175" s="9"/>
      <c r="C175" s="9"/>
      <c r="D175" s="71"/>
      <c r="G175" s="70"/>
      <c r="H175" s="9"/>
    </row>
    <row r="176" spans="1:8" x14ac:dyDescent="0.2">
      <c r="A176" s="9"/>
      <c r="B176" s="9"/>
      <c r="C176" s="9"/>
      <c r="D176" s="71"/>
      <c r="G176" s="70"/>
      <c r="H176" s="9"/>
    </row>
    <row r="177" spans="1:8" x14ac:dyDescent="0.2">
      <c r="A177" s="9"/>
      <c r="B177" s="9"/>
      <c r="C177" s="9"/>
      <c r="D177" s="71"/>
      <c r="G177" s="70"/>
      <c r="H177" s="9"/>
    </row>
    <row r="178" spans="1:8" x14ac:dyDescent="0.2">
      <c r="A178" s="9"/>
      <c r="B178" s="9"/>
      <c r="C178" s="9"/>
      <c r="D178" s="71"/>
      <c r="G178" s="70"/>
      <c r="H178" s="9"/>
    </row>
    <row r="179" spans="1:8" x14ac:dyDescent="0.2">
      <c r="A179" s="9"/>
      <c r="B179" s="9"/>
      <c r="C179" s="9"/>
      <c r="D179" s="71"/>
      <c r="G179" s="70"/>
      <c r="H179" s="9"/>
    </row>
    <row r="180" spans="1:8" x14ac:dyDescent="0.2">
      <c r="A180" s="9"/>
      <c r="B180" s="9"/>
      <c r="C180" s="9"/>
      <c r="D180" s="71"/>
      <c r="G180" s="70"/>
      <c r="H180" s="9"/>
    </row>
    <row r="181" spans="1:8" x14ac:dyDescent="0.2">
      <c r="A181" s="9"/>
      <c r="B181" s="9"/>
      <c r="C181" s="9"/>
      <c r="D181" s="71"/>
      <c r="G181" s="70"/>
      <c r="H181" s="9"/>
    </row>
    <row r="182" spans="1:8" x14ac:dyDescent="0.2">
      <c r="A182" s="9"/>
      <c r="B182" s="9"/>
      <c r="C182" s="9"/>
      <c r="D182" s="71"/>
      <c r="G182" s="70"/>
      <c r="H182" s="9"/>
    </row>
    <row r="183" spans="1:8" x14ac:dyDescent="0.2">
      <c r="A183" s="9"/>
      <c r="B183" s="9"/>
      <c r="C183" s="9"/>
      <c r="D183" s="71"/>
      <c r="G183" s="70"/>
      <c r="H183" s="9"/>
    </row>
    <row r="184" spans="1:8" x14ac:dyDescent="0.2">
      <c r="A184" s="9"/>
      <c r="B184" s="9"/>
      <c r="C184" s="9"/>
      <c r="D184" s="71"/>
      <c r="G184" s="70"/>
      <c r="H184" s="9"/>
    </row>
    <row r="185" spans="1:8" x14ac:dyDescent="0.2">
      <c r="A185" s="9"/>
      <c r="B185" s="9"/>
      <c r="C185" s="9"/>
      <c r="D185" s="71"/>
      <c r="G185" s="70"/>
      <c r="H185" s="9"/>
    </row>
    <row r="186" spans="1:8" x14ac:dyDescent="0.2">
      <c r="A186" s="9"/>
      <c r="B186" s="9"/>
      <c r="C186" s="9"/>
      <c r="D186" s="71"/>
      <c r="G186" s="70"/>
      <c r="H186" s="9"/>
    </row>
    <row r="187" spans="1:8" x14ac:dyDescent="0.2">
      <c r="A187" s="9"/>
      <c r="B187" s="9"/>
      <c r="C187" s="9"/>
      <c r="D187" s="71"/>
      <c r="G187" s="70"/>
      <c r="H187" s="9"/>
    </row>
    <row r="188" spans="1:8" x14ac:dyDescent="0.2">
      <c r="A188" s="9"/>
      <c r="B188" s="9"/>
      <c r="C188" s="9"/>
      <c r="D188" s="71"/>
      <c r="G188" s="70"/>
      <c r="H188" s="9"/>
    </row>
    <row r="189" spans="1:8" x14ac:dyDescent="0.2">
      <c r="A189" s="9"/>
      <c r="B189" s="9"/>
      <c r="C189" s="9"/>
      <c r="D189" s="71"/>
      <c r="G189" s="70"/>
      <c r="H189" s="9"/>
    </row>
    <row r="190" spans="1:8" x14ac:dyDescent="0.2">
      <c r="A190" s="9"/>
      <c r="B190" s="9"/>
      <c r="C190" s="9"/>
      <c r="D190" s="71"/>
      <c r="G190" s="70"/>
      <c r="H190" s="9"/>
    </row>
    <row r="191" spans="1:8" x14ac:dyDescent="0.2">
      <c r="A191" s="9"/>
      <c r="B191" s="9"/>
      <c r="C191" s="9"/>
      <c r="D191" s="71"/>
      <c r="G191" s="70"/>
      <c r="H191" s="9"/>
    </row>
    <row r="192" spans="1:8" x14ac:dyDescent="0.2">
      <c r="A192" s="9"/>
      <c r="B192" s="9"/>
      <c r="C192" s="9"/>
      <c r="D192" s="71"/>
      <c r="G192" s="70"/>
      <c r="H192" s="9"/>
    </row>
    <row r="193" spans="1:8" x14ac:dyDescent="0.2">
      <c r="A193" s="9"/>
      <c r="B193" s="9"/>
      <c r="C193" s="9"/>
      <c r="D193" s="71"/>
      <c r="G193" s="70"/>
      <c r="H193" s="9"/>
    </row>
    <row r="194" spans="1:8" x14ac:dyDescent="0.2">
      <c r="A194" s="9"/>
      <c r="B194" s="9"/>
      <c r="C194" s="9"/>
      <c r="D194" s="71"/>
      <c r="G194" s="70"/>
      <c r="H194" s="9"/>
    </row>
    <row r="195" spans="1:8" x14ac:dyDescent="0.2">
      <c r="A195" s="9"/>
      <c r="B195" s="9"/>
      <c r="C195" s="9"/>
      <c r="D195" s="71"/>
      <c r="G195" s="70"/>
      <c r="H195" s="9"/>
    </row>
    <row r="196" spans="1:8" x14ac:dyDescent="0.2">
      <c r="A196" s="9"/>
      <c r="B196" s="9"/>
      <c r="C196" s="9"/>
      <c r="D196" s="71"/>
      <c r="G196" s="70"/>
      <c r="H196" s="9"/>
    </row>
    <row r="197" spans="1:8" x14ac:dyDescent="0.2">
      <c r="A197" s="9"/>
      <c r="B197" s="9"/>
      <c r="C197" s="9"/>
      <c r="D197" s="71"/>
      <c r="G197" s="70"/>
      <c r="H197" s="9"/>
    </row>
    <row r="198" spans="1:8" x14ac:dyDescent="0.2">
      <c r="A198" s="9"/>
      <c r="B198" s="9"/>
      <c r="C198" s="9"/>
      <c r="D198" s="71"/>
      <c r="G198" s="70"/>
      <c r="H198" s="9"/>
    </row>
    <row r="199" spans="1:8" x14ac:dyDescent="0.2">
      <c r="A199" s="9"/>
      <c r="B199" s="9"/>
      <c r="C199" s="9"/>
      <c r="D199" s="71"/>
      <c r="G199" s="70"/>
      <c r="H199" s="9"/>
    </row>
    <row r="200" spans="1:8" x14ac:dyDescent="0.2">
      <c r="A200" s="9"/>
      <c r="B200" s="9"/>
      <c r="C200" s="9"/>
      <c r="D200" s="71"/>
      <c r="G200" s="70"/>
      <c r="H200" s="9"/>
    </row>
    <row r="201" spans="1:8" x14ac:dyDescent="0.2">
      <c r="A201" s="9"/>
      <c r="B201" s="9"/>
      <c r="C201" s="9"/>
      <c r="D201" s="71"/>
      <c r="G201" s="70"/>
      <c r="H201" s="9"/>
    </row>
    <row r="202" spans="1:8" x14ac:dyDescent="0.2">
      <c r="A202" s="9"/>
      <c r="B202" s="9"/>
      <c r="C202" s="9"/>
      <c r="D202" s="71"/>
      <c r="G202" s="70"/>
      <c r="H202" s="9"/>
    </row>
    <row r="203" spans="1:8" x14ac:dyDescent="0.2">
      <c r="A203" s="9"/>
      <c r="B203" s="9"/>
      <c r="C203" s="9"/>
      <c r="D203" s="71"/>
      <c r="G203" s="70"/>
      <c r="H203" s="9"/>
    </row>
    <row r="204" spans="1:8" x14ac:dyDescent="0.2">
      <c r="A204" s="9"/>
      <c r="B204" s="9"/>
      <c r="C204" s="9"/>
      <c r="D204" s="71"/>
      <c r="G204" s="70"/>
      <c r="H204" s="9"/>
    </row>
    <row r="205" spans="1:8" x14ac:dyDescent="0.2">
      <c r="A205" s="9"/>
      <c r="B205" s="9"/>
      <c r="C205" s="9"/>
      <c r="D205" s="71"/>
      <c r="G205" s="70"/>
      <c r="H205" s="9"/>
    </row>
    <row r="206" spans="1:8" x14ac:dyDescent="0.2">
      <c r="A206" s="9"/>
      <c r="B206" s="9"/>
      <c r="C206" s="9"/>
      <c r="D206" s="71"/>
      <c r="G206" s="70"/>
      <c r="H206" s="9"/>
    </row>
    <row r="207" spans="1:8" x14ac:dyDescent="0.2">
      <c r="A207" s="9"/>
      <c r="B207" s="9"/>
      <c r="C207" s="9"/>
      <c r="D207" s="71"/>
      <c r="G207" s="70"/>
      <c r="H207" s="9"/>
    </row>
    <row r="208" spans="1:8" x14ac:dyDescent="0.2">
      <c r="A208" s="9"/>
      <c r="B208" s="9"/>
      <c r="C208" s="9"/>
      <c r="D208" s="71"/>
      <c r="G208" s="70"/>
      <c r="H208" s="9"/>
    </row>
    <row r="209" spans="1:8" x14ac:dyDescent="0.2">
      <c r="A209" s="9"/>
      <c r="B209" s="9"/>
      <c r="C209" s="9"/>
      <c r="D209" s="71"/>
      <c r="G209" s="70"/>
      <c r="H209" s="9"/>
    </row>
    <row r="210" spans="1:8" x14ac:dyDescent="0.2">
      <c r="A210" s="9"/>
      <c r="B210" s="9"/>
      <c r="C210" s="9"/>
      <c r="D210" s="71"/>
      <c r="G210" s="70"/>
      <c r="H210" s="9"/>
    </row>
    <row r="211" spans="1:8" x14ac:dyDescent="0.2">
      <c r="A211" s="9"/>
      <c r="B211" s="9"/>
      <c r="C211" s="9"/>
      <c r="D211" s="71"/>
      <c r="G211" s="70"/>
      <c r="H211" s="9"/>
    </row>
    <row r="212" spans="1:8" x14ac:dyDescent="0.2">
      <c r="A212" s="9"/>
      <c r="B212" s="9"/>
      <c r="C212" s="9"/>
      <c r="D212" s="71"/>
      <c r="G212" s="70"/>
      <c r="H212" s="9"/>
    </row>
    <row r="213" spans="1:8" x14ac:dyDescent="0.2">
      <c r="A213" s="9"/>
      <c r="B213" s="9"/>
      <c r="C213" s="9"/>
      <c r="D213" s="71"/>
      <c r="G213" s="70"/>
      <c r="H213" s="9"/>
    </row>
    <row r="214" spans="1:8" x14ac:dyDescent="0.2">
      <c r="A214" s="9"/>
      <c r="B214" s="9"/>
      <c r="C214" s="9"/>
      <c r="D214" s="71"/>
      <c r="G214" s="70"/>
      <c r="H214" s="9"/>
    </row>
    <row r="215" spans="1:8" x14ac:dyDescent="0.2">
      <c r="A215" s="9"/>
      <c r="B215" s="9"/>
      <c r="C215" s="9"/>
      <c r="D215" s="71"/>
      <c r="G215" s="70"/>
      <c r="H215" s="9"/>
    </row>
    <row r="216" spans="1:8" x14ac:dyDescent="0.2">
      <c r="A216" s="9"/>
      <c r="B216" s="9"/>
      <c r="C216" s="9"/>
      <c r="D216" s="71"/>
      <c r="G216" s="70"/>
      <c r="H216" s="9"/>
    </row>
    <row r="217" spans="1:8" x14ac:dyDescent="0.2">
      <c r="A217" s="9"/>
      <c r="B217" s="9"/>
      <c r="C217" s="9"/>
      <c r="D217" s="71"/>
      <c r="G217" s="70"/>
      <c r="H217" s="9"/>
    </row>
    <row r="218" spans="1:8" x14ac:dyDescent="0.2">
      <c r="A218" s="9"/>
      <c r="B218" s="9"/>
      <c r="C218" s="9"/>
      <c r="D218" s="71"/>
      <c r="G218" s="70"/>
      <c r="H218" s="9"/>
    </row>
    <row r="219" spans="1:8" x14ac:dyDescent="0.2">
      <c r="A219" s="9"/>
      <c r="B219" s="9"/>
      <c r="C219" s="9"/>
      <c r="D219" s="71"/>
      <c r="G219" s="70"/>
      <c r="H219" s="9"/>
    </row>
    <row r="220" spans="1:8" x14ac:dyDescent="0.2">
      <c r="A220" s="9"/>
      <c r="B220" s="9"/>
      <c r="C220" s="9"/>
      <c r="D220" s="71"/>
      <c r="G220" s="70"/>
      <c r="H220" s="9"/>
    </row>
    <row r="221" spans="1:8" x14ac:dyDescent="0.2">
      <c r="A221" s="9"/>
      <c r="B221" s="9"/>
      <c r="C221" s="9"/>
      <c r="D221" s="71"/>
      <c r="G221" s="70"/>
      <c r="H221" s="9"/>
    </row>
    <row r="222" spans="1:8" x14ac:dyDescent="0.2">
      <c r="A222" s="9"/>
      <c r="B222" s="9"/>
      <c r="C222" s="9"/>
      <c r="D222" s="71"/>
      <c r="G222" s="70"/>
      <c r="H222" s="9"/>
    </row>
    <row r="223" spans="1:8" x14ac:dyDescent="0.2">
      <c r="A223" s="9"/>
      <c r="B223" s="9"/>
      <c r="C223" s="9"/>
      <c r="D223" s="71"/>
      <c r="G223" s="70"/>
      <c r="H223" s="9"/>
    </row>
    <row r="224" spans="1:8" x14ac:dyDescent="0.2">
      <c r="A224" s="9"/>
      <c r="B224" s="9"/>
      <c r="C224" s="9"/>
      <c r="D224" s="71"/>
      <c r="G224" s="70"/>
      <c r="H224" s="9"/>
    </row>
    <row r="225" spans="1:8" x14ac:dyDescent="0.2">
      <c r="A225" s="9"/>
      <c r="B225" s="9"/>
      <c r="C225" s="9"/>
      <c r="D225" s="71"/>
      <c r="G225" s="70"/>
      <c r="H225" s="9"/>
    </row>
    <row r="226" spans="1:8" x14ac:dyDescent="0.2">
      <c r="A226" s="9"/>
      <c r="B226" s="9"/>
      <c r="C226" s="9"/>
      <c r="D226" s="71"/>
      <c r="G226" s="70"/>
      <c r="H226" s="9"/>
    </row>
    <row r="227" spans="1:8" x14ac:dyDescent="0.2">
      <c r="A227" s="9"/>
      <c r="B227" s="9"/>
      <c r="C227" s="9"/>
      <c r="D227" s="71"/>
      <c r="G227" s="70"/>
      <c r="H227" s="9"/>
    </row>
    <row r="228" spans="1:8" x14ac:dyDescent="0.2">
      <c r="A228" s="9"/>
      <c r="B228" s="9"/>
      <c r="C228" s="9"/>
      <c r="D228" s="71"/>
      <c r="G228" s="70"/>
      <c r="H228" s="9"/>
    </row>
    <row r="229" spans="1:8" x14ac:dyDescent="0.2">
      <c r="A229" s="9"/>
      <c r="B229" s="9"/>
      <c r="C229" s="9"/>
      <c r="D229" s="71"/>
      <c r="G229" s="70"/>
      <c r="H229" s="9"/>
    </row>
    <row r="230" spans="1:8" x14ac:dyDescent="0.2">
      <c r="A230" s="9"/>
      <c r="B230" s="9"/>
      <c r="C230" s="9"/>
      <c r="D230" s="71"/>
      <c r="G230" s="70"/>
      <c r="H230" s="9"/>
    </row>
    <row r="231" spans="1:8" x14ac:dyDescent="0.2">
      <c r="A231" s="9"/>
      <c r="B231" s="9"/>
      <c r="C231" s="9"/>
      <c r="D231" s="71"/>
      <c r="G231" s="70"/>
      <c r="H231" s="9"/>
    </row>
    <row r="232" spans="1:8" x14ac:dyDescent="0.2">
      <c r="A232" s="9"/>
      <c r="B232" s="9"/>
      <c r="C232" s="9"/>
      <c r="D232" s="71"/>
      <c r="G232" s="70"/>
      <c r="H232" s="9"/>
    </row>
    <row r="233" spans="1:8" x14ac:dyDescent="0.2">
      <c r="A233" s="9"/>
      <c r="B233" s="9"/>
      <c r="C233" s="9"/>
      <c r="D233" s="71"/>
      <c r="G233" s="70"/>
      <c r="H233" s="9"/>
    </row>
    <row r="234" spans="1:8" x14ac:dyDescent="0.2">
      <c r="A234" s="9"/>
      <c r="B234" s="9"/>
      <c r="C234" s="9"/>
      <c r="D234" s="71"/>
      <c r="G234" s="70"/>
      <c r="H234" s="9"/>
    </row>
    <row r="235" spans="1:8" x14ac:dyDescent="0.2">
      <c r="A235" s="9"/>
      <c r="B235" s="9"/>
      <c r="C235" s="9"/>
      <c r="D235" s="71"/>
      <c r="G235" s="70"/>
      <c r="H235" s="9"/>
    </row>
    <row r="236" spans="1:8" x14ac:dyDescent="0.2">
      <c r="A236" s="9"/>
      <c r="B236" s="9"/>
      <c r="C236" s="9"/>
      <c r="D236" s="71"/>
      <c r="G236" s="70"/>
      <c r="H236" s="9"/>
    </row>
    <row r="237" spans="1:8" x14ac:dyDescent="0.2">
      <c r="A237" s="9"/>
      <c r="B237" s="9"/>
      <c r="C237" s="9"/>
      <c r="D237" s="71"/>
      <c r="G237" s="70"/>
      <c r="H237" s="9"/>
    </row>
    <row r="238" spans="1:8" x14ac:dyDescent="0.2">
      <c r="A238" s="9"/>
      <c r="B238" s="9"/>
      <c r="C238" s="9"/>
      <c r="D238" s="71"/>
      <c r="G238" s="70"/>
      <c r="H238" s="9"/>
    </row>
    <row r="239" spans="1:8" x14ac:dyDescent="0.2">
      <c r="A239" s="9"/>
      <c r="B239" s="9"/>
      <c r="C239" s="9"/>
      <c r="D239" s="71"/>
      <c r="G239" s="70"/>
      <c r="H239" s="9"/>
    </row>
    <row r="240" spans="1:8" x14ac:dyDescent="0.2">
      <c r="A240" s="9"/>
      <c r="B240" s="9"/>
      <c r="C240" s="9"/>
      <c r="D240" s="71"/>
      <c r="H240" s="9"/>
    </row>
    <row r="241" spans="1:8" x14ac:dyDescent="0.2">
      <c r="A241" s="9"/>
      <c r="B241" s="9"/>
      <c r="C241" s="9"/>
      <c r="D241" s="71"/>
      <c r="E241" s="9"/>
      <c r="F241" s="9"/>
      <c r="G241" s="9"/>
      <c r="H241" s="9"/>
    </row>
    <row r="242" spans="1:8" x14ac:dyDescent="0.2">
      <c r="A242" s="9"/>
      <c r="B242" s="9"/>
      <c r="C242" s="9"/>
      <c r="D242" s="71"/>
      <c r="E242" s="9"/>
      <c r="F242" s="9"/>
      <c r="G242" s="9"/>
      <c r="H242" s="9"/>
    </row>
    <row r="243" spans="1:8" x14ac:dyDescent="0.2">
      <c r="A243" s="9"/>
      <c r="B243" s="9"/>
      <c r="C243" s="9"/>
      <c r="D243" s="71"/>
      <c r="E243" s="9"/>
      <c r="F243" s="9"/>
      <c r="G243" s="9"/>
      <c r="H243" s="9"/>
    </row>
    <row r="244" spans="1:8" x14ac:dyDescent="0.2">
      <c r="A244" s="9"/>
      <c r="B244" s="9"/>
      <c r="C244" s="9"/>
      <c r="D244" s="71"/>
      <c r="E244" s="9"/>
      <c r="F244" s="9"/>
      <c r="G244" s="9"/>
      <c r="H244" s="9"/>
    </row>
    <row r="245" spans="1:8" x14ac:dyDescent="0.2">
      <c r="A245" s="9"/>
      <c r="B245" s="9"/>
      <c r="C245" s="9"/>
      <c r="D245" s="71"/>
      <c r="E245" s="9"/>
      <c r="F245" s="9"/>
      <c r="G245" s="9"/>
      <c r="H245" s="9"/>
    </row>
    <row r="246" spans="1:8" x14ac:dyDescent="0.2">
      <c r="A246" s="9"/>
      <c r="B246" s="9"/>
      <c r="C246" s="9"/>
      <c r="D246" s="71"/>
      <c r="E246" s="9"/>
      <c r="F246" s="9"/>
      <c r="G246" s="9"/>
      <c r="H246" s="9"/>
    </row>
    <row r="247" spans="1:8" x14ac:dyDescent="0.2">
      <c r="A247" s="9"/>
      <c r="B247" s="9"/>
      <c r="C247" s="9"/>
      <c r="D247" s="71"/>
      <c r="E247" s="9"/>
      <c r="F247" s="9"/>
      <c r="G247" s="9"/>
      <c r="H247" s="9"/>
    </row>
    <row r="248" spans="1:8" x14ac:dyDescent="0.2">
      <c r="A248" s="9"/>
      <c r="B248" s="9"/>
      <c r="C248" s="9"/>
      <c r="D248" s="71"/>
      <c r="E248" s="9"/>
      <c r="F248" s="9"/>
      <c r="G248" s="9"/>
      <c r="H248" s="9"/>
    </row>
    <row r="249" spans="1:8" x14ac:dyDescent="0.2">
      <c r="A249" s="9"/>
      <c r="B249" s="9"/>
      <c r="C249" s="9"/>
      <c r="D249" s="71"/>
      <c r="E249" s="9"/>
      <c r="F249" s="9"/>
      <c r="G249" s="9"/>
      <c r="H249" s="9"/>
    </row>
    <row r="250" spans="1:8" x14ac:dyDescent="0.2">
      <c r="A250" s="9"/>
      <c r="B250" s="9"/>
      <c r="C250" s="9"/>
      <c r="D250" s="71"/>
      <c r="E250" s="9"/>
      <c r="F250" s="9"/>
      <c r="G250" s="9"/>
      <c r="H250" s="9"/>
    </row>
    <row r="251" spans="1:8" x14ac:dyDescent="0.2">
      <c r="A251" s="9"/>
      <c r="B251" s="9"/>
      <c r="C251" s="9"/>
      <c r="D251" s="71"/>
      <c r="E251" s="9"/>
      <c r="F251" s="9"/>
      <c r="G251" s="9"/>
      <c r="H251" s="9"/>
    </row>
    <row r="252" spans="1:8" x14ac:dyDescent="0.2">
      <c r="A252" s="9"/>
      <c r="B252" s="9"/>
      <c r="C252" s="9"/>
      <c r="D252" s="71"/>
      <c r="E252" s="9"/>
      <c r="F252" s="9"/>
      <c r="G252" s="9"/>
      <c r="H252" s="9"/>
    </row>
    <row r="253" spans="1:8" x14ac:dyDescent="0.2">
      <c r="A253" s="9"/>
      <c r="B253" s="9"/>
      <c r="C253" s="9"/>
      <c r="D253" s="71"/>
      <c r="E253" s="9"/>
      <c r="F253" s="9"/>
      <c r="G253" s="9"/>
      <c r="H253" s="9"/>
    </row>
    <row r="254" spans="1:8" x14ac:dyDescent="0.2">
      <c r="A254" s="9"/>
      <c r="B254" s="9"/>
      <c r="C254" s="9"/>
      <c r="D254" s="71"/>
      <c r="E254" s="9"/>
      <c r="F254" s="9"/>
      <c r="G254" s="9"/>
      <c r="H254" s="9"/>
    </row>
    <row r="255" spans="1:8" x14ac:dyDescent="0.2">
      <c r="A255" s="9"/>
      <c r="B255" s="9"/>
      <c r="C255" s="9"/>
      <c r="D255" s="71"/>
      <c r="E255" s="9"/>
      <c r="F255" s="9"/>
      <c r="G255" s="9"/>
      <c r="H255" s="9"/>
    </row>
    <row r="256" spans="1:8" x14ac:dyDescent="0.2">
      <c r="A256" s="9"/>
      <c r="B256" s="9"/>
      <c r="C256" s="9"/>
      <c r="D256" s="71"/>
      <c r="E256" s="9"/>
      <c r="F256" s="9"/>
      <c r="G256" s="9"/>
      <c r="H256" s="9"/>
    </row>
    <row r="257" spans="1:8" x14ac:dyDescent="0.2">
      <c r="A257" s="9"/>
      <c r="B257" s="9"/>
      <c r="C257" s="9"/>
      <c r="D257" s="71"/>
      <c r="E257" s="9"/>
      <c r="F257" s="9"/>
      <c r="G257" s="9"/>
      <c r="H257" s="9"/>
    </row>
    <row r="258" spans="1:8" x14ac:dyDescent="0.2">
      <c r="A258" s="9"/>
      <c r="B258" s="9"/>
      <c r="C258" s="9"/>
      <c r="D258" s="71"/>
      <c r="E258" s="9"/>
      <c r="F258" s="9"/>
      <c r="G258" s="9"/>
      <c r="H258" s="9"/>
    </row>
    <row r="259" spans="1:8" x14ac:dyDescent="0.2">
      <c r="A259" s="9"/>
      <c r="B259" s="9"/>
      <c r="C259" s="9"/>
      <c r="D259" s="71"/>
      <c r="E259" s="9"/>
      <c r="F259" s="9"/>
      <c r="G259" s="9"/>
      <c r="H259" s="9"/>
    </row>
    <row r="260" spans="1:8" x14ac:dyDescent="0.2">
      <c r="A260" s="9"/>
      <c r="B260" s="9"/>
      <c r="C260" s="9"/>
      <c r="D260" s="71"/>
      <c r="E260" s="9"/>
      <c r="F260" s="9"/>
      <c r="G260" s="9"/>
      <c r="H260" s="9"/>
    </row>
    <row r="261" spans="1:8" x14ac:dyDescent="0.2">
      <c r="A261" s="9"/>
      <c r="B261" s="9"/>
      <c r="C261" s="9"/>
      <c r="D261" s="71"/>
      <c r="E261" s="9"/>
      <c r="F261" s="9"/>
      <c r="G261" s="9"/>
      <c r="H261" s="9"/>
    </row>
    <row r="262" spans="1:8" x14ac:dyDescent="0.2">
      <c r="A262" s="9"/>
      <c r="B262" s="9"/>
      <c r="C262" s="9"/>
      <c r="D262" s="71"/>
      <c r="E262" s="9"/>
      <c r="F262" s="9"/>
      <c r="G262" s="9"/>
      <c r="H262" s="9"/>
    </row>
    <row r="263" spans="1:8" x14ac:dyDescent="0.2">
      <c r="A263" s="9"/>
      <c r="B263" s="9"/>
      <c r="C263" s="9"/>
      <c r="D263" s="71"/>
      <c r="E263" s="9"/>
      <c r="F263" s="9"/>
      <c r="G263" s="9"/>
      <c r="H263" s="9"/>
    </row>
    <row r="264" spans="1:8" x14ac:dyDescent="0.2">
      <c r="A264" s="9"/>
      <c r="B264" s="9"/>
      <c r="C264" s="9"/>
      <c r="D264" s="71"/>
      <c r="E264" s="9"/>
      <c r="F264" s="9"/>
      <c r="G264" s="9"/>
      <c r="H264" s="9"/>
    </row>
    <row r="265" spans="1:8" x14ac:dyDescent="0.2">
      <c r="A265" s="9"/>
      <c r="B265" s="9"/>
      <c r="C265" s="9"/>
      <c r="D265" s="71"/>
      <c r="E265" s="9"/>
      <c r="F265" s="9"/>
      <c r="G265" s="9"/>
      <c r="H265" s="9"/>
    </row>
    <row r="266" spans="1:8" x14ac:dyDescent="0.2">
      <c r="A266" s="9"/>
      <c r="B266" s="9"/>
      <c r="C266" s="9"/>
      <c r="D266" s="71"/>
      <c r="E266" s="9"/>
      <c r="F266" s="9"/>
      <c r="G266" s="9"/>
      <c r="H266" s="9"/>
    </row>
    <row r="267" spans="1:8" x14ac:dyDescent="0.2">
      <c r="A267" s="9"/>
      <c r="B267" s="9"/>
      <c r="C267" s="9"/>
      <c r="D267" s="71"/>
      <c r="E267" s="9"/>
      <c r="F267" s="9"/>
      <c r="G267" s="9"/>
      <c r="H267" s="9"/>
    </row>
    <row r="268" spans="1:8" x14ac:dyDescent="0.2">
      <c r="A268" s="9"/>
      <c r="B268" s="9"/>
      <c r="C268" s="9"/>
      <c r="D268" s="71"/>
      <c r="E268" s="9"/>
      <c r="F268" s="9"/>
      <c r="G268" s="9"/>
      <c r="H268" s="9"/>
    </row>
    <row r="269" spans="1:8" x14ac:dyDescent="0.2">
      <c r="A269" s="9"/>
      <c r="B269" s="9"/>
      <c r="C269" s="9"/>
      <c r="D269" s="71"/>
      <c r="E269" s="9"/>
      <c r="F269" s="9"/>
      <c r="G269" s="9"/>
      <c r="H269" s="9"/>
    </row>
    <row r="270" spans="1:8" x14ac:dyDescent="0.2">
      <c r="A270" s="9"/>
      <c r="B270" s="9"/>
      <c r="C270" s="9"/>
      <c r="D270" s="71"/>
      <c r="E270" s="9"/>
      <c r="F270" s="9"/>
      <c r="G270" s="9"/>
      <c r="H270" s="9"/>
    </row>
    <row r="271" spans="1:8" x14ac:dyDescent="0.2">
      <c r="A271" s="9"/>
      <c r="B271" s="9"/>
      <c r="C271" s="9"/>
      <c r="D271" s="71"/>
      <c r="E271" s="9"/>
      <c r="F271" s="9"/>
      <c r="G271" s="9"/>
      <c r="H271" s="9"/>
    </row>
    <row r="272" spans="1:8" x14ac:dyDescent="0.2">
      <c r="A272" s="9"/>
      <c r="B272" s="9"/>
      <c r="C272" s="9"/>
      <c r="D272" s="71"/>
      <c r="E272" s="9"/>
      <c r="F272" s="9"/>
      <c r="G272" s="9"/>
      <c r="H272" s="9"/>
    </row>
    <row r="273" spans="1:8" x14ac:dyDescent="0.2">
      <c r="A273" s="9"/>
      <c r="B273" s="9"/>
      <c r="C273" s="9"/>
      <c r="D273" s="71"/>
      <c r="E273" s="9"/>
      <c r="F273" s="9"/>
      <c r="G273" s="9"/>
      <c r="H273" s="9"/>
    </row>
    <row r="274" spans="1:8" x14ac:dyDescent="0.2">
      <c r="A274" s="9"/>
      <c r="B274" s="9"/>
      <c r="C274" s="9"/>
      <c r="D274" s="71"/>
      <c r="E274" s="9"/>
      <c r="F274" s="9"/>
      <c r="G274" s="9"/>
      <c r="H274" s="9"/>
    </row>
    <row r="275" spans="1:8" x14ac:dyDescent="0.2">
      <c r="A275" s="9"/>
      <c r="B275" s="9"/>
      <c r="C275" s="9"/>
      <c r="D275" s="71"/>
      <c r="E275" s="9"/>
      <c r="F275" s="9"/>
      <c r="G275" s="9"/>
      <c r="H275" s="9"/>
    </row>
    <row r="276" spans="1:8" x14ac:dyDescent="0.2">
      <c r="A276" s="9"/>
      <c r="B276" s="9"/>
      <c r="C276" s="9"/>
      <c r="D276" s="71"/>
      <c r="E276" s="9"/>
      <c r="F276" s="9"/>
      <c r="G276" s="9"/>
      <c r="H276" s="9"/>
    </row>
    <row r="277" spans="1:8" x14ac:dyDescent="0.2">
      <c r="A277" s="9"/>
      <c r="B277" s="9"/>
      <c r="C277" s="9"/>
      <c r="D277" s="71"/>
      <c r="E277" s="9"/>
      <c r="F277" s="9"/>
      <c r="G277" s="9"/>
      <c r="H277" s="9"/>
    </row>
    <row r="278" spans="1:8" x14ac:dyDescent="0.2">
      <c r="A278" s="9"/>
      <c r="B278" s="9"/>
      <c r="C278" s="9"/>
      <c r="D278" s="71"/>
      <c r="E278" s="9"/>
      <c r="F278" s="9"/>
      <c r="G278" s="9"/>
      <c r="H278" s="9"/>
    </row>
    <row r="279" spans="1:8" x14ac:dyDescent="0.2">
      <c r="A279" s="9"/>
      <c r="B279" s="9"/>
      <c r="C279" s="9"/>
      <c r="D279" s="71"/>
      <c r="E279" s="9"/>
      <c r="F279" s="9"/>
      <c r="G279" s="9"/>
      <c r="H279" s="9"/>
    </row>
    <row r="280" spans="1:8" x14ac:dyDescent="0.2">
      <c r="A280" s="9"/>
      <c r="B280" s="9"/>
      <c r="C280" s="9"/>
      <c r="D280" s="71"/>
      <c r="E280" s="9"/>
      <c r="F280" s="9"/>
      <c r="G280" s="9"/>
      <c r="H280" s="9"/>
    </row>
    <row r="281" spans="1:8" x14ac:dyDescent="0.2">
      <c r="A281" s="9"/>
      <c r="B281" s="9"/>
      <c r="C281" s="9"/>
      <c r="D281" s="71"/>
      <c r="E281" s="9"/>
      <c r="F281" s="9"/>
      <c r="G281" s="9"/>
      <c r="H281" s="9"/>
    </row>
    <row r="282" spans="1:8" x14ac:dyDescent="0.2">
      <c r="A282" s="9"/>
      <c r="B282" s="9"/>
      <c r="C282" s="9"/>
      <c r="D282" s="71"/>
      <c r="E282" s="9"/>
      <c r="F282" s="9"/>
      <c r="G282" s="9"/>
      <c r="H282" s="9"/>
    </row>
    <row r="283" spans="1:8" x14ac:dyDescent="0.2">
      <c r="A283" s="9"/>
      <c r="B283" s="9"/>
      <c r="C283" s="9"/>
      <c r="D283" s="71"/>
      <c r="E283" s="9"/>
      <c r="F283" s="9"/>
      <c r="G283" s="9"/>
      <c r="H283" s="9"/>
    </row>
    <row r="284" spans="1:8" x14ac:dyDescent="0.2">
      <c r="A284" s="9"/>
      <c r="B284" s="9"/>
      <c r="C284" s="9"/>
      <c r="D284" s="71"/>
      <c r="E284" s="9"/>
      <c r="F284" s="9"/>
      <c r="G284" s="9"/>
      <c r="H284" s="9"/>
    </row>
    <row r="285" spans="1:8" x14ac:dyDescent="0.2">
      <c r="A285" s="9"/>
      <c r="B285" s="9"/>
      <c r="C285" s="9"/>
      <c r="D285" s="71"/>
      <c r="E285" s="9"/>
      <c r="F285" s="9"/>
      <c r="G285" s="9"/>
      <c r="H285" s="9"/>
    </row>
    <row r="286" spans="1:8" x14ac:dyDescent="0.2">
      <c r="A286" s="9"/>
      <c r="B286" s="9"/>
      <c r="C286" s="9"/>
      <c r="D286" s="71"/>
      <c r="E286" s="9"/>
      <c r="F286" s="9"/>
      <c r="G286" s="9"/>
      <c r="H286" s="9"/>
    </row>
    <row r="287" spans="1:8" x14ac:dyDescent="0.2">
      <c r="A287" s="9"/>
      <c r="B287" s="9"/>
      <c r="C287" s="9"/>
      <c r="D287" s="71"/>
      <c r="E287" s="9"/>
      <c r="F287" s="9"/>
      <c r="G287" s="9"/>
      <c r="H287" s="9"/>
    </row>
    <row r="288" spans="1:8" x14ac:dyDescent="0.2">
      <c r="A288" s="9"/>
      <c r="B288" s="9"/>
      <c r="C288" s="9"/>
      <c r="D288" s="71"/>
      <c r="E288" s="9"/>
      <c r="F288" s="9"/>
      <c r="G288" s="9"/>
      <c r="H288" s="9"/>
    </row>
    <row r="289" spans="1:8" x14ac:dyDescent="0.2">
      <c r="A289" s="9"/>
      <c r="B289" s="9"/>
      <c r="C289" s="9"/>
      <c r="D289" s="71"/>
      <c r="E289" s="9"/>
      <c r="F289" s="9"/>
      <c r="G289" s="9"/>
      <c r="H289" s="9"/>
    </row>
    <row r="290" spans="1:8" x14ac:dyDescent="0.2">
      <c r="A290" s="9"/>
      <c r="B290" s="9"/>
      <c r="C290" s="9"/>
      <c r="D290" s="71"/>
      <c r="E290" s="9"/>
      <c r="F290" s="9"/>
      <c r="G290" s="9"/>
      <c r="H290" s="9"/>
    </row>
    <row r="291" spans="1:8" x14ac:dyDescent="0.2">
      <c r="A291" s="9"/>
      <c r="B291" s="9"/>
      <c r="C291" s="9"/>
      <c r="D291" s="71"/>
      <c r="E291" s="9"/>
      <c r="F291" s="9"/>
      <c r="G291" s="9"/>
      <c r="H291" s="9"/>
    </row>
    <row r="292" spans="1:8" x14ac:dyDescent="0.2">
      <c r="A292" s="9"/>
      <c r="B292" s="9"/>
      <c r="C292" s="9"/>
      <c r="D292" s="71"/>
      <c r="E292" s="9"/>
      <c r="F292" s="9"/>
      <c r="G292" s="9"/>
      <c r="H292" s="9"/>
    </row>
    <row r="293" spans="1:8" x14ac:dyDescent="0.2">
      <c r="A293" s="9"/>
      <c r="B293" s="9"/>
      <c r="C293" s="9"/>
      <c r="D293" s="71"/>
      <c r="E293" s="9"/>
      <c r="F293" s="9"/>
      <c r="G293" s="9"/>
      <c r="H293" s="9"/>
    </row>
    <row r="294" spans="1:8" x14ac:dyDescent="0.2">
      <c r="A294" s="9"/>
      <c r="B294" s="9"/>
      <c r="C294" s="9"/>
      <c r="D294" s="71"/>
      <c r="E294" s="9"/>
      <c r="F294" s="9"/>
      <c r="G294" s="9"/>
      <c r="H294" s="9"/>
    </row>
    <row r="295" spans="1:8" x14ac:dyDescent="0.2">
      <c r="A295" s="9"/>
      <c r="B295" s="9"/>
      <c r="C295" s="9"/>
      <c r="D295" s="71"/>
      <c r="E295" s="9"/>
      <c r="F295" s="9"/>
      <c r="G295" s="9"/>
      <c r="H295" s="9"/>
    </row>
    <row r="296" spans="1:8" x14ac:dyDescent="0.2">
      <c r="A296" s="9"/>
      <c r="B296" s="9"/>
      <c r="C296" s="9"/>
      <c r="D296" s="71"/>
      <c r="E296" s="9"/>
      <c r="F296" s="9"/>
      <c r="G296" s="9"/>
      <c r="H296" s="9"/>
    </row>
    <row r="297" spans="1:8" x14ac:dyDescent="0.2">
      <c r="A297" s="9"/>
      <c r="B297" s="9"/>
      <c r="C297" s="9"/>
      <c r="D297" s="71"/>
      <c r="E297" s="9"/>
      <c r="F297" s="9"/>
      <c r="G297" s="9"/>
      <c r="H297" s="9"/>
    </row>
    <row r="298" spans="1:8" x14ac:dyDescent="0.2">
      <c r="A298" s="9"/>
      <c r="B298" s="9"/>
      <c r="C298" s="9"/>
      <c r="D298" s="71"/>
      <c r="E298" s="9"/>
      <c r="F298" s="9"/>
      <c r="G298" s="9"/>
      <c r="H298" s="9"/>
    </row>
    <row r="299" spans="1:8" x14ac:dyDescent="0.2">
      <c r="A299" s="9"/>
      <c r="B299" s="9"/>
      <c r="C299" s="9"/>
      <c r="D299" s="71"/>
      <c r="E299" s="9"/>
      <c r="F299" s="9"/>
      <c r="G299" s="9"/>
      <c r="H299" s="9"/>
    </row>
    <row r="300" spans="1:8" x14ac:dyDescent="0.2">
      <c r="A300" s="9"/>
      <c r="B300" s="9"/>
      <c r="C300" s="9"/>
      <c r="D300" s="71"/>
      <c r="E300" s="9"/>
      <c r="F300" s="9"/>
      <c r="G300" s="9"/>
      <c r="H300" s="9"/>
    </row>
    <row r="301" spans="1:8" x14ac:dyDescent="0.2">
      <c r="A301" s="9"/>
      <c r="B301" s="9"/>
      <c r="C301" s="9"/>
      <c r="D301" s="71"/>
      <c r="E301" s="9"/>
      <c r="F301" s="9"/>
      <c r="G301" s="9"/>
      <c r="H301" s="9"/>
    </row>
    <row r="302" spans="1:8" x14ac:dyDescent="0.2">
      <c r="A302" s="9"/>
      <c r="B302" s="9"/>
      <c r="C302" s="9"/>
      <c r="D302" s="71"/>
      <c r="E302" s="9"/>
      <c r="F302" s="9"/>
      <c r="G302" s="9"/>
      <c r="H302" s="9"/>
    </row>
  </sheetData>
  <mergeCells count="4">
    <mergeCell ref="A1:H1"/>
    <mergeCell ref="A2:H2"/>
    <mergeCell ref="A4:A5"/>
    <mergeCell ref="B4:H4"/>
  </mergeCells>
  <phoneticPr fontId="49" type="noConversion"/>
  <printOptions horizontalCentered="1"/>
  <pageMargins left="0.59055118110236227" right="0.59055118110236227" top="0.70866141732283472" bottom="0.19685039370078741" header="0.31496062992125984" footer="0.51181102362204722"/>
  <pageSetup paperSize="9" firstPageNumber="22" orientation="landscape" useFirstPageNumber="1" r:id="rId1"/>
  <headerFooter alignWithMargins="0"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K131"/>
  <sheetViews>
    <sheetView zoomScaleNormal="100" workbookViewId="0">
      <selection activeCell="L18" sqref="L18"/>
    </sheetView>
  </sheetViews>
  <sheetFormatPr defaultRowHeight="14.25" x14ac:dyDescent="0.2"/>
  <cols>
    <col min="1" max="1" width="41.7109375" style="5" customWidth="1"/>
    <col min="2" max="2" width="15" style="5" customWidth="1"/>
    <col min="3" max="3" width="13.140625" style="5" customWidth="1"/>
    <col min="4" max="4" width="12.85546875" style="5" customWidth="1"/>
    <col min="5" max="5" width="13.5703125" style="5" customWidth="1"/>
    <col min="6" max="6" width="12.140625" style="5" customWidth="1"/>
    <col min="7" max="7" width="12.7109375" style="5" customWidth="1"/>
    <col min="8" max="8" width="12" style="5" customWidth="1"/>
    <col min="9" max="16384" width="9.140625" style="9"/>
  </cols>
  <sheetData>
    <row r="1" spans="1:11" s="8" customFormat="1" ht="15" x14ac:dyDescent="0.25">
      <c r="A1" s="528" t="s">
        <v>287</v>
      </c>
      <c r="B1" s="483"/>
      <c r="C1" s="483"/>
      <c r="D1" s="483"/>
      <c r="E1" s="483"/>
      <c r="F1" s="483"/>
      <c r="G1" s="483"/>
      <c r="H1" s="483"/>
    </row>
    <row r="2" spans="1:11" s="8" customFormat="1" ht="15" x14ac:dyDescent="0.25">
      <c r="A2" s="523" t="s">
        <v>284</v>
      </c>
      <c r="B2" s="483"/>
      <c r="C2" s="483" t="s">
        <v>141</v>
      </c>
      <c r="D2" s="483" t="s">
        <v>142</v>
      </c>
      <c r="E2" s="483"/>
      <c r="F2" s="483"/>
      <c r="G2" s="483"/>
      <c r="H2" s="483"/>
      <c r="K2" s="90"/>
    </row>
    <row r="3" spans="1:11" ht="15" x14ac:dyDescent="0.25">
      <c r="A3" s="72"/>
      <c r="B3" s="72"/>
      <c r="C3" s="72"/>
      <c r="D3" s="72"/>
      <c r="E3" s="72"/>
      <c r="F3" s="72"/>
      <c r="G3" s="72"/>
      <c r="H3" s="72"/>
      <c r="K3" s="90"/>
    </row>
    <row r="4" spans="1:11" ht="15" x14ac:dyDescent="0.25">
      <c r="A4" s="529"/>
      <c r="B4" s="530" t="s">
        <v>225</v>
      </c>
      <c r="C4" s="531"/>
      <c r="D4" s="531"/>
      <c r="E4" s="531"/>
      <c r="F4" s="531"/>
      <c r="G4" s="531"/>
      <c r="H4" s="532"/>
      <c r="K4" s="90"/>
    </row>
    <row r="5" spans="1:11" ht="52.5" customHeight="1" x14ac:dyDescent="0.25">
      <c r="A5" s="529"/>
      <c r="B5" s="278" t="s">
        <v>144</v>
      </c>
      <c r="C5" s="278" t="s">
        <v>145</v>
      </c>
      <c r="D5" s="278" t="s">
        <v>322</v>
      </c>
      <c r="E5" s="278" t="s">
        <v>147</v>
      </c>
      <c r="F5" s="278" t="s">
        <v>148</v>
      </c>
      <c r="G5" s="278" t="s">
        <v>149</v>
      </c>
      <c r="H5" s="278" t="s">
        <v>150</v>
      </c>
      <c r="K5" s="90"/>
    </row>
    <row r="6" spans="1:11" s="8" customFormat="1" ht="12.95" customHeight="1" x14ac:dyDescent="0.25">
      <c r="A6" s="243" t="s">
        <v>13</v>
      </c>
      <c r="B6" s="73">
        <v>24.091000000000001</v>
      </c>
      <c r="C6" s="74">
        <v>7.7539999999999996</v>
      </c>
      <c r="D6" s="74">
        <v>204.297</v>
      </c>
      <c r="E6" s="74">
        <v>616.36800000000005</v>
      </c>
      <c r="F6" s="74">
        <v>47.951000000000001</v>
      </c>
      <c r="G6" s="74">
        <v>66.960999999999999</v>
      </c>
      <c r="H6" s="200">
        <v>114.22799999999999</v>
      </c>
    </row>
    <row r="7" spans="1:11" s="8" customFormat="1" ht="12.95" customHeight="1" x14ac:dyDescent="0.25">
      <c r="A7" s="244" t="s">
        <v>14</v>
      </c>
      <c r="B7" s="75">
        <v>12.250999999999999</v>
      </c>
      <c r="C7" s="74">
        <v>3.7</v>
      </c>
      <c r="D7" s="74">
        <v>218.56899999999999</v>
      </c>
      <c r="E7" s="74">
        <v>655.43200000000002</v>
      </c>
      <c r="F7" s="74">
        <v>50.499000000000002</v>
      </c>
      <c r="G7" s="74">
        <v>68.585999999999999</v>
      </c>
      <c r="H7" s="200">
        <v>100.828</v>
      </c>
    </row>
    <row r="8" spans="1:11" ht="12.95" customHeight="1" x14ac:dyDescent="0.2">
      <c r="A8" s="245" t="s">
        <v>15</v>
      </c>
      <c r="B8" s="75">
        <v>4.125</v>
      </c>
      <c r="C8" s="76">
        <v>0.64500000000000002</v>
      </c>
      <c r="D8" s="76">
        <v>198.517</v>
      </c>
      <c r="E8" s="76">
        <v>758.298</v>
      </c>
      <c r="F8" s="76">
        <v>52.143000000000001</v>
      </c>
      <c r="G8" s="76">
        <v>50.531999999999996</v>
      </c>
      <c r="H8" s="201">
        <v>83.468000000000004</v>
      </c>
    </row>
    <row r="9" spans="1:11" ht="12.95" customHeight="1" x14ac:dyDescent="0.2">
      <c r="A9" s="245" t="s">
        <v>16</v>
      </c>
      <c r="B9" s="75">
        <v>12.754</v>
      </c>
      <c r="C9" s="76">
        <v>7.2759999999999998</v>
      </c>
      <c r="D9" s="76">
        <v>241.511</v>
      </c>
      <c r="E9" s="76">
        <v>747.178</v>
      </c>
      <c r="F9" s="76">
        <v>70.147999999999996</v>
      </c>
      <c r="G9" s="76">
        <v>86.254000000000005</v>
      </c>
      <c r="H9" s="201">
        <v>133.346</v>
      </c>
    </row>
    <row r="10" spans="1:11" ht="12.95" customHeight="1" x14ac:dyDescent="0.2">
      <c r="A10" s="245" t="s">
        <v>17</v>
      </c>
      <c r="B10" s="75">
        <v>10.909000000000001</v>
      </c>
      <c r="C10" s="76">
        <v>4.306</v>
      </c>
      <c r="D10" s="76">
        <v>249.89500000000001</v>
      </c>
      <c r="E10" s="76">
        <v>826.54899999999998</v>
      </c>
      <c r="F10" s="76">
        <v>61.72</v>
      </c>
      <c r="G10" s="76">
        <v>136.50200000000001</v>
      </c>
      <c r="H10" s="201">
        <v>124.876</v>
      </c>
    </row>
    <row r="11" spans="1:11" ht="12.95" customHeight="1" x14ac:dyDescent="0.2">
      <c r="A11" s="245" t="s">
        <v>18</v>
      </c>
      <c r="B11" s="75">
        <v>7.1970000000000001</v>
      </c>
      <c r="C11" s="76">
        <v>3.641</v>
      </c>
      <c r="D11" s="76">
        <v>185.398</v>
      </c>
      <c r="E11" s="76">
        <v>601.81399999999996</v>
      </c>
      <c r="F11" s="76">
        <v>49.862000000000002</v>
      </c>
      <c r="G11" s="76">
        <v>61.899000000000001</v>
      </c>
      <c r="H11" s="201">
        <v>175.03100000000001</v>
      </c>
    </row>
    <row r="12" spans="1:11" ht="12.95" customHeight="1" x14ac:dyDescent="0.2">
      <c r="A12" s="245" t="s">
        <v>19</v>
      </c>
      <c r="B12" s="75">
        <v>19.484000000000002</v>
      </c>
      <c r="C12" s="76">
        <v>3.41</v>
      </c>
      <c r="D12" s="76">
        <v>211.495</v>
      </c>
      <c r="E12" s="76">
        <v>597.75699999999995</v>
      </c>
      <c r="F12" s="76">
        <v>56.015000000000001</v>
      </c>
      <c r="G12" s="76">
        <v>104.33499999999999</v>
      </c>
      <c r="H12" s="201">
        <v>113.102</v>
      </c>
    </row>
    <row r="13" spans="1:11" ht="12.95" customHeight="1" x14ac:dyDescent="0.2">
      <c r="A13" s="245" t="s">
        <v>20</v>
      </c>
      <c r="B13" s="75">
        <v>14.128</v>
      </c>
      <c r="C13" s="76">
        <v>5.1369999999999996</v>
      </c>
      <c r="D13" s="76">
        <v>230.59299999999999</v>
      </c>
      <c r="E13" s="76">
        <v>785.14400000000001</v>
      </c>
      <c r="F13" s="76">
        <v>63.033000000000001</v>
      </c>
      <c r="G13" s="76">
        <v>75.876999999999995</v>
      </c>
      <c r="H13" s="201">
        <v>120.039</v>
      </c>
    </row>
    <row r="14" spans="1:11" ht="12.95" customHeight="1" x14ac:dyDescent="0.2">
      <c r="A14" s="246" t="s">
        <v>21</v>
      </c>
      <c r="B14" s="75">
        <v>8.31</v>
      </c>
      <c r="C14" s="76">
        <v>2.0009999999999999</v>
      </c>
      <c r="D14" s="76">
        <v>242.84200000000001</v>
      </c>
      <c r="E14" s="76">
        <v>818.70799999999997</v>
      </c>
      <c r="F14" s="76">
        <v>50.476999999999997</v>
      </c>
      <c r="G14" s="76">
        <v>77.561999999999998</v>
      </c>
      <c r="H14" s="201">
        <v>118.497</v>
      </c>
    </row>
    <row r="15" spans="1:11" ht="12.95" customHeight="1" x14ac:dyDescent="0.2">
      <c r="A15" s="245" t="s">
        <v>22</v>
      </c>
      <c r="B15" s="75">
        <v>10.255000000000001</v>
      </c>
      <c r="C15" s="76">
        <v>7.8470000000000004</v>
      </c>
      <c r="D15" s="76">
        <v>241.91800000000001</v>
      </c>
      <c r="E15" s="76">
        <v>759.37</v>
      </c>
      <c r="F15" s="76">
        <v>73.119</v>
      </c>
      <c r="G15" s="76">
        <v>83.641000000000005</v>
      </c>
      <c r="H15" s="201">
        <v>101.029</v>
      </c>
    </row>
    <row r="16" spans="1:11" ht="12.95" customHeight="1" x14ac:dyDescent="0.2">
      <c r="A16" s="245" t="s">
        <v>23</v>
      </c>
      <c r="B16" s="75">
        <v>5.2759999999999998</v>
      </c>
      <c r="C16" s="76">
        <v>2.335</v>
      </c>
      <c r="D16" s="76">
        <v>200.059</v>
      </c>
      <c r="E16" s="76">
        <v>625.26099999999997</v>
      </c>
      <c r="F16" s="76">
        <v>61.756</v>
      </c>
      <c r="G16" s="76">
        <v>60.545000000000002</v>
      </c>
      <c r="H16" s="201">
        <v>115.55500000000001</v>
      </c>
    </row>
    <row r="17" spans="1:8" ht="12.95" customHeight="1" x14ac:dyDescent="0.2">
      <c r="A17" s="245" t="s">
        <v>24</v>
      </c>
      <c r="B17" s="75">
        <v>13.377000000000001</v>
      </c>
      <c r="C17" s="76">
        <v>3.5409999999999999</v>
      </c>
      <c r="D17" s="76">
        <v>197.65100000000001</v>
      </c>
      <c r="E17" s="76">
        <v>639.25699999999995</v>
      </c>
      <c r="F17" s="76">
        <v>51.024000000000001</v>
      </c>
      <c r="G17" s="76">
        <v>76.027000000000001</v>
      </c>
      <c r="H17" s="201">
        <v>108.45099999999999</v>
      </c>
    </row>
    <row r="18" spans="1:8" ht="12.95" customHeight="1" x14ac:dyDescent="0.2">
      <c r="A18" s="245" t="s">
        <v>25</v>
      </c>
      <c r="B18" s="75">
        <v>5.9420000000000002</v>
      </c>
      <c r="C18" s="76">
        <v>1.849</v>
      </c>
      <c r="D18" s="76">
        <v>253.54300000000001</v>
      </c>
      <c r="E18" s="76">
        <v>942.06899999999996</v>
      </c>
      <c r="F18" s="76">
        <v>64.573999999999998</v>
      </c>
      <c r="G18" s="76">
        <v>96.399000000000001</v>
      </c>
      <c r="H18" s="201">
        <v>108.812</v>
      </c>
    </row>
    <row r="19" spans="1:8" ht="12.95" customHeight="1" x14ac:dyDescent="0.2">
      <c r="A19" s="246" t="s">
        <v>26</v>
      </c>
      <c r="B19" s="75">
        <v>9.3049999999999997</v>
      </c>
      <c r="C19" s="76">
        <v>1.6839999999999999</v>
      </c>
      <c r="D19" s="76">
        <v>224.739</v>
      </c>
      <c r="E19" s="76">
        <v>642.40200000000004</v>
      </c>
      <c r="F19" s="76">
        <v>109.711</v>
      </c>
      <c r="G19" s="76">
        <v>83.656999999999996</v>
      </c>
      <c r="H19" s="201">
        <v>125.30800000000001</v>
      </c>
    </row>
    <row r="20" spans="1:8" ht="12.95" customHeight="1" x14ac:dyDescent="0.2">
      <c r="A20" s="245" t="s">
        <v>27</v>
      </c>
      <c r="B20" s="75">
        <v>19.039000000000001</v>
      </c>
      <c r="C20" s="76">
        <v>10.147</v>
      </c>
      <c r="D20" s="76">
        <v>208.28200000000001</v>
      </c>
      <c r="E20" s="76">
        <v>673.80399999999997</v>
      </c>
      <c r="F20" s="76">
        <v>51.155000000000001</v>
      </c>
      <c r="G20" s="76">
        <v>84.316999999999993</v>
      </c>
      <c r="H20" s="201">
        <v>138.506</v>
      </c>
    </row>
    <row r="21" spans="1:8" ht="12.95" customHeight="1" x14ac:dyDescent="0.2">
      <c r="A21" s="245" t="s">
        <v>28</v>
      </c>
      <c r="B21" s="75">
        <v>9.375</v>
      </c>
      <c r="C21" s="76">
        <v>3.2530000000000001</v>
      </c>
      <c r="D21" s="76">
        <v>185.68600000000001</v>
      </c>
      <c r="E21" s="76">
        <v>652.91600000000005</v>
      </c>
      <c r="F21" s="76">
        <v>63.616999999999997</v>
      </c>
      <c r="G21" s="76">
        <v>69.644000000000005</v>
      </c>
      <c r="H21" s="201">
        <v>119.10299999999999</v>
      </c>
    </row>
    <row r="22" spans="1:8" ht="12.95" customHeight="1" x14ac:dyDescent="0.2">
      <c r="A22" s="245" t="s">
        <v>29</v>
      </c>
      <c r="B22" s="75">
        <v>24.908000000000001</v>
      </c>
      <c r="C22" s="76">
        <v>7.38</v>
      </c>
      <c r="D22" s="76">
        <v>261.45999999999998</v>
      </c>
      <c r="E22" s="76">
        <v>941.98</v>
      </c>
      <c r="F22" s="76">
        <v>81.412999999999997</v>
      </c>
      <c r="G22" s="76">
        <v>95.481999999999999</v>
      </c>
      <c r="H22" s="201">
        <v>144.22200000000001</v>
      </c>
    </row>
    <row r="23" spans="1:8" ht="12.95" customHeight="1" x14ac:dyDescent="0.2">
      <c r="A23" s="245" t="s">
        <v>30</v>
      </c>
      <c r="B23" s="75">
        <v>19.760999999999999</v>
      </c>
      <c r="C23" s="76">
        <v>6.8529999999999998</v>
      </c>
      <c r="D23" s="76">
        <v>260.42399999999998</v>
      </c>
      <c r="E23" s="76">
        <v>720.12599999999998</v>
      </c>
      <c r="F23" s="76">
        <v>77.116</v>
      </c>
      <c r="G23" s="76">
        <v>90.224000000000004</v>
      </c>
      <c r="H23" s="201">
        <v>124.09099999999999</v>
      </c>
    </row>
    <row r="24" spans="1:8" ht="12.95" customHeight="1" x14ac:dyDescent="0.2">
      <c r="A24" s="245" t="s">
        <v>31</v>
      </c>
      <c r="B24" s="75">
        <v>8.2590000000000003</v>
      </c>
      <c r="C24" s="76">
        <v>4.3259999999999996</v>
      </c>
      <c r="D24" s="76">
        <v>222.76</v>
      </c>
      <c r="E24" s="76">
        <v>669.06600000000003</v>
      </c>
      <c r="F24" s="76">
        <v>43.183</v>
      </c>
      <c r="G24" s="76">
        <v>99.739000000000004</v>
      </c>
      <c r="H24" s="201">
        <v>125.932</v>
      </c>
    </row>
    <row r="25" spans="1:8" ht="12.95" customHeight="1" x14ac:dyDescent="0.2">
      <c r="A25" s="245" t="s">
        <v>32</v>
      </c>
      <c r="B25" s="75">
        <v>12.48</v>
      </c>
      <c r="C25" s="76">
        <v>2.5169999999999999</v>
      </c>
      <c r="D25" s="76">
        <v>222.80099999999999</v>
      </c>
      <c r="E25" s="76">
        <v>555.85400000000004</v>
      </c>
      <c r="F25" s="76">
        <v>29.129000000000001</v>
      </c>
      <c r="G25" s="76">
        <v>40.557000000000002</v>
      </c>
      <c r="H25" s="201">
        <v>56.420999999999999</v>
      </c>
    </row>
    <row r="26" spans="1:8" s="8" customFormat="1" ht="12.95" customHeight="1" x14ac:dyDescent="0.25">
      <c r="A26" s="247" t="s">
        <v>33</v>
      </c>
      <c r="B26" s="73">
        <v>20.055</v>
      </c>
      <c r="C26" s="74">
        <v>5.16</v>
      </c>
      <c r="D26" s="74">
        <v>234.98699999999999</v>
      </c>
      <c r="E26" s="74">
        <v>714.38</v>
      </c>
      <c r="F26" s="74">
        <v>46.545999999999999</v>
      </c>
      <c r="G26" s="74">
        <v>67.596000000000004</v>
      </c>
      <c r="H26" s="200">
        <v>113.083</v>
      </c>
    </row>
    <row r="27" spans="1:8" ht="12.95" customHeight="1" x14ac:dyDescent="0.2">
      <c r="A27" s="245" t="s">
        <v>34</v>
      </c>
      <c r="B27" s="75">
        <v>17.503</v>
      </c>
      <c r="C27" s="76">
        <v>7.7969999999999997</v>
      </c>
      <c r="D27" s="76">
        <v>244.08099999999999</v>
      </c>
      <c r="E27" s="76">
        <v>725.24300000000005</v>
      </c>
      <c r="F27" s="76">
        <v>52.189</v>
      </c>
      <c r="G27" s="76">
        <v>76.057000000000002</v>
      </c>
      <c r="H27" s="201">
        <v>122.836</v>
      </c>
    </row>
    <row r="28" spans="1:8" ht="12.95" customHeight="1" x14ac:dyDescent="0.2">
      <c r="A28" s="245" t="s">
        <v>35</v>
      </c>
      <c r="B28" s="75">
        <v>13.705</v>
      </c>
      <c r="C28" s="76">
        <v>8.3170000000000002</v>
      </c>
      <c r="D28" s="76">
        <v>204.75700000000001</v>
      </c>
      <c r="E28" s="76">
        <v>551.01800000000003</v>
      </c>
      <c r="F28" s="76">
        <v>49.198</v>
      </c>
      <c r="G28" s="76">
        <v>100.85599999999999</v>
      </c>
      <c r="H28" s="201">
        <v>159.89400000000001</v>
      </c>
    </row>
    <row r="29" spans="1:8" ht="12.95" customHeight="1" x14ac:dyDescent="0.2">
      <c r="A29" s="245" t="s">
        <v>36</v>
      </c>
      <c r="B29" s="75">
        <v>10.77</v>
      </c>
      <c r="C29" s="76">
        <v>5.0430000000000001</v>
      </c>
      <c r="D29" s="76">
        <v>235.91499999999999</v>
      </c>
      <c r="E29" s="76">
        <v>770.91099999999994</v>
      </c>
      <c r="F29" s="76">
        <v>48.122999999999998</v>
      </c>
      <c r="G29" s="76">
        <v>68.039000000000001</v>
      </c>
      <c r="H29" s="201">
        <v>146.506</v>
      </c>
    </row>
    <row r="30" spans="1:8" ht="12.95" customHeight="1" x14ac:dyDescent="0.2">
      <c r="A30" s="245" t="s">
        <v>37</v>
      </c>
      <c r="B30" s="75">
        <v>4.5570000000000004</v>
      </c>
      <c r="C30" s="66">
        <v>0</v>
      </c>
      <c r="D30" s="76">
        <v>145.82599999999999</v>
      </c>
      <c r="E30" s="76">
        <v>403.29899999999998</v>
      </c>
      <c r="F30" s="76">
        <v>25.064</v>
      </c>
      <c r="G30" s="76">
        <v>52.405999999999999</v>
      </c>
      <c r="H30" s="201">
        <v>148.10400000000001</v>
      </c>
    </row>
    <row r="31" spans="1:8" ht="12.95" customHeight="1" x14ac:dyDescent="0.2">
      <c r="A31" s="248" t="s">
        <v>318</v>
      </c>
      <c r="B31" s="75">
        <v>11.012</v>
      </c>
      <c r="C31" s="76">
        <v>5.24</v>
      </c>
      <c r="D31" s="76">
        <v>239.42599999999999</v>
      </c>
      <c r="E31" s="76">
        <v>785.23900000000003</v>
      </c>
      <c r="F31" s="76">
        <v>49.021999999999998</v>
      </c>
      <c r="G31" s="76">
        <v>68.649000000000001</v>
      </c>
      <c r="H31" s="201">
        <v>146.44399999999999</v>
      </c>
    </row>
    <row r="32" spans="1:8" ht="12.95" customHeight="1" x14ac:dyDescent="0.2">
      <c r="A32" s="245" t="s">
        <v>38</v>
      </c>
      <c r="B32" s="75">
        <v>8.5180000000000007</v>
      </c>
      <c r="C32" s="76">
        <v>4.1319999999999997</v>
      </c>
      <c r="D32" s="76">
        <v>213.279</v>
      </c>
      <c r="E32" s="76">
        <v>818.79100000000005</v>
      </c>
      <c r="F32" s="76">
        <v>42.335000000000001</v>
      </c>
      <c r="G32" s="76">
        <v>95.718000000000004</v>
      </c>
      <c r="H32" s="201">
        <v>128.524</v>
      </c>
    </row>
    <row r="33" spans="1:8" ht="12.95" customHeight="1" x14ac:dyDescent="0.2">
      <c r="A33" s="245" t="s">
        <v>39</v>
      </c>
      <c r="B33" s="75">
        <v>20.074000000000002</v>
      </c>
      <c r="C33" s="76">
        <v>4.0759999999999996</v>
      </c>
      <c r="D33" s="76">
        <v>198.09399999999999</v>
      </c>
      <c r="E33" s="76">
        <v>574.71900000000005</v>
      </c>
      <c r="F33" s="76">
        <v>34.951999999999998</v>
      </c>
      <c r="G33" s="76">
        <v>71.534000000000006</v>
      </c>
      <c r="H33" s="201">
        <v>114.434</v>
      </c>
    </row>
    <row r="34" spans="1:8" ht="12.95" customHeight="1" x14ac:dyDescent="0.2">
      <c r="A34" s="245" t="s">
        <v>40</v>
      </c>
      <c r="B34" s="75">
        <v>33.438000000000002</v>
      </c>
      <c r="C34" s="76">
        <v>6.2729999999999997</v>
      </c>
      <c r="D34" s="76">
        <v>238.99600000000001</v>
      </c>
      <c r="E34" s="76">
        <v>717.548</v>
      </c>
      <c r="F34" s="76">
        <v>56.122</v>
      </c>
      <c r="G34" s="76">
        <v>71.972999999999999</v>
      </c>
      <c r="H34" s="201">
        <v>138.28899999999999</v>
      </c>
    </row>
    <row r="35" spans="1:8" ht="12.95" customHeight="1" x14ac:dyDescent="0.2">
      <c r="A35" s="245" t="s">
        <v>41</v>
      </c>
      <c r="B35" s="75">
        <v>14.476000000000001</v>
      </c>
      <c r="C35" s="76">
        <v>4.343</v>
      </c>
      <c r="D35" s="76">
        <v>202.52699999999999</v>
      </c>
      <c r="E35" s="76">
        <v>613.50400000000002</v>
      </c>
      <c r="F35" s="76">
        <v>22.898</v>
      </c>
      <c r="G35" s="76">
        <v>60.402999999999999</v>
      </c>
      <c r="H35" s="201">
        <v>122.253</v>
      </c>
    </row>
    <row r="36" spans="1:8" ht="12.95" customHeight="1" x14ac:dyDescent="0.2">
      <c r="A36" s="245" t="s">
        <v>42</v>
      </c>
      <c r="B36" s="75">
        <v>16.771999999999998</v>
      </c>
      <c r="C36" s="76">
        <v>4.8849999999999998</v>
      </c>
      <c r="D36" s="76">
        <v>204.036</v>
      </c>
      <c r="E36" s="76">
        <v>925.89700000000005</v>
      </c>
      <c r="F36" s="76">
        <v>56.015999999999998</v>
      </c>
      <c r="G36" s="76">
        <v>91.677999999999997</v>
      </c>
      <c r="H36" s="201">
        <v>157.62700000000001</v>
      </c>
    </row>
    <row r="37" spans="1:8" ht="12.95" customHeight="1" x14ac:dyDescent="0.2">
      <c r="A37" s="245" t="s">
        <v>43</v>
      </c>
      <c r="B37" s="75">
        <v>13.659000000000001</v>
      </c>
      <c r="C37" s="76">
        <v>8.8469999999999995</v>
      </c>
      <c r="D37" s="76">
        <v>249.89599999999999</v>
      </c>
      <c r="E37" s="76">
        <v>1062.289</v>
      </c>
      <c r="F37" s="76">
        <v>70.311999999999998</v>
      </c>
      <c r="G37" s="76">
        <v>80.245999999999995</v>
      </c>
      <c r="H37" s="201">
        <v>152.11000000000001</v>
      </c>
    </row>
    <row r="38" spans="1:8" s="8" customFormat="1" ht="12.95" customHeight="1" x14ac:dyDescent="0.25">
      <c r="A38" s="245" t="s">
        <v>44</v>
      </c>
      <c r="B38" s="75">
        <v>23.489000000000001</v>
      </c>
      <c r="C38" s="76">
        <v>4.1109999999999998</v>
      </c>
      <c r="D38" s="76">
        <v>255.518</v>
      </c>
      <c r="E38" s="76">
        <v>675.68499999999995</v>
      </c>
      <c r="F38" s="76">
        <v>44.35</v>
      </c>
      <c r="G38" s="76">
        <v>49.185000000000002</v>
      </c>
      <c r="H38" s="201">
        <v>73.245000000000005</v>
      </c>
    </row>
    <row r="39" spans="1:8" s="8" customFormat="1" ht="12.95" customHeight="1" x14ac:dyDescent="0.25">
      <c r="A39" s="249" t="s">
        <v>45</v>
      </c>
      <c r="B39" s="73">
        <v>22.434999999999999</v>
      </c>
      <c r="C39" s="74">
        <v>10.946</v>
      </c>
      <c r="D39" s="74">
        <v>203.315</v>
      </c>
      <c r="E39" s="74">
        <v>647.14400000000001</v>
      </c>
      <c r="F39" s="74">
        <v>36.625999999999998</v>
      </c>
      <c r="G39" s="74">
        <v>66.983000000000004</v>
      </c>
      <c r="H39" s="200">
        <v>95.706000000000003</v>
      </c>
    </row>
    <row r="40" spans="1:8" ht="12.95" customHeight="1" x14ac:dyDescent="0.2">
      <c r="A40" s="245" t="s">
        <v>46</v>
      </c>
      <c r="B40" s="75">
        <v>19.009</v>
      </c>
      <c r="C40" s="77">
        <v>7.9569999999999999</v>
      </c>
      <c r="D40" s="77">
        <v>217.93799999999999</v>
      </c>
      <c r="E40" s="77">
        <v>653.15</v>
      </c>
      <c r="F40" s="77">
        <v>40.228000000000002</v>
      </c>
      <c r="G40" s="77">
        <v>63.436</v>
      </c>
      <c r="H40" s="202">
        <v>98.138000000000005</v>
      </c>
    </row>
    <row r="41" spans="1:8" ht="12.95" customHeight="1" x14ac:dyDescent="0.2">
      <c r="A41" s="245" t="s">
        <v>47</v>
      </c>
      <c r="B41" s="75">
        <v>14.734</v>
      </c>
      <c r="C41" s="76">
        <v>11.5</v>
      </c>
      <c r="D41" s="76">
        <v>172.85499999999999</v>
      </c>
      <c r="E41" s="76">
        <v>459.988</v>
      </c>
      <c r="F41" s="76">
        <v>29.109000000000002</v>
      </c>
      <c r="G41" s="76">
        <v>44.201999999999998</v>
      </c>
      <c r="H41" s="201">
        <v>114.27800000000001</v>
      </c>
    </row>
    <row r="42" spans="1:8" ht="12.95" customHeight="1" x14ac:dyDescent="0.2">
      <c r="A42" s="245" t="s">
        <v>211</v>
      </c>
      <c r="B42" s="75">
        <v>37.808</v>
      </c>
      <c r="C42" s="76">
        <v>14.295999999999999</v>
      </c>
      <c r="D42" s="76">
        <v>227.16399999999999</v>
      </c>
      <c r="E42" s="76">
        <v>942.11599999999999</v>
      </c>
      <c r="F42" s="76">
        <v>33.985999999999997</v>
      </c>
      <c r="G42" s="76">
        <v>81.114999999999995</v>
      </c>
      <c r="H42" s="201">
        <v>104.261</v>
      </c>
    </row>
    <row r="43" spans="1:8" ht="12.95" customHeight="1" x14ac:dyDescent="0.2">
      <c r="A43" s="245" t="s">
        <v>48</v>
      </c>
      <c r="B43" s="75">
        <v>16.148</v>
      </c>
      <c r="C43" s="76">
        <v>5.4489999999999998</v>
      </c>
      <c r="D43" s="76">
        <v>195.92699999999999</v>
      </c>
      <c r="E43" s="76">
        <v>538.452</v>
      </c>
      <c r="F43" s="76">
        <v>33.902000000000001</v>
      </c>
      <c r="G43" s="76">
        <v>58.188000000000002</v>
      </c>
      <c r="H43" s="201">
        <v>96.835999999999999</v>
      </c>
    </row>
    <row r="44" spans="1:8" ht="12.95" customHeight="1" x14ac:dyDescent="0.2">
      <c r="A44" s="245" t="s">
        <v>49</v>
      </c>
      <c r="B44" s="75">
        <v>22.282</v>
      </c>
      <c r="C44" s="76">
        <v>14.037000000000001</v>
      </c>
      <c r="D44" s="76">
        <v>190.82300000000001</v>
      </c>
      <c r="E44" s="76">
        <v>546.947</v>
      </c>
      <c r="F44" s="76">
        <v>37.792000000000002</v>
      </c>
      <c r="G44" s="76">
        <v>61.643999999999998</v>
      </c>
      <c r="H44" s="201">
        <v>103.755</v>
      </c>
    </row>
    <row r="45" spans="1:8" ht="12.95" customHeight="1" x14ac:dyDescent="0.2">
      <c r="A45" s="245" t="s">
        <v>50</v>
      </c>
      <c r="B45" s="75">
        <v>23.381</v>
      </c>
      <c r="C45" s="76">
        <v>11.1</v>
      </c>
      <c r="D45" s="76">
        <v>232.70400000000001</v>
      </c>
      <c r="E45" s="76">
        <v>703.30700000000002</v>
      </c>
      <c r="F45" s="76">
        <v>40.581000000000003</v>
      </c>
      <c r="G45" s="76">
        <v>79.430999999999997</v>
      </c>
      <c r="H45" s="201">
        <v>103.28400000000001</v>
      </c>
    </row>
    <row r="46" spans="1:8" ht="12.95" customHeight="1" x14ac:dyDescent="0.2">
      <c r="A46" s="245" t="s">
        <v>51</v>
      </c>
      <c r="B46" s="75">
        <v>23.384</v>
      </c>
      <c r="C46" s="76">
        <v>15.944000000000001</v>
      </c>
      <c r="D46" s="76">
        <v>184.54400000000001</v>
      </c>
      <c r="E46" s="76">
        <v>639.77499999999998</v>
      </c>
      <c r="F46" s="76">
        <v>39.799999999999997</v>
      </c>
      <c r="G46" s="76">
        <v>65.498999999999995</v>
      </c>
      <c r="H46" s="201">
        <v>82.977000000000004</v>
      </c>
    </row>
    <row r="47" spans="1:8" ht="12.95" customHeight="1" x14ac:dyDescent="0.2">
      <c r="A47" s="245" t="s">
        <v>213</v>
      </c>
      <c r="B47" s="75">
        <v>29.349</v>
      </c>
      <c r="C47" s="76">
        <v>12.307</v>
      </c>
      <c r="D47" s="76">
        <v>238.339</v>
      </c>
      <c r="E47" s="76">
        <v>834.30399999999997</v>
      </c>
      <c r="F47" s="76">
        <v>26.981999999999999</v>
      </c>
      <c r="G47" s="76">
        <v>90.176000000000002</v>
      </c>
      <c r="H47" s="201">
        <v>89.938999999999993</v>
      </c>
    </row>
    <row r="48" spans="1:8" ht="12.95" customHeight="1" x14ac:dyDescent="0.2">
      <c r="A48" s="250" t="s">
        <v>52</v>
      </c>
      <c r="B48" s="73">
        <v>7.2640000000000002</v>
      </c>
      <c r="C48" s="74">
        <v>3.7759999999999998</v>
      </c>
      <c r="D48" s="74">
        <v>119.371</v>
      </c>
      <c r="E48" s="74">
        <v>414.48099999999999</v>
      </c>
      <c r="F48" s="74">
        <v>32.503</v>
      </c>
      <c r="G48" s="74">
        <v>34.143999999999998</v>
      </c>
      <c r="H48" s="200">
        <v>51.945</v>
      </c>
    </row>
    <row r="49" spans="1:8" ht="12.95" customHeight="1" x14ac:dyDescent="0.2">
      <c r="A49" s="245" t="s">
        <v>53</v>
      </c>
      <c r="B49" s="75">
        <v>4.8860000000000001</v>
      </c>
      <c r="C49" s="76">
        <v>2.476</v>
      </c>
      <c r="D49" s="76">
        <v>73.989999999999995</v>
      </c>
      <c r="E49" s="76">
        <v>212.03299999999999</v>
      </c>
      <c r="F49" s="76">
        <v>55.137999999999998</v>
      </c>
      <c r="G49" s="76">
        <v>20.041</v>
      </c>
      <c r="H49" s="201">
        <v>44.209000000000003</v>
      </c>
    </row>
    <row r="50" spans="1:8" ht="12.95" customHeight="1" x14ac:dyDescent="0.2">
      <c r="A50" s="245" t="s">
        <v>54</v>
      </c>
      <c r="B50" s="75">
        <v>6.7140000000000004</v>
      </c>
      <c r="C50" s="76">
        <v>2.7280000000000002</v>
      </c>
      <c r="D50" s="76">
        <v>53.290999999999997</v>
      </c>
      <c r="E50" s="76">
        <v>148.33500000000001</v>
      </c>
      <c r="F50" s="76">
        <v>5.2450000000000001</v>
      </c>
      <c r="G50" s="76">
        <v>4.8259999999999996</v>
      </c>
      <c r="H50" s="201">
        <v>23.079000000000001</v>
      </c>
    </row>
    <row r="51" spans="1:8" ht="12.95" customHeight="1" x14ac:dyDescent="0.2">
      <c r="A51" s="245" t="s">
        <v>55</v>
      </c>
      <c r="B51" s="75">
        <v>11.583</v>
      </c>
      <c r="C51" s="76">
        <v>7.181</v>
      </c>
      <c r="D51" s="76">
        <v>132.738</v>
      </c>
      <c r="E51" s="76">
        <v>464.815</v>
      </c>
      <c r="F51" s="76">
        <v>23.86</v>
      </c>
      <c r="G51" s="76">
        <v>41.929000000000002</v>
      </c>
      <c r="H51" s="201">
        <v>58.493000000000002</v>
      </c>
    </row>
    <row r="52" spans="1:8" ht="12.95" customHeight="1" x14ac:dyDescent="0.2">
      <c r="A52" s="245" t="s">
        <v>56</v>
      </c>
      <c r="B52" s="75">
        <v>4.4960000000000004</v>
      </c>
      <c r="C52" s="76">
        <v>2.141</v>
      </c>
      <c r="D52" s="76">
        <v>135.29900000000001</v>
      </c>
      <c r="E52" s="76">
        <v>450.21</v>
      </c>
      <c r="F52" s="76">
        <v>28.259</v>
      </c>
      <c r="G52" s="76">
        <v>43.03</v>
      </c>
      <c r="H52" s="201">
        <v>62.725000000000001</v>
      </c>
    </row>
    <row r="53" spans="1:8" ht="12.95" customHeight="1" x14ac:dyDescent="0.2">
      <c r="A53" s="245" t="s">
        <v>57</v>
      </c>
      <c r="B53" s="75">
        <v>8.8130000000000006</v>
      </c>
      <c r="C53" s="76">
        <v>5.5439999999999996</v>
      </c>
      <c r="D53" s="76">
        <v>161.33500000000001</v>
      </c>
      <c r="E53" s="76">
        <v>664.24599999999998</v>
      </c>
      <c r="F53" s="76">
        <v>29.282</v>
      </c>
      <c r="G53" s="76">
        <v>67.376999999999995</v>
      </c>
      <c r="H53" s="201">
        <v>61.122999999999998</v>
      </c>
    </row>
    <row r="54" spans="1:8" ht="12.95" customHeight="1" x14ac:dyDescent="0.2">
      <c r="A54" s="245" t="s">
        <v>58</v>
      </c>
      <c r="B54" s="75">
        <v>10.196</v>
      </c>
      <c r="C54" s="76">
        <v>3.2440000000000002</v>
      </c>
      <c r="D54" s="76">
        <v>108.077</v>
      </c>
      <c r="E54" s="76">
        <v>348.05399999999997</v>
      </c>
      <c r="F54" s="76">
        <v>13.532999999999999</v>
      </c>
      <c r="G54" s="76">
        <v>17.611000000000001</v>
      </c>
      <c r="H54" s="201">
        <v>31.515000000000001</v>
      </c>
    </row>
    <row r="55" spans="1:8" s="8" customFormat="1" ht="12.95" customHeight="1" x14ac:dyDescent="0.25">
      <c r="A55" s="245" t="s">
        <v>59</v>
      </c>
      <c r="B55" s="75">
        <v>8.3840000000000003</v>
      </c>
      <c r="C55" s="76">
        <v>4.7809999999999997</v>
      </c>
      <c r="D55" s="76">
        <v>180.55699999999999</v>
      </c>
      <c r="E55" s="76">
        <v>668.072</v>
      </c>
      <c r="F55" s="76">
        <v>27.934000000000001</v>
      </c>
      <c r="G55" s="76">
        <v>52.48</v>
      </c>
      <c r="H55" s="201">
        <v>72.992999999999995</v>
      </c>
    </row>
    <row r="56" spans="1:8" ht="12.95" customHeight="1" x14ac:dyDescent="0.2">
      <c r="A56" s="244" t="s">
        <v>60</v>
      </c>
      <c r="B56" s="79">
        <v>24.797999999999998</v>
      </c>
      <c r="C56" s="80">
        <v>5.9180000000000001</v>
      </c>
      <c r="D56" s="80">
        <v>195.464</v>
      </c>
      <c r="E56" s="80">
        <v>622.30799999999999</v>
      </c>
      <c r="F56" s="80">
        <v>49.265999999999998</v>
      </c>
      <c r="G56" s="80">
        <v>73.245000000000005</v>
      </c>
      <c r="H56" s="203">
        <v>129.90299999999999</v>
      </c>
    </row>
    <row r="57" spans="1:8" ht="12.95" customHeight="1" x14ac:dyDescent="0.2">
      <c r="A57" s="245" t="s">
        <v>61</v>
      </c>
      <c r="B57" s="75">
        <v>24.527000000000001</v>
      </c>
      <c r="C57" s="76">
        <v>7.0780000000000003</v>
      </c>
      <c r="D57" s="76">
        <v>169.59899999999999</v>
      </c>
      <c r="E57" s="76">
        <v>532.73299999999995</v>
      </c>
      <c r="F57" s="76">
        <v>73.875</v>
      </c>
      <c r="G57" s="76">
        <v>63.259</v>
      </c>
      <c r="H57" s="201">
        <v>129.90799999999999</v>
      </c>
    </row>
    <row r="58" spans="1:8" ht="12.95" customHeight="1" x14ac:dyDescent="0.2">
      <c r="A58" s="245" t="s">
        <v>62</v>
      </c>
      <c r="B58" s="75">
        <v>9.0470000000000006</v>
      </c>
      <c r="C58" s="76">
        <v>4.9619999999999997</v>
      </c>
      <c r="D58" s="76">
        <v>189.12100000000001</v>
      </c>
      <c r="E58" s="76">
        <v>540.221</v>
      </c>
      <c r="F58" s="76">
        <v>56.765999999999998</v>
      </c>
      <c r="G58" s="76">
        <v>80.260000000000005</v>
      </c>
      <c r="H58" s="201">
        <v>166.21100000000001</v>
      </c>
    </row>
    <row r="59" spans="1:8" ht="12.95" customHeight="1" x14ac:dyDescent="0.2">
      <c r="A59" s="245" t="s">
        <v>63</v>
      </c>
      <c r="B59" s="75">
        <v>12.994999999999999</v>
      </c>
      <c r="C59" s="76">
        <v>3.0939999999999999</v>
      </c>
      <c r="D59" s="76">
        <v>174.38200000000001</v>
      </c>
      <c r="E59" s="76">
        <v>429.70499999999998</v>
      </c>
      <c r="F59" s="76">
        <v>53.341999999999999</v>
      </c>
      <c r="G59" s="76">
        <v>67.822000000000003</v>
      </c>
      <c r="H59" s="201">
        <v>111.634</v>
      </c>
    </row>
    <row r="60" spans="1:8" ht="12.95" customHeight="1" x14ac:dyDescent="0.2">
      <c r="A60" s="245" t="s">
        <v>64</v>
      </c>
      <c r="B60" s="75">
        <v>15.089</v>
      </c>
      <c r="C60" s="76">
        <v>3.9460000000000002</v>
      </c>
      <c r="D60" s="76">
        <v>196.80199999999999</v>
      </c>
      <c r="E60" s="76">
        <v>599.64</v>
      </c>
      <c r="F60" s="76">
        <v>40.676000000000002</v>
      </c>
      <c r="G60" s="76">
        <v>50.426000000000002</v>
      </c>
      <c r="H60" s="201">
        <v>91.798000000000002</v>
      </c>
    </row>
    <row r="61" spans="1:8" ht="12.95" customHeight="1" x14ac:dyDescent="0.2">
      <c r="A61" s="245" t="s">
        <v>65</v>
      </c>
      <c r="B61" s="75">
        <v>18.853000000000002</v>
      </c>
      <c r="C61" s="76">
        <v>6.5919999999999996</v>
      </c>
      <c r="D61" s="76">
        <v>189.71700000000001</v>
      </c>
      <c r="E61" s="76">
        <v>537.24599999999998</v>
      </c>
      <c r="F61" s="76">
        <v>55.768000000000001</v>
      </c>
      <c r="G61" s="76">
        <v>84.971000000000004</v>
      </c>
      <c r="H61" s="201">
        <v>142.65</v>
      </c>
    </row>
    <row r="62" spans="1:8" ht="12.95" customHeight="1" x14ac:dyDescent="0.2">
      <c r="A62" s="245" t="s">
        <v>66</v>
      </c>
      <c r="B62" s="75">
        <v>11.728999999999999</v>
      </c>
      <c r="C62" s="76">
        <v>4.8529999999999998</v>
      </c>
      <c r="D62" s="76">
        <v>165.82499999999999</v>
      </c>
      <c r="E62" s="76">
        <v>461.55900000000003</v>
      </c>
      <c r="F62" s="76">
        <v>69.484999999999999</v>
      </c>
      <c r="G62" s="76">
        <v>84.611000000000004</v>
      </c>
      <c r="H62" s="201">
        <v>177.31100000000001</v>
      </c>
    </row>
    <row r="63" spans="1:8" ht="12.95" customHeight="1" x14ac:dyDescent="0.2">
      <c r="A63" s="245" t="s">
        <v>67</v>
      </c>
      <c r="B63" s="75">
        <v>42.570999999999998</v>
      </c>
      <c r="C63" s="76">
        <v>8.3170000000000002</v>
      </c>
      <c r="D63" s="76">
        <v>195.57599999999999</v>
      </c>
      <c r="E63" s="76">
        <v>691.92</v>
      </c>
      <c r="F63" s="76">
        <v>41.811</v>
      </c>
      <c r="G63" s="76">
        <v>89.394999999999996</v>
      </c>
      <c r="H63" s="201">
        <v>148.25800000000001</v>
      </c>
    </row>
    <row r="64" spans="1:8" ht="12.95" customHeight="1" x14ac:dyDescent="0.2">
      <c r="A64" s="245" t="s">
        <v>68</v>
      </c>
      <c r="B64" s="75">
        <v>8.42</v>
      </c>
      <c r="C64" s="76">
        <v>4.2480000000000002</v>
      </c>
      <c r="D64" s="76">
        <v>236.52500000000001</v>
      </c>
      <c r="E64" s="76">
        <v>717.99400000000003</v>
      </c>
      <c r="F64" s="76">
        <v>50.518000000000001</v>
      </c>
      <c r="G64" s="76">
        <v>72.61</v>
      </c>
      <c r="H64" s="201">
        <v>143.75299999999999</v>
      </c>
    </row>
    <row r="65" spans="1:8" ht="12.95" customHeight="1" x14ac:dyDescent="0.2">
      <c r="A65" s="245" t="s">
        <v>69</v>
      </c>
      <c r="B65" s="75">
        <v>14.72</v>
      </c>
      <c r="C65" s="76">
        <v>2.8580000000000001</v>
      </c>
      <c r="D65" s="76">
        <v>190.47399999999999</v>
      </c>
      <c r="E65" s="76">
        <v>646.59100000000001</v>
      </c>
      <c r="F65" s="76">
        <v>43.055</v>
      </c>
      <c r="G65" s="76">
        <v>89.028999999999996</v>
      </c>
      <c r="H65" s="201">
        <v>112.877</v>
      </c>
    </row>
    <row r="66" spans="1:8" ht="12.95" customHeight="1" x14ac:dyDescent="0.2">
      <c r="A66" s="245" t="s">
        <v>70</v>
      </c>
      <c r="B66" s="75">
        <v>34.585000000000001</v>
      </c>
      <c r="C66" s="76">
        <v>7.73</v>
      </c>
      <c r="D66" s="76">
        <v>224.02699999999999</v>
      </c>
      <c r="E66" s="76">
        <v>607.82799999999997</v>
      </c>
      <c r="F66" s="76">
        <v>44.975999999999999</v>
      </c>
      <c r="G66" s="76">
        <v>76.900999999999996</v>
      </c>
      <c r="H66" s="201">
        <v>125.441</v>
      </c>
    </row>
    <row r="67" spans="1:8" ht="12.95" customHeight="1" x14ac:dyDescent="0.2">
      <c r="A67" s="245" t="s">
        <v>71</v>
      </c>
      <c r="B67" s="75">
        <v>9.9619999999999997</v>
      </c>
      <c r="C67" s="76">
        <v>3.6429999999999998</v>
      </c>
      <c r="D67" s="76">
        <v>201.61799999999999</v>
      </c>
      <c r="E67" s="76">
        <v>816.43600000000004</v>
      </c>
      <c r="F67" s="76">
        <v>65.125</v>
      </c>
      <c r="G67" s="76">
        <v>87.799000000000007</v>
      </c>
      <c r="H67" s="201">
        <v>130.62100000000001</v>
      </c>
    </row>
    <row r="68" spans="1:8" ht="12.95" customHeight="1" x14ac:dyDescent="0.2">
      <c r="A68" s="245" t="s">
        <v>72</v>
      </c>
      <c r="B68" s="75">
        <v>50.268000000000001</v>
      </c>
      <c r="C68" s="76">
        <v>9.08</v>
      </c>
      <c r="D68" s="76">
        <v>210.90100000000001</v>
      </c>
      <c r="E68" s="76">
        <v>589.17399999999998</v>
      </c>
      <c r="F68" s="76">
        <v>27.957999999999998</v>
      </c>
      <c r="G68" s="76">
        <v>65.650999999999996</v>
      </c>
      <c r="H68" s="201">
        <v>162.16200000000001</v>
      </c>
    </row>
    <row r="69" spans="1:8" ht="12.95" customHeight="1" x14ac:dyDescent="0.2">
      <c r="A69" s="246" t="s">
        <v>73</v>
      </c>
      <c r="B69" s="75">
        <v>22.067</v>
      </c>
      <c r="C69" s="76">
        <v>4.55</v>
      </c>
      <c r="D69" s="76">
        <v>187.44499999999999</v>
      </c>
      <c r="E69" s="76">
        <v>718.09</v>
      </c>
      <c r="F69" s="76">
        <v>49.045999999999999</v>
      </c>
      <c r="G69" s="76">
        <v>78.802999999999997</v>
      </c>
      <c r="H69" s="201">
        <v>109.407</v>
      </c>
    </row>
    <row r="70" spans="1:8" s="8" customFormat="1" ht="12.95" customHeight="1" x14ac:dyDescent="0.25">
      <c r="A70" s="245" t="s">
        <v>74</v>
      </c>
      <c r="B70" s="75">
        <v>38.399000000000001</v>
      </c>
      <c r="C70" s="76">
        <v>9.6389999999999993</v>
      </c>
      <c r="D70" s="76">
        <v>223.22200000000001</v>
      </c>
      <c r="E70" s="76">
        <v>814.97400000000005</v>
      </c>
      <c r="F70" s="76">
        <v>36.646000000000001</v>
      </c>
      <c r="G70" s="76">
        <v>63.253999999999998</v>
      </c>
      <c r="H70" s="201">
        <v>133.28</v>
      </c>
    </row>
    <row r="71" spans="1:8" ht="12.95" customHeight="1" x14ac:dyDescent="0.2">
      <c r="A71" s="249" t="s">
        <v>75</v>
      </c>
      <c r="B71" s="73">
        <v>43.401000000000003</v>
      </c>
      <c r="C71" s="74">
        <v>11.292</v>
      </c>
      <c r="D71" s="74">
        <v>198.55699999999999</v>
      </c>
      <c r="E71" s="74">
        <v>564.73</v>
      </c>
      <c r="F71" s="74">
        <v>44.731000000000002</v>
      </c>
      <c r="G71" s="74">
        <v>66.302000000000007</v>
      </c>
      <c r="H71" s="200">
        <v>134.16900000000001</v>
      </c>
    </row>
    <row r="72" spans="1:8" ht="12.95" customHeight="1" x14ac:dyDescent="0.2">
      <c r="A72" s="245" t="s">
        <v>76</v>
      </c>
      <c r="B72" s="75">
        <v>44.521999999999998</v>
      </c>
      <c r="C72" s="76">
        <v>21.678000000000001</v>
      </c>
      <c r="D72" s="76">
        <v>257.57499999999999</v>
      </c>
      <c r="E72" s="76">
        <v>612.23599999999999</v>
      </c>
      <c r="F72" s="76">
        <v>98.018000000000001</v>
      </c>
      <c r="G72" s="76">
        <v>81.817999999999998</v>
      </c>
      <c r="H72" s="201">
        <v>157.69200000000001</v>
      </c>
    </row>
    <row r="73" spans="1:8" ht="12.95" customHeight="1" x14ac:dyDescent="0.2">
      <c r="A73" s="245" t="s">
        <v>77</v>
      </c>
      <c r="B73" s="75">
        <v>51.69</v>
      </c>
      <c r="C73" s="76">
        <v>12.749000000000001</v>
      </c>
      <c r="D73" s="76">
        <v>221.864</v>
      </c>
      <c r="E73" s="76">
        <v>678.27300000000002</v>
      </c>
      <c r="F73" s="76">
        <v>45.061</v>
      </c>
      <c r="G73" s="76">
        <v>83.563000000000002</v>
      </c>
      <c r="H73" s="201">
        <v>150.63499999999999</v>
      </c>
    </row>
    <row r="74" spans="1:8" ht="12.95" customHeight="1" x14ac:dyDescent="0.2">
      <c r="A74" s="245" t="s">
        <v>78</v>
      </c>
      <c r="B74" s="75">
        <v>33.701999999999998</v>
      </c>
      <c r="C74" s="76">
        <v>6.3780000000000001</v>
      </c>
      <c r="D74" s="76">
        <v>118.28700000000001</v>
      </c>
      <c r="E74" s="76">
        <v>367.97399999999999</v>
      </c>
      <c r="F74" s="76">
        <v>29.550999999999998</v>
      </c>
      <c r="G74" s="76">
        <v>42.058999999999997</v>
      </c>
      <c r="H74" s="201">
        <v>100.556</v>
      </c>
    </row>
    <row r="75" spans="1:8" ht="12.95" customHeight="1" x14ac:dyDescent="0.2">
      <c r="A75" s="245" t="s">
        <v>79</v>
      </c>
      <c r="B75" s="75">
        <v>28.844000000000001</v>
      </c>
      <c r="C75" s="76">
        <v>3.911</v>
      </c>
      <c r="D75" s="76">
        <v>109.508</v>
      </c>
      <c r="E75" s="76">
        <v>254.09200000000001</v>
      </c>
      <c r="F75" s="76">
        <v>19.677</v>
      </c>
      <c r="G75" s="76">
        <v>40.026000000000003</v>
      </c>
      <c r="H75" s="201">
        <v>76.813999999999993</v>
      </c>
    </row>
    <row r="76" spans="1:8" ht="12.95" customHeight="1" x14ac:dyDescent="0.2">
      <c r="A76" s="245" t="s">
        <v>80</v>
      </c>
      <c r="B76" s="75">
        <v>15.512</v>
      </c>
      <c r="C76" s="76">
        <v>4.4850000000000003</v>
      </c>
      <c r="D76" s="76">
        <v>94.379000000000005</v>
      </c>
      <c r="E76" s="76">
        <v>193.804</v>
      </c>
      <c r="F76" s="76">
        <v>17.381</v>
      </c>
      <c r="G76" s="76">
        <v>35.695999999999998</v>
      </c>
      <c r="H76" s="201">
        <v>113.629</v>
      </c>
    </row>
    <row r="77" spans="1:8" s="8" customFormat="1" ht="12.95" customHeight="1" x14ac:dyDescent="0.25">
      <c r="A77" s="248" t="s">
        <v>319</v>
      </c>
      <c r="B77" s="75">
        <v>45.762999999999998</v>
      </c>
      <c r="C77" s="76">
        <v>9.8209999999999997</v>
      </c>
      <c r="D77" s="76">
        <v>136.81</v>
      </c>
      <c r="E77" s="76">
        <v>558.63</v>
      </c>
      <c r="F77" s="76">
        <v>45.012</v>
      </c>
      <c r="G77" s="76">
        <v>46.649000000000001</v>
      </c>
      <c r="H77" s="201">
        <v>122.283</v>
      </c>
    </row>
    <row r="78" spans="1:8" ht="12.95" customHeight="1" x14ac:dyDescent="0.2">
      <c r="A78" s="245" t="s">
        <v>81</v>
      </c>
      <c r="B78" s="75">
        <v>42.953000000000003</v>
      </c>
      <c r="C78" s="76">
        <v>12.052</v>
      </c>
      <c r="D78" s="76">
        <v>238.66800000000001</v>
      </c>
      <c r="E78" s="76">
        <v>617.10400000000004</v>
      </c>
      <c r="F78" s="76">
        <v>47.036999999999999</v>
      </c>
      <c r="G78" s="76">
        <v>66.343000000000004</v>
      </c>
      <c r="H78" s="201">
        <v>142.96700000000001</v>
      </c>
    </row>
    <row r="79" spans="1:8" ht="12.95" customHeight="1" x14ac:dyDescent="0.2">
      <c r="A79" s="244" t="s">
        <v>82</v>
      </c>
      <c r="B79" s="73">
        <v>47.27</v>
      </c>
      <c r="C79" s="74">
        <v>15.497999999999999</v>
      </c>
      <c r="D79" s="74">
        <v>215.554</v>
      </c>
      <c r="E79" s="74">
        <v>579.09100000000001</v>
      </c>
      <c r="F79" s="74">
        <v>59.715000000000003</v>
      </c>
      <c r="G79" s="74">
        <v>66.462999999999994</v>
      </c>
      <c r="H79" s="200">
        <v>141.80000000000001</v>
      </c>
    </row>
    <row r="80" spans="1:8" ht="12.95" customHeight="1" x14ac:dyDescent="0.2">
      <c r="A80" s="245" t="s">
        <v>83</v>
      </c>
      <c r="B80" s="75">
        <v>17.123000000000001</v>
      </c>
      <c r="C80" s="76">
        <v>6.4790000000000001</v>
      </c>
      <c r="D80" s="76">
        <v>145.77699999999999</v>
      </c>
      <c r="E80" s="76">
        <v>425.298</v>
      </c>
      <c r="F80" s="76">
        <v>51.369</v>
      </c>
      <c r="G80" s="76">
        <v>51.369</v>
      </c>
      <c r="H80" s="201">
        <v>141.61199999999999</v>
      </c>
    </row>
    <row r="81" spans="1:8" ht="12.95" customHeight="1" x14ac:dyDescent="0.2">
      <c r="A81" s="245" t="s">
        <v>84</v>
      </c>
      <c r="B81" s="75">
        <v>23.393000000000001</v>
      </c>
      <c r="C81" s="76">
        <v>6.306</v>
      </c>
      <c r="D81" s="76">
        <v>177.989</v>
      </c>
      <c r="E81" s="76">
        <v>471.92399999999998</v>
      </c>
      <c r="F81" s="76">
        <v>67.228999999999999</v>
      </c>
      <c r="G81" s="76">
        <v>68.245999999999995</v>
      </c>
      <c r="H81" s="201">
        <v>164.66499999999999</v>
      </c>
    </row>
    <row r="82" spans="1:8" ht="12.95" customHeight="1" x14ac:dyDescent="0.2">
      <c r="A82" s="245" t="s">
        <v>85</v>
      </c>
      <c r="B82" s="75">
        <v>51.404000000000003</v>
      </c>
      <c r="C82" s="76">
        <v>46.357999999999997</v>
      </c>
      <c r="D82" s="76">
        <v>118.892</v>
      </c>
      <c r="E82" s="76">
        <v>343.74700000000001</v>
      </c>
      <c r="F82" s="76">
        <v>57.396000000000001</v>
      </c>
      <c r="G82" s="76">
        <v>67.173000000000002</v>
      </c>
      <c r="H82" s="201">
        <v>261.75200000000001</v>
      </c>
    </row>
    <row r="83" spans="1:8" ht="12.95" customHeight="1" x14ac:dyDescent="0.2">
      <c r="A83" s="245" t="s">
        <v>86</v>
      </c>
      <c r="B83" s="75">
        <v>19.731000000000002</v>
      </c>
      <c r="C83" s="76">
        <v>9.1210000000000004</v>
      </c>
      <c r="D83" s="76">
        <v>218.15799999999999</v>
      </c>
      <c r="E83" s="76">
        <v>639.02499999999998</v>
      </c>
      <c r="F83" s="76">
        <v>70.361999999999995</v>
      </c>
      <c r="G83" s="76">
        <v>67.941999999999993</v>
      </c>
      <c r="H83" s="201">
        <v>155.61500000000001</v>
      </c>
    </row>
    <row r="84" spans="1:8" ht="12.95" customHeight="1" x14ac:dyDescent="0.2">
      <c r="A84" s="245" t="s">
        <v>87</v>
      </c>
      <c r="B84" s="75">
        <v>51.872</v>
      </c>
      <c r="C84" s="76">
        <v>22.14</v>
      </c>
      <c r="D84" s="76">
        <v>223.09100000000001</v>
      </c>
      <c r="E84" s="76">
        <v>587.03800000000001</v>
      </c>
      <c r="F84" s="76">
        <v>63.048000000000002</v>
      </c>
      <c r="G84" s="76">
        <v>61.613999999999997</v>
      </c>
      <c r="H84" s="201">
        <v>119.39</v>
      </c>
    </row>
    <row r="85" spans="1:8" ht="12.95" customHeight="1" x14ac:dyDescent="0.2">
      <c r="A85" s="245" t="s">
        <v>88</v>
      </c>
      <c r="B85" s="75">
        <v>23.312000000000001</v>
      </c>
      <c r="C85" s="76">
        <v>9.8979999999999997</v>
      </c>
      <c r="D85" s="76">
        <v>187.60400000000001</v>
      </c>
      <c r="E85" s="76">
        <v>473.82100000000003</v>
      </c>
      <c r="F85" s="76">
        <v>73.173000000000002</v>
      </c>
      <c r="G85" s="76">
        <v>60.13</v>
      </c>
      <c r="H85" s="201">
        <v>176.31899999999999</v>
      </c>
    </row>
    <row r="86" spans="1:8" ht="12.95" customHeight="1" x14ac:dyDescent="0.2">
      <c r="A86" s="245" t="s">
        <v>89</v>
      </c>
      <c r="B86" s="75">
        <v>35.459000000000003</v>
      </c>
      <c r="C86" s="76">
        <v>15.082000000000001</v>
      </c>
      <c r="D86" s="76">
        <v>240.691</v>
      </c>
      <c r="E86" s="76">
        <v>582.67499999999995</v>
      </c>
      <c r="F86" s="76">
        <v>57.786999999999999</v>
      </c>
      <c r="G86" s="76">
        <v>83.248999999999995</v>
      </c>
      <c r="H86" s="201">
        <v>152.00800000000001</v>
      </c>
    </row>
    <row r="87" spans="1:8" ht="12.95" customHeight="1" x14ac:dyDescent="0.2">
      <c r="A87" s="245" t="s">
        <v>90</v>
      </c>
      <c r="B87" s="75">
        <v>75.119</v>
      </c>
      <c r="C87" s="76">
        <v>20.449000000000002</v>
      </c>
      <c r="D87" s="76">
        <v>211.751</v>
      </c>
      <c r="E87" s="76">
        <v>658.06700000000001</v>
      </c>
      <c r="F87" s="76">
        <v>56.162999999999997</v>
      </c>
      <c r="G87" s="76">
        <v>62.052999999999997</v>
      </c>
      <c r="H87" s="201">
        <v>151.233</v>
      </c>
    </row>
    <row r="88" spans="1:8" ht="12.95" customHeight="1" x14ac:dyDescent="0.2">
      <c r="A88" s="245" t="s">
        <v>91</v>
      </c>
      <c r="B88" s="75">
        <v>73.085999999999999</v>
      </c>
      <c r="C88" s="76">
        <v>17.286000000000001</v>
      </c>
      <c r="D88" s="76">
        <v>244.46799999999999</v>
      </c>
      <c r="E88" s="76">
        <v>564.04999999999995</v>
      </c>
      <c r="F88" s="76">
        <v>57.496000000000002</v>
      </c>
      <c r="G88" s="76">
        <v>74.302000000000007</v>
      </c>
      <c r="H88" s="201">
        <v>151.11099999999999</v>
      </c>
    </row>
    <row r="89" spans="1:8" ht="12.95" customHeight="1" x14ac:dyDescent="0.2">
      <c r="A89" s="245" t="s">
        <v>92</v>
      </c>
      <c r="B89" s="75">
        <v>52.040999999999997</v>
      </c>
      <c r="C89" s="76">
        <v>15.266</v>
      </c>
      <c r="D89" s="76">
        <v>218.774</v>
      </c>
      <c r="E89" s="76">
        <v>656.53899999999999</v>
      </c>
      <c r="F89" s="76">
        <v>48.36</v>
      </c>
      <c r="G89" s="76">
        <v>49.875999999999998</v>
      </c>
      <c r="H89" s="201">
        <v>117.074</v>
      </c>
    </row>
    <row r="90" spans="1:8" s="8" customFormat="1" ht="12.95" customHeight="1" x14ac:dyDescent="0.25">
      <c r="A90" s="245" t="s">
        <v>93</v>
      </c>
      <c r="B90" s="75">
        <v>32.143000000000001</v>
      </c>
      <c r="C90" s="76">
        <v>11.743</v>
      </c>
      <c r="D90" s="76">
        <v>191.74199999999999</v>
      </c>
      <c r="E90" s="76">
        <v>575.83299999999997</v>
      </c>
      <c r="F90" s="76">
        <v>69.194999999999993</v>
      </c>
      <c r="G90" s="76">
        <v>58.311999999999998</v>
      </c>
      <c r="H90" s="201">
        <v>120.876</v>
      </c>
    </row>
    <row r="91" spans="1:8" ht="12.95" customHeight="1" x14ac:dyDescent="0.2">
      <c r="A91" s="245" t="s">
        <v>94</v>
      </c>
      <c r="B91" s="75">
        <v>21.154</v>
      </c>
      <c r="C91" s="76">
        <v>3.8039999999999998</v>
      </c>
      <c r="D91" s="76">
        <v>206.52699999999999</v>
      </c>
      <c r="E91" s="76">
        <v>493.67899999999997</v>
      </c>
      <c r="F91" s="76">
        <v>59.564</v>
      </c>
      <c r="G91" s="76">
        <v>86.933999999999997</v>
      </c>
      <c r="H91" s="201">
        <v>123.675</v>
      </c>
    </row>
    <row r="92" spans="1:8" ht="12.95" customHeight="1" x14ac:dyDescent="0.2">
      <c r="A92" s="249" t="s">
        <v>95</v>
      </c>
      <c r="B92" s="79">
        <v>24.706</v>
      </c>
      <c r="C92" s="80">
        <v>14.590999999999999</v>
      </c>
      <c r="D92" s="80">
        <v>200.15100000000001</v>
      </c>
      <c r="E92" s="80">
        <v>576.65200000000004</v>
      </c>
      <c r="F92" s="80">
        <v>52.692</v>
      </c>
      <c r="G92" s="80">
        <v>79.644000000000005</v>
      </c>
      <c r="H92" s="203">
        <v>147.815</v>
      </c>
    </row>
    <row r="93" spans="1:8" ht="12.95" customHeight="1" x14ac:dyDescent="0.2">
      <c r="A93" s="245" t="s">
        <v>96</v>
      </c>
      <c r="B93" s="75">
        <v>14.98</v>
      </c>
      <c r="C93" s="76">
        <v>4.8890000000000002</v>
      </c>
      <c r="D93" s="76">
        <v>134.61500000000001</v>
      </c>
      <c r="E93" s="76">
        <v>368.68200000000002</v>
      </c>
      <c r="F93" s="76">
        <v>26.84</v>
      </c>
      <c r="G93" s="76">
        <v>38.075000000000003</v>
      </c>
      <c r="H93" s="201">
        <v>135.447</v>
      </c>
    </row>
    <row r="94" spans="1:8" ht="12.95" customHeight="1" x14ac:dyDescent="0.2">
      <c r="A94" s="245" t="s">
        <v>97</v>
      </c>
      <c r="B94" s="75">
        <v>13.315</v>
      </c>
      <c r="C94" s="76">
        <v>7.9260000000000002</v>
      </c>
      <c r="D94" s="76">
        <v>182.29499999999999</v>
      </c>
      <c r="E94" s="76">
        <v>589.36900000000003</v>
      </c>
      <c r="F94" s="76">
        <v>46.920999999999999</v>
      </c>
      <c r="G94" s="76">
        <v>61.505000000000003</v>
      </c>
      <c r="H94" s="201">
        <v>133.155</v>
      </c>
    </row>
    <row r="95" spans="1:8" ht="12.95" customHeight="1" x14ac:dyDescent="0.2">
      <c r="A95" s="245" t="s">
        <v>98</v>
      </c>
      <c r="B95" s="75">
        <v>36.24</v>
      </c>
      <c r="C95" s="76">
        <v>22.741</v>
      </c>
      <c r="D95" s="76">
        <v>232.59899999999999</v>
      </c>
      <c r="E95" s="76">
        <v>649.82299999999998</v>
      </c>
      <c r="F95" s="76">
        <v>56.228999999999999</v>
      </c>
      <c r="G95" s="76">
        <v>84.058000000000007</v>
      </c>
      <c r="H95" s="201">
        <v>124.81399999999999</v>
      </c>
    </row>
    <row r="96" spans="1:8" ht="12.95" customHeight="1" x14ac:dyDescent="0.2">
      <c r="A96" s="245" t="s">
        <v>99</v>
      </c>
      <c r="B96" s="75">
        <v>24.664000000000001</v>
      </c>
      <c r="C96" s="76">
        <v>12.593999999999999</v>
      </c>
      <c r="D96" s="76">
        <v>187.11699999999999</v>
      </c>
      <c r="E96" s="76">
        <v>646.21400000000006</v>
      </c>
      <c r="F96" s="76">
        <v>48.878</v>
      </c>
      <c r="G96" s="76">
        <v>81.713999999999999</v>
      </c>
      <c r="H96" s="201">
        <v>146.935</v>
      </c>
    </row>
    <row r="97" spans="1:8" ht="12.95" customHeight="1" x14ac:dyDescent="0.2">
      <c r="A97" s="245" t="s">
        <v>100</v>
      </c>
      <c r="B97" s="75">
        <v>18.911999999999999</v>
      </c>
      <c r="C97" s="76">
        <v>14.433</v>
      </c>
      <c r="D97" s="76">
        <v>203.05600000000001</v>
      </c>
      <c r="E97" s="76">
        <v>496.19299999999998</v>
      </c>
      <c r="F97" s="76">
        <v>57.731999999999999</v>
      </c>
      <c r="G97" s="76">
        <v>96.302000000000007</v>
      </c>
      <c r="H97" s="201">
        <v>199.07400000000001</v>
      </c>
    </row>
    <row r="98" spans="1:8" ht="12.95" customHeight="1" x14ac:dyDescent="0.2">
      <c r="A98" s="245" t="s">
        <v>101</v>
      </c>
      <c r="B98" s="75">
        <v>9.5920000000000005</v>
      </c>
      <c r="C98" s="76">
        <v>2.7410000000000001</v>
      </c>
      <c r="D98" s="76">
        <v>200.05799999999999</v>
      </c>
      <c r="E98" s="76">
        <v>489.18200000000002</v>
      </c>
      <c r="F98" s="76">
        <v>49.329000000000001</v>
      </c>
      <c r="G98" s="76">
        <v>65.087000000000003</v>
      </c>
      <c r="H98" s="201">
        <v>183.614</v>
      </c>
    </row>
    <row r="99" spans="1:8" ht="12.95" customHeight="1" x14ac:dyDescent="0.2">
      <c r="A99" s="245" t="s">
        <v>102</v>
      </c>
      <c r="B99" s="75">
        <v>14.775</v>
      </c>
      <c r="C99" s="76">
        <v>8.8239999999999998</v>
      </c>
      <c r="D99" s="76">
        <v>237.012</v>
      </c>
      <c r="E99" s="76">
        <v>588.322</v>
      </c>
      <c r="F99" s="76">
        <v>91.521000000000001</v>
      </c>
      <c r="G99" s="76">
        <v>117.58199999999999</v>
      </c>
      <c r="H99" s="201">
        <v>161.49600000000001</v>
      </c>
    </row>
    <row r="100" spans="1:8" ht="12.95" customHeight="1" x14ac:dyDescent="0.2">
      <c r="A100" s="245" t="s">
        <v>103</v>
      </c>
      <c r="B100" s="75">
        <v>37.536999999999999</v>
      </c>
      <c r="C100" s="76">
        <v>30.876999999999999</v>
      </c>
      <c r="D100" s="76">
        <v>233.095</v>
      </c>
      <c r="E100" s="76">
        <v>833.69200000000001</v>
      </c>
      <c r="F100" s="76">
        <v>71.441999999999993</v>
      </c>
      <c r="G100" s="76">
        <v>110.79600000000001</v>
      </c>
      <c r="H100" s="201">
        <v>181.02699999999999</v>
      </c>
    </row>
    <row r="101" spans="1:8" ht="12.95" customHeight="1" x14ac:dyDescent="0.2">
      <c r="A101" s="320" t="s">
        <v>104</v>
      </c>
      <c r="B101" s="329">
        <v>32.006</v>
      </c>
      <c r="C101" s="330">
        <v>22.004000000000001</v>
      </c>
      <c r="D101" s="330">
        <v>156.03100000000001</v>
      </c>
      <c r="E101" s="330">
        <v>406.08100000000002</v>
      </c>
      <c r="F101" s="330">
        <v>40.008000000000003</v>
      </c>
      <c r="G101" s="330">
        <v>70.013999999999996</v>
      </c>
      <c r="H101" s="331">
        <v>216.04300000000001</v>
      </c>
    </row>
    <row r="104" spans="1:8" ht="12.75" customHeight="1" x14ac:dyDescent="0.2">
      <c r="A104" s="12"/>
      <c r="B104" s="81"/>
      <c r="D104" s="82"/>
      <c r="F104" s="77"/>
      <c r="G104" s="77"/>
      <c r="H104" s="78"/>
    </row>
    <row r="105" spans="1:8" x14ac:dyDescent="0.2">
      <c r="B105" s="81"/>
      <c r="D105" s="82"/>
      <c r="F105" s="77"/>
      <c r="G105" s="77"/>
      <c r="H105" s="78"/>
    </row>
    <row r="106" spans="1:8" x14ac:dyDescent="0.2">
      <c r="B106" s="81"/>
      <c r="D106" s="82"/>
      <c r="F106" s="77"/>
      <c r="G106" s="77"/>
      <c r="H106" s="78"/>
    </row>
    <row r="107" spans="1:8" x14ac:dyDescent="0.2">
      <c r="B107" s="81"/>
      <c r="D107" s="82"/>
      <c r="F107" s="77"/>
      <c r="G107" s="77"/>
      <c r="H107" s="78"/>
    </row>
    <row r="108" spans="1:8" x14ac:dyDescent="0.2">
      <c r="B108" s="81"/>
      <c r="D108" s="82"/>
      <c r="F108" s="77"/>
      <c r="G108" s="77"/>
      <c r="H108" s="78"/>
    </row>
    <row r="109" spans="1:8" x14ac:dyDescent="0.2">
      <c r="B109" s="81"/>
      <c r="D109" s="82"/>
      <c r="F109" s="77"/>
      <c r="G109" s="77"/>
      <c r="H109" s="78"/>
    </row>
    <row r="110" spans="1:8" x14ac:dyDescent="0.2">
      <c r="B110" s="81"/>
      <c r="D110" s="82"/>
      <c r="F110" s="77"/>
      <c r="G110" s="77"/>
      <c r="H110" s="78"/>
    </row>
    <row r="111" spans="1:8" x14ac:dyDescent="0.2">
      <c r="A111" s="9"/>
      <c r="B111" s="81"/>
      <c r="D111" s="82"/>
      <c r="F111" s="77"/>
      <c r="G111" s="77"/>
      <c r="H111" s="78"/>
    </row>
    <row r="112" spans="1:8" x14ac:dyDescent="0.2">
      <c r="A112" s="9"/>
      <c r="B112" s="81"/>
      <c r="D112" s="82"/>
      <c r="F112" s="77"/>
      <c r="G112" s="77"/>
      <c r="H112" s="78"/>
    </row>
    <row r="113" spans="1:8" x14ac:dyDescent="0.2">
      <c r="A113" s="9"/>
      <c r="B113" s="81"/>
      <c r="D113" s="82"/>
      <c r="F113" s="77"/>
      <c r="G113" s="77"/>
      <c r="H113" s="78"/>
    </row>
    <row r="114" spans="1:8" x14ac:dyDescent="0.2">
      <c r="A114" s="9"/>
      <c r="B114" s="81"/>
      <c r="D114" s="82"/>
      <c r="F114" s="77"/>
      <c r="G114" s="77"/>
    </row>
    <row r="115" spans="1:8" x14ac:dyDescent="0.2">
      <c r="A115" s="9"/>
      <c r="B115" s="81"/>
      <c r="D115" s="82"/>
      <c r="F115" s="77"/>
      <c r="G115" s="77"/>
    </row>
    <row r="116" spans="1:8" x14ac:dyDescent="0.2">
      <c r="A116" s="9"/>
      <c r="B116" s="81"/>
      <c r="F116" s="77"/>
      <c r="G116" s="77"/>
    </row>
    <row r="117" spans="1:8" x14ac:dyDescent="0.2">
      <c r="A117" s="9"/>
      <c r="B117" s="81"/>
      <c r="F117" s="77"/>
      <c r="G117" s="77"/>
    </row>
    <row r="118" spans="1:8" x14ac:dyDescent="0.2">
      <c r="A118" s="9"/>
      <c r="B118" s="81"/>
      <c r="F118" s="77"/>
      <c r="G118" s="77"/>
    </row>
    <row r="119" spans="1:8" x14ac:dyDescent="0.2">
      <c r="A119" s="9"/>
      <c r="B119" s="81"/>
      <c r="F119" s="83"/>
      <c r="G119" s="77"/>
    </row>
    <row r="120" spans="1:8" x14ac:dyDescent="0.2">
      <c r="A120" s="9"/>
      <c r="B120" s="81"/>
      <c r="F120" s="83"/>
      <c r="G120" s="77"/>
    </row>
    <row r="121" spans="1:8" x14ac:dyDescent="0.2">
      <c r="A121" s="9"/>
      <c r="B121" s="81"/>
      <c r="F121" s="83"/>
      <c r="G121" s="77"/>
    </row>
    <row r="122" spans="1:8" x14ac:dyDescent="0.2">
      <c r="A122" s="9"/>
      <c r="F122" s="83"/>
      <c r="G122" s="77"/>
    </row>
    <row r="123" spans="1:8" x14ac:dyDescent="0.2">
      <c r="A123" s="9"/>
      <c r="F123" s="83"/>
      <c r="G123" s="77"/>
    </row>
    <row r="124" spans="1:8" x14ac:dyDescent="0.2">
      <c r="A124" s="9"/>
      <c r="F124" s="83"/>
      <c r="G124" s="77"/>
    </row>
    <row r="125" spans="1:8" x14ac:dyDescent="0.2">
      <c r="A125" s="9"/>
      <c r="F125" s="83"/>
      <c r="G125" s="77"/>
    </row>
    <row r="126" spans="1:8" x14ac:dyDescent="0.2">
      <c r="A126" s="9"/>
      <c r="F126" s="83"/>
      <c r="G126" s="77"/>
    </row>
    <row r="127" spans="1:8" x14ac:dyDescent="0.2">
      <c r="A127" s="9"/>
      <c r="F127" s="83"/>
      <c r="G127" s="77"/>
    </row>
    <row r="128" spans="1:8" x14ac:dyDescent="0.2">
      <c r="A128" s="9"/>
      <c r="F128" s="83"/>
      <c r="G128" s="77"/>
    </row>
    <row r="129" spans="1:8" x14ac:dyDescent="0.2">
      <c r="A129" s="9"/>
      <c r="B129" s="9"/>
      <c r="C129" s="9"/>
      <c r="D129" s="9"/>
      <c r="E129" s="9"/>
      <c r="F129" s="83"/>
      <c r="G129" s="9"/>
      <c r="H129" s="9"/>
    </row>
    <row r="130" spans="1:8" x14ac:dyDescent="0.2">
      <c r="B130" s="9"/>
      <c r="C130" s="9"/>
      <c r="D130" s="9"/>
      <c r="E130" s="9"/>
      <c r="F130" s="83"/>
      <c r="G130" s="9"/>
      <c r="H130" s="9"/>
    </row>
    <row r="131" spans="1:8" x14ac:dyDescent="0.2">
      <c r="B131" s="9"/>
      <c r="C131" s="9"/>
      <c r="D131" s="9"/>
      <c r="E131" s="9"/>
      <c r="F131" s="83"/>
      <c r="G131" s="9"/>
      <c r="H131" s="9"/>
    </row>
  </sheetData>
  <mergeCells count="4">
    <mergeCell ref="A1:H1"/>
    <mergeCell ref="A2:H2"/>
    <mergeCell ref="A4:A5"/>
    <mergeCell ref="B4:H4"/>
  </mergeCells>
  <phoneticPr fontId="49" type="noConversion"/>
  <printOptions horizontalCentered="1"/>
  <pageMargins left="0.59055118110236227" right="0.59055118110236227" top="0.70866141732283472" bottom="0.19685039370078741" header="0.31496062992125984" footer="0.51181102362204722"/>
  <pageSetup paperSize="9" firstPageNumber="25" orientation="landscape" useFirstPageNumber="1" r:id="rId1"/>
  <headerFooter alignWithMargins="0"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L110"/>
  <sheetViews>
    <sheetView zoomScaleNormal="100" workbookViewId="0">
      <selection sqref="A1:F1"/>
    </sheetView>
  </sheetViews>
  <sheetFormatPr defaultRowHeight="15" x14ac:dyDescent="0.25"/>
  <cols>
    <col min="1" max="1" width="41.7109375" customWidth="1"/>
    <col min="2" max="2" width="23.28515625" customWidth="1"/>
    <col min="3" max="3" width="21.85546875" customWidth="1"/>
    <col min="4" max="6" width="16.42578125" customWidth="1"/>
  </cols>
  <sheetData>
    <row r="1" spans="1:12" ht="15" customHeight="1" x14ac:dyDescent="0.25">
      <c r="A1" s="533" t="s">
        <v>289</v>
      </c>
      <c r="B1" s="534"/>
      <c r="C1" s="534"/>
      <c r="D1" s="534"/>
      <c r="E1" s="534"/>
      <c r="F1" s="534"/>
    </row>
    <row r="2" spans="1:12" ht="15" customHeight="1" x14ac:dyDescent="0.25">
      <c r="A2" s="533" t="s">
        <v>288</v>
      </c>
      <c r="B2" s="534"/>
      <c r="C2" s="534"/>
      <c r="D2" s="534"/>
      <c r="E2" s="534"/>
      <c r="F2" s="534"/>
    </row>
    <row r="3" spans="1:12" ht="11.25" customHeight="1" x14ac:dyDescent="0.25">
      <c r="A3" s="218"/>
      <c r="B3" s="219"/>
      <c r="C3" s="219"/>
      <c r="D3" s="219"/>
      <c r="E3" s="219"/>
      <c r="F3" s="219"/>
    </row>
    <row r="4" spans="1:12" ht="15" customHeight="1" x14ac:dyDescent="0.25">
      <c r="A4" s="535"/>
      <c r="B4" s="536" t="s">
        <v>151</v>
      </c>
      <c r="C4" s="537"/>
      <c r="D4" s="537"/>
      <c r="E4" s="537"/>
      <c r="F4" s="537"/>
    </row>
    <row r="5" spans="1:12" ht="30" customHeight="1" x14ac:dyDescent="0.25">
      <c r="A5" s="535"/>
      <c r="B5" s="279" t="s">
        <v>209</v>
      </c>
      <c r="C5" s="280" t="s">
        <v>152</v>
      </c>
      <c r="D5" s="280" t="s">
        <v>153</v>
      </c>
      <c r="E5" s="281" t="s">
        <v>154</v>
      </c>
      <c r="F5" s="281" t="s">
        <v>155</v>
      </c>
    </row>
    <row r="6" spans="1:12" ht="14.1" customHeight="1" x14ac:dyDescent="0.25">
      <c r="A6" s="276" t="s">
        <v>13</v>
      </c>
      <c r="B6" s="84">
        <v>21610</v>
      </c>
      <c r="C6" s="84">
        <v>14021</v>
      </c>
      <c r="D6" s="84">
        <v>6517</v>
      </c>
      <c r="E6" s="84">
        <v>23119</v>
      </c>
      <c r="F6" s="84">
        <v>10569</v>
      </c>
      <c r="G6" s="179"/>
      <c r="H6" s="179"/>
      <c r="I6" s="179"/>
      <c r="J6" s="179"/>
      <c r="K6" s="179"/>
      <c r="L6" s="179"/>
    </row>
    <row r="7" spans="1:12" ht="14.1" customHeight="1" x14ac:dyDescent="0.25">
      <c r="A7" s="244" t="s">
        <v>14</v>
      </c>
      <c r="B7" s="84">
        <v>5782</v>
      </c>
      <c r="C7" s="84">
        <v>4254</v>
      </c>
      <c r="D7" s="84">
        <v>1299</v>
      </c>
      <c r="E7" s="84">
        <v>4407</v>
      </c>
      <c r="F7" s="84">
        <v>2121</v>
      </c>
    </row>
    <row r="8" spans="1:12" ht="14.1" customHeight="1" x14ac:dyDescent="0.25">
      <c r="A8" s="245" t="s">
        <v>15</v>
      </c>
      <c r="B8" s="85">
        <v>234</v>
      </c>
      <c r="C8" s="85">
        <v>80</v>
      </c>
      <c r="D8" s="85">
        <v>71</v>
      </c>
      <c r="E8" s="85">
        <v>247</v>
      </c>
      <c r="F8" s="85">
        <v>71</v>
      </c>
    </row>
    <row r="9" spans="1:12" ht="14.1" customHeight="1" x14ac:dyDescent="0.25">
      <c r="A9" s="245" t="s">
        <v>16</v>
      </c>
      <c r="B9" s="85">
        <v>185</v>
      </c>
      <c r="C9" s="85">
        <v>118</v>
      </c>
      <c r="D9" s="85">
        <v>82</v>
      </c>
      <c r="E9" s="85">
        <v>183</v>
      </c>
      <c r="F9" s="85">
        <v>67</v>
      </c>
    </row>
    <row r="10" spans="1:12" ht="14.1" customHeight="1" x14ac:dyDescent="0.25">
      <c r="A10" s="245" t="s">
        <v>17</v>
      </c>
      <c r="B10" s="85">
        <v>308</v>
      </c>
      <c r="C10" s="85">
        <v>205</v>
      </c>
      <c r="D10" s="85">
        <v>79</v>
      </c>
      <c r="E10" s="85">
        <v>289</v>
      </c>
      <c r="F10" s="85">
        <v>136</v>
      </c>
    </row>
    <row r="11" spans="1:12" ht="14.1" customHeight="1" x14ac:dyDescent="0.25">
      <c r="A11" s="245" t="s">
        <v>18</v>
      </c>
      <c r="B11" s="85">
        <v>432</v>
      </c>
      <c r="C11" s="85">
        <v>439</v>
      </c>
      <c r="D11" s="85">
        <v>114</v>
      </c>
      <c r="E11" s="85">
        <v>329</v>
      </c>
      <c r="F11" s="85">
        <v>77</v>
      </c>
    </row>
    <row r="12" spans="1:12" ht="14.1" customHeight="1" x14ac:dyDescent="0.25">
      <c r="A12" s="245" t="s">
        <v>19</v>
      </c>
      <c r="B12" s="85">
        <v>112</v>
      </c>
      <c r="C12" s="85">
        <v>171</v>
      </c>
      <c r="D12" s="85">
        <v>42</v>
      </c>
      <c r="E12" s="85">
        <v>221</v>
      </c>
      <c r="F12" s="85">
        <v>83</v>
      </c>
    </row>
    <row r="13" spans="1:12" ht="14.1" customHeight="1" x14ac:dyDescent="0.25">
      <c r="A13" s="245" t="s">
        <v>20</v>
      </c>
      <c r="B13" s="85">
        <v>204</v>
      </c>
      <c r="C13" s="85">
        <v>163</v>
      </c>
      <c r="D13" s="85">
        <v>55</v>
      </c>
      <c r="E13" s="85">
        <v>150</v>
      </c>
      <c r="F13" s="85">
        <v>67</v>
      </c>
    </row>
    <row r="14" spans="1:12" ht="14.1" customHeight="1" x14ac:dyDescent="0.25">
      <c r="A14" s="246" t="s">
        <v>21</v>
      </c>
      <c r="B14" s="85">
        <v>60</v>
      </c>
      <c r="C14" s="85">
        <v>141</v>
      </c>
      <c r="D14" s="85">
        <v>40</v>
      </c>
      <c r="E14" s="85">
        <v>158</v>
      </c>
      <c r="F14" s="85">
        <v>25</v>
      </c>
    </row>
    <row r="15" spans="1:12" ht="14.1" customHeight="1" x14ac:dyDescent="0.25">
      <c r="A15" s="245" t="s">
        <v>22</v>
      </c>
      <c r="B15" s="85">
        <v>205</v>
      </c>
      <c r="C15" s="85">
        <v>70</v>
      </c>
      <c r="D15" s="85">
        <v>34</v>
      </c>
      <c r="E15" s="85">
        <v>89</v>
      </c>
      <c r="F15" s="85">
        <v>53</v>
      </c>
    </row>
    <row r="16" spans="1:12" ht="14.1" customHeight="1" x14ac:dyDescent="0.25">
      <c r="A16" s="245" t="s">
        <v>23</v>
      </c>
      <c r="B16" s="85">
        <v>211</v>
      </c>
      <c r="C16" s="85">
        <v>204</v>
      </c>
      <c r="D16" s="85">
        <v>17</v>
      </c>
      <c r="E16" s="85">
        <v>180</v>
      </c>
      <c r="F16" s="85">
        <v>58</v>
      </c>
    </row>
    <row r="17" spans="1:6" ht="14.1" customHeight="1" x14ac:dyDescent="0.25">
      <c r="A17" s="245" t="s">
        <v>24</v>
      </c>
      <c r="B17" s="85">
        <v>1282</v>
      </c>
      <c r="C17" s="85">
        <v>933</v>
      </c>
      <c r="D17" s="85">
        <v>290</v>
      </c>
      <c r="E17" s="85">
        <v>988</v>
      </c>
      <c r="F17" s="85">
        <v>650</v>
      </c>
    </row>
    <row r="18" spans="1:6" ht="14.1" customHeight="1" x14ac:dyDescent="0.25">
      <c r="A18" s="245" t="s">
        <v>25</v>
      </c>
      <c r="B18" s="85">
        <v>130</v>
      </c>
      <c r="C18" s="85">
        <v>84</v>
      </c>
      <c r="D18" s="85">
        <v>14</v>
      </c>
      <c r="E18" s="85">
        <v>94</v>
      </c>
      <c r="F18" s="85">
        <v>24</v>
      </c>
    </row>
    <row r="19" spans="1:6" ht="14.1" customHeight="1" x14ac:dyDescent="0.25">
      <c r="A19" s="246" t="s">
        <v>26</v>
      </c>
      <c r="B19" s="85">
        <v>208</v>
      </c>
      <c r="C19" s="85">
        <v>123</v>
      </c>
      <c r="D19" s="85">
        <v>33</v>
      </c>
      <c r="E19" s="85">
        <v>67</v>
      </c>
      <c r="F19" s="85">
        <v>33</v>
      </c>
    </row>
    <row r="20" spans="1:6" ht="14.1" customHeight="1" x14ac:dyDescent="0.25">
      <c r="A20" s="245" t="s">
        <v>27</v>
      </c>
      <c r="B20" s="85">
        <v>161</v>
      </c>
      <c r="C20" s="85">
        <v>197</v>
      </c>
      <c r="D20" s="85">
        <v>47</v>
      </c>
      <c r="E20" s="85">
        <v>176</v>
      </c>
      <c r="F20" s="85">
        <v>78</v>
      </c>
    </row>
    <row r="21" spans="1:6" ht="14.1" customHeight="1" x14ac:dyDescent="0.25">
      <c r="A21" s="245" t="s">
        <v>28</v>
      </c>
      <c r="B21" s="85">
        <v>203</v>
      </c>
      <c r="C21" s="85">
        <v>107</v>
      </c>
      <c r="D21" s="85">
        <v>69</v>
      </c>
      <c r="E21" s="85">
        <v>154</v>
      </c>
      <c r="F21" s="85">
        <v>55</v>
      </c>
    </row>
    <row r="22" spans="1:6" ht="14.1" customHeight="1" x14ac:dyDescent="0.25">
      <c r="A22" s="245" t="s">
        <v>29</v>
      </c>
      <c r="B22" s="85">
        <v>281</v>
      </c>
      <c r="C22" s="85">
        <v>165</v>
      </c>
      <c r="D22" s="85">
        <v>119</v>
      </c>
      <c r="E22" s="85">
        <v>292</v>
      </c>
      <c r="F22" s="85">
        <v>101</v>
      </c>
    </row>
    <row r="23" spans="1:6" ht="14.1" customHeight="1" x14ac:dyDescent="0.25">
      <c r="A23" s="245" t="s">
        <v>30</v>
      </c>
      <c r="B23" s="85">
        <v>269</v>
      </c>
      <c r="C23" s="85">
        <v>370</v>
      </c>
      <c r="D23" s="85">
        <v>54</v>
      </c>
      <c r="E23" s="85">
        <v>219</v>
      </c>
      <c r="F23" s="85">
        <v>120</v>
      </c>
    </row>
    <row r="24" spans="1:6" ht="14.1" customHeight="1" x14ac:dyDescent="0.25">
      <c r="A24" s="245" t="s">
        <v>31</v>
      </c>
      <c r="B24" s="85">
        <v>224</v>
      </c>
      <c r="C24" s="85">
        <v>275</v>
      </c>
      <c r="D24" s="85">
        <v>39</v>
      </c>
      <c r="E24" s="85">
        <v>147</v>
      </c>
      <c r="F24" s="85">
        <v>76</v>
      </c>
    </row>
    <row r="25" spans="1:6" ht="14.1" customHeight="1" x14ac:dyDescent="0.25">
      <c r="A25" s="245" t="s">
        <v>32</v>
      </c>
      <c r="B25" s="85">
        <v>1073</v>
      </c>
      <c r="C25" s="85">
        <v>409</v>
      </c>
      <c r="D25" s="85">
        <v>100</v>
      </c>
      <c r="E25" s="85">
        <v>424</v>
      </c>
      <c r="F25" s="85">
        <v>347</v>
      </c>
    </row>
    <row r="26" spans="1:6" ht="14.1" customHeight="1" x14ac:dyDescent="0.25">
      <c r="A26" s="247" t="s">
        <v>33</v>
      </c>
      <c r="B26" s="84">
        <v>1916</v>
      </c>
      <c r="C26" s="84">
        <v>1824</v>
      </c>
      <c r="D26" s="84">
        <v>759</v>
      </c>
      <c r="E26" s="84">
        <v>2154</v>
      </c>
      <c r="F26" s="84">
        <v>1009</v>
      </c>
    </row>
    <row r="27" spans="1:6" ht="14.1" customHeight="1" x14ac:dyDescent="0.25">
      <c r="A27" s="245" t="s">
        <v>34</v>
      </c>
      <c r="B27" s="85">
        <v>108</v>
      </c>
      <c r="C27" s="85">
        <v>44</v>
      </c>
      <c r="D27" s="85">
        <v>28</v>
      </c>
      <c r="E27" s="85">
        <v>96</v>
      </c>
      <c r="F27" s="85">
        <v>45</v>
      </c>
    </row>
    <row r="28" spans="1:6" ht="14.1" customHeight="1" x14ac:dyDescent="0.25">
      <c r="A28" s="245" t="s">
        <v>35</v>
      </c>
      <c r="B28" s="85">
        <v>115</v>
      </c>
      <c r="C28" s="85">
        <v>217</v>
      </c>
      <c r="D28" s="85">
        <v>78</v>
      </c>
      <c r="E28" s="85">
        <v>269</v>
      </c>
      <c r="F28" s="85">
        <v>151</v>
      </c>
    </row>
    <row r="29" spans="1:6" ht="14.1" customHeight="1" x14ac:dyDescent="0.25">
      <c r="A29" s="245" t="s">
        <v>36</v>
      </c>
      <c r="B29" s="85">
        <v>189</v>
      </c>
      <c r="C29" s="85">
        <v>268</v>
      </c>
      <c r="D29" s="85">
        <v>111</v>
      </c>
      <c r="E29" s="85">
        <v>361</v>
      </c>
      <c r="F29" s="85">
        <v>143</v>
      </c>
    </row>
    <row r="30" spans="1:6" ht="14.1" customHeight="1" x14ac:dyDescent="0.25">
      <c r="A30" s="245" t="s">
        <v>37</v>
      </c>
      <c r="B30" s="85">
        <v>5</v>
      </c>
      <c r="C30" s="85">
        <v>3</v>
      </c>
      <c r="D30" s="85">
        <v>7</v>
      </c>
      <c r="E30" s="85">
        <v>16</v>
      </c>
      <c r="F30" s="85">
        <v>8</v>
      </c>
    </row>
    <row r="31" spans="1:6" ht="14.1" customHeight="1" x14ac:dyDescent="0.25">
      <c r="A31" s="248" t="s">
        <v>318</v>
      </c>
      <c r="B31" s="85">
        <v>184</v>
      </c>
      <c r="C31" s="85">
        <v>265</v>
      </c>
      <c r="D31" s="85">
        <v>104</v>
      </c>
      <c r="E31" s="85">
        <v>345</v>
      </c>
      <c r="F31" s="85">
        <v>135</v>
      </c>
    </row>
    <row r="32" spans="1:6" ht="14.1" customHeight="1" x14ac:dyDescent="0.25">
      <c r="A32" s="245" t="s">
        <v>38</v>
      </c>
      <c r="B32" s="85">
        <v>138</v>
      </c>
      <c r="C32" s="85">
        <v>154</v>
      </c>
      <c r="D32" s="85">
        <v>98</v>
      </c>
      <c r="E32" s="85">
        <v>233</v>
      </c>
      <c r="F32" s="85">
        <v>74</v>
      </c>
    </row>
    <row r="33" spans="1:6" ht="14.1" customHeight="1" x14ac:dyDescent="0.25">
      <c r="A33" s="245" t="s">
        <v>39</v>
      </c>
      <c r="B33" s="85">
        <v>175</v>
      </c>
      <c r="C33" s="85">
        <v>175</v>
      </c>
      <c r="D33" s="85">
        <v>70</v>
      </c>
      <c r="E33" s="85">
        <v>173</v>
      </c>
      <c r="F33" s="85">
        <v>76</v>
      </c>
    </row>
    <row r="34" spans="1:6" ht="14.1" customHeight="1" x14ac:dyDescent="0.25">
      <c r="A34" s="245" t="s">
        <v>40</v>
      </c>
      <c r="B34" s="85">
        <v>417</v>
      </c>
      <c r="C34" s="85">
        <v>363</v>
      </c>
      <c r="D34" s="85">
        <v>130</v>
      </c>
      <c r="E34" s="85">
        <v>312</v>
      </c>
      <c r="F34" s="85">
        <v>143</v>
      </c>
    </row>
    <row r="35" spans="1:6" ht="14.1" customHeight="1" x14ac:dyDescent="0.25">
      <c r="A35" s="245" t="s">
        <v>41</v>
      </c>
      <c r="B35" s="85">
        <v>72</v>
      </c>
      <c r="C35" s="85">
        <v>21</v>
      </c>
      <c r="D35" s="85">
        <v>15</v>
      </c>
      <c r="E35" s="85">
        <v>38</v>
      </c>
      <c r="F35" s="85">
        <v>31</v>
      </c>
    </row>
    <row r="36" spans="1:6" ht="14.1" customHeight="1" x14ac:dyDescent="0.25">
      <c r="A36" s="245" t="s">
        <v>42</v>
      </c>
      <c r="B36" s="85">
        <v>167</v>
      </c>
      <c r="C36" s="85">
        <v>123</v>
      </c>
      <c r="D36" s="85">
        <v>64</v>
      </c>
      <c r="E36" s="85">
        <v>123</v>
      </c>
      <c r="F36" s="85">
        <v>91</v>
      </c>
    </row>
    <row r="37" spans="1:6" ht="14.1" customHeight="1" x14ac:dyDescent="0.25">
      <c r="A37" s="245" t="s">
        <v>43</v>
      </c>
      <c r="B37" s="85">
        <v>137</v>
      </c>
      <c r="C37" s="85">
        <v>100</v>
      </c>
      <c r="D37" s="85">
        <v>60</v>
      </c>
      <c r="E37" s="85">
        <v>160</v>
      </c>
      <c r="F37" s="85">
        <v>50</v>
      </c>
    </row>
    <row r="38" spans="1:6" ht="14.1" customHeight="1" x14ac:dyDescent="0.25">
      <c r="A38" s="245" t="s">
        <v>44</v>
      </c>
      <c r="B38" s="85">
        <v>398</v>
      </c>
      <c r="C38" s="85">
        <v>359</v>
      </c>
      <c r="D38" s="85">
        <v>105</v>
      </c>
      <c r="E38" s="85">
        <v>389</v>
      </c>
      <c r="F38" s="85">
        <v>205</v>
      </c>
    </row>
    <row r="39" spans="1:6" ht="14.1" customHeight="1" x14ac:dyDescent="0.25">
      <c r="A39" s="249" t="s">
        <v>45</v>
      </c>
      <c r="B39" s="84">
        <v>2670</v>
      </c>
      <c r="C39" s="84">
        <v>488</v>
      </c>
      <c r="D39" s="84">
        <v>682</v>
      </c>
      <c r="E39" s="84">
        <v>1703</v>
      </c>
      <c r="F39" s="84">
        <v>729</v>
      </c>
    </row>
    <row r="40" spans="1:6" ht="14.1" customHeight="1" x14ac:dyDescent="0.25">
      <c r="A40" s="245" t="s">
        <v>46</v>
      </c>
      <c r="B40" s="85">
        <v>100</v>
      </c>
      <c r="C40" s="85">
        <v>61</v>
      </c>
      <c r="D40" s="85">
        <v>35</v>
      </c>
      <c r="E40" s="85">
        <v>81</v>
      </c>
      <c r="F40" s="85">
        <v>29</v>
      </c>
    </row>
    <row r="41" spans="1:6" ht="14.1" customHeight="1" x14ac:dyDescent="0.25">
      <c r="A41" s="245" t="s">
        <v>47</v>
      </c>
      <c r="B41" s="85">
        <v>63</v>
      </c>
      <c r="C41" s="85">
        <v>0</v>
      </c>
      <c r="D41" s="85">
        <v>14</v>
      </c>
      <c r="E41" s="85">
        <v>60</v>
      </c>
      <c r="F41" s="85">
        <v>19</v>
      </c>
    </row>
    <row r="42" spans="1:6" ht="14.1" customHeight="1" x14ac:dyDescent="0.25">
      <c r="A42" s="245" t="s">
        <v>211</v>
      </c>
      <c r="B42" s="85">
        <v>365</v>
      </c>
      <c r="C42" s="85">
        <v>183</v>
      </c>
      <c r="D42" s="85">
        <v>101</v>
      </c>
      <c r="E42" s="85">
        <v>327</v>
      </c>
      <c r="F42" s="85">
        <v>133</v>
      </c>
    </row>
    <row r="43" spans="1:6" ht="14.1" customHeight="1" x14ac:dyDescent="0.25">
      <c r="A43" s="245" t="s">
        <v>48</v>
      </c>
      <c r="B43" s="85">
        <v>1070</v>
      </c>
      <c r="C43" s="85">
        <v>138</v>
      </c>
      <c r="D43" s="85">
        <v>240</v>
      </c>
      <c r="E43" s="85">
        <v>639</v>
      </c>
      <c r="F43" s="85">
        <v>268</v>
      </c>
    </row>
    <row r="44" spans="1:6" ht="14.1" customHeight="1" x14ac:dyDescent="0.25">
      <c r="A44" s="245" t="s">
        <v>49</v>
      </c>
      <c r="B44" s="85">
        <v>111</v>
      </c>
      <c r="C44" s="85">
        <v>0</v>
      </c>
      <c r="D44" s="85">
        <v>105</v>
      </c>
      <c r="E44" s="85">
        <v>3</v>
      </c>
      <c r="F44" s="85">
        <v>16</v>
      </c>
    </row>
    <row r="45" spans="1:6" ht="14.1" customHeight="1" x14ac:dyDescent="0.25">
      <c r="A45" s="245" t="s">
        <v>50</v>
      </c>
      <c r="B45" s="85">
        <v>374</v>
      </c>
      <c r="C45" s="85">
        <v>59</v>
      </c>
      <c r="D45" s="85">
        <v>83</v>
      </c>
      <c r="E45" s="85">
        <v>242</v>
      </c>
      <c r="F45" s="85">
        <v>107</v>
      </c>
    </row>
    <row r="46" spans="1:6" ht="14.1" customHeight="1" x14ac:dyDescent="0.25">
      <c r="A46" s="245" t="s">
        <v>51</v>
      </c>
      <c r="B46" s="85">
        <v>512</v>
      </c>
      <c r="C46" s="85">
        <v>41</v>
      </c>
      <c r="D46" s="85">
        <v>73</v>
      </c>
      <c r="E46" s="85">
        <v>292</v>
      </c>
      <c r="F46" s="85">
        <v>144</v>
      </c>
    </row>
    <row r="47" spans="1:6" ht="14.1" customHeight="1" x14ac:dyDescent="0.25">
      <c r="A47" s="245" t="s">
        <v>213</v>
      </c>
      <c r="B47" s="85">
        <v>75</v>
      </c>
      <c r="C47" s="85">
        <v>6</v>
      </c>
      <c r="D47" s="85">
        <v>31</v>
      </c>
      <c r="E47" s="85">
        <v>59</v>
      </c>
      <c r="F47" s="85">
        <v>13</v>
      </c>
    </row>
    <row r="48" spans="1:6" ht="14.1" customHeight="1" x14ac:dyDescent="0.25">
      <c r="A48" s="250" t="s">
        <v>52</v>
      </c>
      <c r="B48" s="84">
        <v>1456</v>
      </c>
      <c r="C48" s="84">
        <v>70</v>
      </c>
      <c r="D48" s="84">
        <v>182</v>
      </c>
      <c r="E48" s="84">
        <v>501</v>
      </c>
      <c r="F48" s="84">
        <v>317</v>
      </c>
    </row>
    <row r="49" spans="1:6" ht="14.1" customHeight="1" x14ac:dyDescent="0.25">
      <c r="A49" s="245" t="s">
        <v>53</v>
      </c>
      <c r="B49" s="85">
        <v>486</v>
      </c>
      <c r="C49" s="85">
        <v>17</v>
      </c>
      <c r="D49" s="85">
        <v>80</v>
      </c>
      <c r="E49" s="85">
        <v>61</v>
      </c>
      <c r="F49" s="85">
        <v>93</v>
      </c>
    </row>
    <row r="50" spans="1:6" ht="14.1" customHeight="1" x14ac:dyDescent="0.25">
      <c r="A50" s="245" t="s">
        <v>54</v>
      </c>
      <c r="B50" s="85">
        <v>47</v>
      </c>
      <c r="C50" s="85">
        <v>1</v>
      </c>
      <c r="D50" s="85">
        <v>2</v>
      </c>
      <c r="E50" s="85">
        <v>1</v>
      </c>
      <c r="F50" s="85">
        <v>21</v>
      </c>
    </row>
    <row r="51" spans="1:6" ht="14.1" customHeight="1" x14ac:dyDescent="0.25">
      <c r="A51" s="245" t="s">
        <v>55</v>
      </c>
      <c r="B51" s="85">
        <v>65</v>
      </c>
      <c r="C51" s="85">
        <v>18</v>
      </c>
      <c r="D51" s="85">
        <v>17</v>
      </c>
      <c r="E51" s="85">
        <v>54</v>
      </c>
      <c r="F51" s="85">
        <v>10</v>
      </c>
    </row>
    <row r="52" spans="1:6" ht="14.1" customHeight="1" x14ac:dyDescent="0.25">
      <c r="A52" s="245" t="s">
        <v>56</v>
      </c>
      <c r="B52" s="85">
        <v>101</v>
      </c>
      <c r="C52" s="85">
        <v>3</v>
      </c>
      <c r="D52" s="85">
        <v>14</v>
      </c>
      <c r="E52" s="85">
        <v>39</v>
      </c>
      <c r="F52" s="85">
        <v>18</v>
      </c>
    </row>
    <row r="53" spans="1:6" ht="14.1" customHeight="1" x14ac:dyDescent="0.25">
      <c r="A53" s="245" t="s">
        <v>57</v>
      </c>
      <c r="B53" s="85">
        <v>114</v>
      </c>
      <c r="C53" s="85">
        <v>6</v>
      </c>
      <c r="D53" s="85">
        <v>5</v>
      </c>
      <c r="E53" s="85">
        <v>20</v>
      </c>
      <c r="F53" s="85">
        <v>21</v>
      </c>
    </row>
    <row r="54" spans="1:6" ht="14.1" customHeight="1" x14ac:dyDescent="0.25">
      <c r="A54" s="245" t="s">
        <v>58</v>
      </c>
      <c r="B54" s="85">
        <v>176</v>
      </c>
      <c r="C54" s="85">
        <v>0</v>
      </c>
      <c r="D54" s="85">
        <v>10</v>
      </c>
      <c r="E54" s="85">
        <v>11</v>
      </c>
      <c r="F54" s="85">
        <v>15</v>
      </c>
    </row>
    <row r="55" spans="1:6" ht="14.1" customHeight="1" x14ac:dyDescent="0.25">
      <c r="A55" s="245" t="s">
        <v>59</v>
      </c>
      <c r="B55" s="85">
        <v>467</v>
      </c>
      <c r="C55" s="85">
        <v>25</v>
      </c>
      <c r="D55" s="85">
        <v>54</v>
      </c>
      <c r="E55" s="85">
        <v>315</v>
      </c>
      <c r="F55" s="85">
        <v>139</v>
      </c>
    </row>
    <row r="56" spans="1:6" ht="14.1" customHeight="1" x14ac:dyDescent="0.25">
      <c r="A56" s="244" t="s">
        <v>60</v>
      </c>
      <c r="B56" s="84">
        <v>4380</v>
      </c>
      <c r="C56" s="84">
        <v>3136</v>
      </c>
      <c r="D56" s="84">
        <v>1720</v>
      </c>
      <c r="E56" s="84">
        <v>5733</v>
      </c>
      <c r="F56" s="84">
        <v>2017</v>
      </c>
    </row>
    <row r="57" spans="1:6" ht="14.1" customHeight="1" x14ac:dyDescent="0.25">
      <c r="A57" s="245" t="s">
        <v>61</v>
      </c>
      <c r="B57" s="85">
        <v>574</v>
      </c>
      <c r="C57" s="85">
        <v>146</v>
      </c>
      <c r="D57" s="85">
        <v>293</v>
      </c>
      <c r="E57" s="85">
        <v>1150</v>
      </c>
      <c r="F57" s="85">
        <v>265</v>
      </c>
    </row>
    <row r="58" spans="1:6" ht="14.1" customHeight="1" x14ac:dyDescent="0.25">
      <c r="A58" s="245" t="s">
        <v>62</v>
      </c>
      <c r="B58" s="85">
        <v>111</v>
      </c>
      <c r="C58" s="85">
        <v>146</v>
      </c>
      <c r="D58" s="85">
        <v>52</v>
      </c>
      <c r="E58" s="85">
        <v>102</v>
      </c>
      <c r="F58" s="85">
        <v>57</v>
      </c>
    </row>
    <row r="59" spans="1:6" ht="14.1" customHeight="1" x14ac:dyDescent="0.25">
      <c r="A59" s="245" t="s">
        <v>63</v>
      </c>
      <c r="B59" s="85">
        <v>156</v>
      </c>
      <c r="C59" s="85">
        <v>49</v>
      </c>
      <c r="D59" s="85">
        <v>34</v>
      </c>
      <c r="E59" s="85">
        <v>155</v>
      </c>
      <c r="F59" s="85">
        <v>44</v>
      </c>
    </row>
    <row r="60" spans="1:6" ht="14.1" customHeight="1" x14ac:dyDescent="0.25">
      <c r="A60" s="245" t="s">
        <v>64</v>
      </c>
      <c r="B60" s="85">
        <v>486</v>
      </c>
      <c r="C60" s="85">
        <v>150</v>
      </c>
      <c r="D60" s="85">
        <v>176</v>
      </c>
      <c r="E60" s="85">
        <v>508</v>
      </c>
      <c r="F60" s="85">
        <v>190</v>
      </c>
    </row>
    <row r="61" spans="1:6" ht="14.1" customHeight="1" x14ac:dyDescent="0.25">
      <c r="A61" s="245" t="s">
        <v>65</v>
      </c>
      <c r="B61" s="85">
        <v>217</v>
      </c>
      <c r="C61" s="85">
        <v>242</v>
      </c>
      <c r="D61" s="85">
        <v>126</v>
      </c>
      <c r="E61" s="85">
        <v>580</v>
      </c>
      <c r="F61" s="85">
        <v>152</v>
      </c>
    </row>
    <row r="62" spans="1:6" ht="14.1" customHeight="1" x14ac:dyDescent="0.25">
      <c r="A62" s="245" t="s">
        <v>66</v>
      </c>
      <c r="B62" s="85">
        <v>223</v>
      </c>
      <c r="C62" s="85">
        <v>144</v>
      </c>
      <c r="D62" s="85">
        <v>88</v>
      </c>
      <c r="E62" s="85">
        <v>82</v>
      </c>
      <c r="F62" s="85">
        <v>72</v>
      </c>
    </row>
    <row r="63" spans="1:6" ht="14.1" customHeight="1" x14ac:dyDescent="0.25">
      <c r="A63" s="245" t="s">
        <v>67</v>
      </c>
      <c r="B63" s="85">
        <v>390</v>
      </c>
      <c r="C63" s="85">
        <v>589</v>
      </c>
      <c r="D63" s="85">
        <v>237</v>
      </c>
      <c r="E63" s="85">
        <v>821</v>
      </c>
      <c r="F63" s="85">
        <v>336</v>
      </c>
    </row>
    <row r="64" spans="1:6" ht="14.1" customHeight="1" x14ac:dyDescent="0.25">
      <c r="A64" s="245" t="s">
        <v>68</v>
      </c>
      <c r="B64" s="85">
        <v>186</v>
      </c>
      <c r="C64" s="85">
        <v>295</v>
      </c>
      <c r="D64" s="85">
        <v>115</v>
      </c>
      <c r="E64" s="85">
        <v>416</v>
      </c>
      <c r="F64" s="85">
        <v>119</v>
      </c>
    </row>
    <row r="65" spans="1:6" ht="14.1" customHeight="1" x14ac:dyDescent="0.25">
      <c r="A65" s="245" t="s">
        <v>69</v>
      </c>
      <c r="B65" s="85">
        <v>493</v>
      </c>
      <c r="C65" s="85">
        <v>346</v>
      </c>
      <c r="D65" s="85">
        <v>137</v>
      </c>
      <c r="E65" s="85">
        <v>378</v>
      </c>
      <c r="F65" s="85">
        <v>172</v>
      </c>
    </row>
    <row r="66" spans="1:6" ht="14.1" customHeight="1" x14ac:dyDescent="0.25">
      <c r="A66" s="245" t="s">
        <v>70</v>
      </c>
      <c r="B66" s="85">
        <v>332</v>
      </c>
      <c r="C66" s="85">
        <v>30</v>
      </c>
      <c r="D66" s="85">
        <v>132</v>
      </c>
      <c r="E66" s="85">
        <v>575</v>
      </c>
      <c r="F66" s="85">
        <v>190</v>
      </c>
    </row>
    <row r="67" spans="1:6" ht="14.1" customHeight="1" x14ac:dyDescent="0.25">
      <c r="A67" s="245" t="s">
        <v>71</v>
      </c>
      <c r="B67" s="85">
        <v>257</v>
      </c>
      <c r="C67" s="85">
        <v>335</v>
      </c>
      <c r="D67" s="85">
        <v>72</v>
      </c>
      <c r="E67" s="85">
        <v>272</v>
      </c>
      <c r="F67" s="85">
        <v>69</v>
      </c>
    </row>
    <row r="68" spans="1:6" ht="14.1" customHeight="1" x14ac:dyDescent="0.25">
      <c r="A68" s="245" t="s">
        <v>72</v>
      </c>
      <c r="B68" s="85">
        <v>424</v>
      </c>
      <c r="C68" s="85">
        <v>169</v>
      </c>
      <c r="D68" s="85">
        <v>80</v>
      </c>
      <c r="E68" s="85">
        <v>132</v>
      </c>
      <c r="F68" s="85">
        <v>147</v>
      </c>
    </row>
    <row r="69" spans="1:6" ht="14.1" customHeight="1" x14ac:dyDescent="0.25">
      <c r="A69" s="246" t="s">
        <v>73</v>
      </c>
      <c r="B69" s="85">
        <v>380</v>
      </c>
      <c r="C69" s="85">
        <v>275</v>
      </c>
      <c r="D69" s="85">
        <v>129</v>
      </c>
      <c r="E69" s="85">
        <v>470</v>
      </c>
      <c r="F69" s="85">
        <v>139</v>
      </c>
    </row>
    <row r="70" spans="1:6" ht="14.1" customHeight="1" x14ac:dyDescent="0.25">
      <c r="A70" s="245" t="s">
        <v>74</v>
      </c>
      <c r="B70" s="85">
        <v>151</v>
      </c>
      <c r="C70" s="85">
        <v>220</v>
      </c>
      <c r="D70" s="85">
        <v>49</v>
      </c>
      <c r="E70" s="85">
        <v>92</v>
      </c>
      <c r="F70" s="85">
        <v>65</v>
      </c>
    </row>
    <row r="71" spans="1:6" ht="14.1" customHeight="1" x14ac:dyDescent="0.25">
      <c r="A71" s="249" t="s">
        <v>75</v>
      </c>
      <c r="B71" s="84">
        <v>1637</v>
      </c>
      <c r="C71" s="84">
        <v>1422</v>
      </c>
      <c r="D71" s="84">
        <v>594</v>
      </c>
      <c r="E71" s="84">
        <v>2468</v>
      </c>
      <c r="F71" s="84">
        <v>1119</v>
      </c>
    </row>
    <row r="72" spans="1:6" ht="14.1" customHeight="1" x14ac:dyDescent="0.25">
      <c r="A72" s="245" t="s">
        <v>76</v>
      </c>
      <c r="B72" s="85">
        <v>173</v>
      </c>
      <c r="C72" s="85">
        <v>176</v>
      </c>
      <c r="D72" s="85">
        <v>67</v>
      </c>
      <c r="E72" s="85">
        <v>317</v>
      </c>
      <c r="F72" s="85">
        <v>107</v>
      </c>
    </row>
    <row r="73" spans="1:6" ht="14.1" customHeight="1" x14ac:dyDescent="0.25">
      <c r="A73" s="245" t="s">
        <v>77</v>
      </c>
      <c r="B73" s="85">
        <v>496</v>
      </c>
      <c r="C73" s="85">
        <v>524</v>
      </c>
      <c r="D73" s="85">
        <v>192</v>
      </c>
      <c r="E73" s="85">
        <v>756</v>
      </c>
      <c r="F73" s="85">
        <v>425</v>
      </c>
    </row>
    <row r="74" spans="1:6" ht="14.1" customHeight="1" x14ac:dyDescent="0.25">
      <c r="A74" s="245" t="s">
        <v>78</v>
      </c>
      <c r="B74" s="85">
        <v>573</v>
      </c>
      <c r="C74" s="85">
        <v>231</v>
      </c>
      <c r="D74" s="85">
        <v>177</v>
      </c>
      <c r="E74" s="85">
        <v>524</v>
      </c>
      <c r="F74" s="85">
        <v>249</v>
      </c>
    </row>
    <row r="75" spans="1:6" ht="14.1" customHeight="1" x14ac:dyDescent="0.25">
      <c r="A75" s="245" t="s">
        <v>79</v>
      </c>
      <c r="B75" s="85">
        <v>248</v>
      </c>
      <c r="C75" s="85">
        <v>41</v>
      </c>
      <c r="D75" s="85">
        <v>47</v>
      </c>
      <c r="E75" s="85">
        <v>120</v>
      </c>
      <c r="F75" s="85">
        <v>76</v>
      </c>
    </row>
    <row r="76" spans="1:6" ht="14.1" customHeight="1" x14ac:dyDescent="0.25">
      <c r="A76" s="245" t="s">
        <v>80</v>
      </c>
      <c r="B76" s="85">
        <v>93</v>
      </c>
      <c r="C76" s="85">
        <v>32</v>
      </c>
      <c r="D76" s="85">
        <v>47</v>
      </c>
      <c r="E76" s="85">
        <v>113</v>
      </c>
      <c r="F76" s="85">
        <v>55</v>
      </c>
    </row>
    <row r="77" spans="1:6" ht="14.1" customHeight="1" x14ac:dyDescent="0.25">
      <c r="A77" s="248" t="s">
        <v>319</v>
      </c>
      <c r="B77" s="85">
        <v>232</v>
      </c>
      <c r="C77" s="85">
        <v>158</v>
      </c>
      <c r="D77" s="85">
        <v>83</v>
      </c>
      <c r="E77" s="85">
        <v>291</v>
      </c>
      <c r="F77" s="85">
        <v>118</v>
      </c>
    </row>
    <row r="78" spans="1:6" ht="14.1" customHeight="1" x14ac:dyDescent="0.25">
      <c r="A78" s="245" t="s">
        <v>81</v>
      </c>
      <c r="B78" s="85">
        <v>395</v>
      </c>
      <c r="C78" s="85">
        <v>491</v>
      </c>
      <c r="D78" s="85">
        <v>158</v>
      </c>
      <c r="E78" s="85">
        <v>871</v>
      </c>
      <c r="F78" s="85">
        <v>338</v>
      </c>
    </row>
    <row r="79" spans="1:6" ht="14.1" customHeight="1" x14ac:dyDescent="0.25">
      <c r="A79" s="244" t="s">
        <v>82</v>
      </c>
      <c r="B79" s="84">
        <v>2880</v>
      </c>
      <c r="C79" s="84">
        <v>2435</v>
      </c>
      <c r="D79" s="84">
        <v>912</v>
      </c>
      <c r="E79" s="84">
        <v>4937</v>
      </c>
      <c r="F79" s="84">
        <v>2372</v>
      </c>
    </row>
    <row r="80" spans="1:6" ht="14.1" customHeight="1" x14ac:dyDescent="0.25">
      <c r="A80" s="245" t="s">
        <v>83</v>
      </c>
      <c r="B80" s="85">
        <v>40</v>
      </c>
      <c r="C80" s="85">
        <v>25</v>
      </c>
      <c r="D80" s="85">
        <v>24</v>
      </c>
      <c r="E80" s="85">
        <v>82</v>
      </c>
      <c r="F80" s="85">
        <v>35</v>
      </c>
    </row>
    <row r="81" spans="1:6" ht="14.1" customHeight="1" x14ac:dyDescent="0.25">
      <c r="A81" s="245" t="s">
        <v>84</v>
      </c>
      <c r="B81" s="85">
        <v>174</v>
      </c>
      <c r="C81" s="85">
        <v>215</v>
      </c>
      <c r="D81" s="85">
        <v>68</v>
      </c>
      <c r="E81" s="85">
        <v>466</v>
      </c>
      <c r="F81" s="85">
        <v>193</v>
      </c>
    </row>
    <row r="82" spans="1:6" ht="14.1" customHeight="1" x14ac:dyDescent="0.25">
      <c r="A82" s="245" t="s">
        <v>85</v>
      </c>
      <c r="B82" s="85">
        <v>122</v>
      </c>
      <c r="C82" s="85">
        <v>73</v>
      </c>
      <c r="D82" s="85">
        <v>34</v>
      </c>
      <c r="E82" s="85">
        <v>32</v>
      </c>
      <c r="F82" s="85">
        <v>105</v>
      </c>
    </row>
    <row r="83" spans="1:6" ht="14.1" customHeight="1" x14ac:dyDescent="0.25">
      <c r="A83" s="245" t="s">
        <v>86</v>
      </c>
      <c r="B83" s="85">
        <v>101</v>
      </c>
      <c r="C83" s="85">
        <v>64</v>
      </c>
      <c r="D83" s="85">
        <v>38</v>
      </c>
      <c r="E83" s="85">
        <v>166</v>
      </c>
      <c r="F83" s="85">
        <v>76</v>
      </c>
    </row>
    <row r="84" spans="1:6" ht="14.1" customHeight="1" x14ac:dyDescent="0.25">
      <c r="A84" s="245" t="s">
        <v>87</v>
      </c>
      <c r="B84" s="85">
        <v>266</v>
      </c>
      <c r="C84" s="85">
        <v>207</v>
      </c>
      <c r="D84" s="85">
        <v>112</v>
      </c>
      <c r="E84" s="85">
        <v>687</v>
      </c>
      <c r="F84" s="85">
        <v>235</v>
      </c>
    </row>
    <row r="85" spans="1:6" ht="14.1" customHeight="1" x14ac:dyDescent="0.25">
      <c r="A85" s="245" t="s">
        <v>88</v>
      </c>
      <c r="B85" s="85">
        <v>217</v>
      </c>
      <c r="C85" s="85">
        <v>167</v>
      </c>
      <c r="D85" s="85">
        <v>63</v>
      </c>
      <c r="E85" s="85">
        <v>431</v>
      </c>
      <c r="F85" s="85">
        <v>236</v>
      </c>
    </row>
    <row r="86" spans="1:6" ht="14.1" customHeight="1" x14ac:dyDescent="0.25">
      <c r="A86" s="245" t="s">
        <v>89</v>
      </c>
      <c r="B86" s="85">
        <v>484</v>
      </c>
      <c r="C86" s="85">
        <v>185</v>
      </c>
      <c r="D86" s="85">
        <v>104</v>
      </c>
      <c r="E86" s="85">
        <v>507</v>
      </c>
      <c r="F86" s="85">
        <v>348</v>
      </c>
    </row>
    <row r="87" spans="1:6" ht="14.1" customHeight="1" x14ac:dyDescent="0.25">
      <c r="A87" s="245" t="s">
        <v>90</v>
      </c>
      <c r="B87" s="85">
        <v>427</v>
      </c>
      <c r="C87" s="85">
        <v>195</v>
      </c>
      <c r="D87" s="85">
        <v>117</v>
      </c>
      <c r="E87" s="85">
        <v>580</v>
      </c>
      <c r="F87" s="85">
        <v>359</v>
      </c>
    </row>
    <row r="88" spans="1:6" ht="14.1" customHeight="1" x14ac:dyDescent="0.25">
      <c r="A88" s="245" t="s">
        <v>91</v>
      </c>
      <c r="B88" s="85">
        <v>355</v>
      </c>
      <c r="C88" s="85">
        <v>516</v>
      </c>
      <c r="D88" s="85">
        <v>127</v>
      </c>
      <c r="E88" s="85">
        <v>785</v>
      </c>
      <c r="F88" s="85">
        <v>303</v>
      </c>
    </row>
    <row r="89" spans="1:6" ht="14.1" customHeight="1" x14ac:dyDescent="0.25">
      <c r="A89" s="245" t="s">
        <v>92</v>
      </c>
      <c r="B89" s="85">
        <v>361</v>
      </c>
      <c r="C89" s="85">
        <v>360</v>
      </c>
      <c r="D89" s="85">
        <v>96</v>
      </c>
      <c r="E89" s="85">
        <v>609</v>
      </c>
      <c r="F89" s="85">
        <v>270</v>
      </c>
    </row>
    <row r="90" spans="1:6" ht="14.1" customHeight="1" x14ac:dyDescent="0.25">
      <c r="A90" s="245" t="s">
        <v>93</v>
      </c>
      <c r="B90" s="85">
        <v>238</v>
      </c>
      <c r="C90" s="85">
        <v>356</v>
      </c>
      <c r="D90" s="85">
        <v>67</v>
      </c>
      <c r="E90" s="85">
        <v>444</v>
      </c>
      <c r="F90" s="85">
        <v>155</v>
      </c>
    </row>
    <row r="91" spans="1:6" ht="14.1" customHeight="1" x14ac:dyDescent="0.25">
      <c r="A91" s="245" t="s">
        <v>94</v>
      </c>
      <c r="B91" s="85">
        <v>95</v>
      </c>
      <c r="C91" s="85">
        <v>72</v>
      </c>
      <c r="D91" s="85">
        <v>62</v>
      </c>
      <c r="E91" s="85">
        <v>148</v>
      </c>
      <c r="F91" s="85">
        <v>57</v>
      </c>
    </row>
    <row r="92" spans="1:6" ht="14.1" customHeight="1" x14ac:dyDescent="0.25">
      <c r="A92" s="249" t="s">
        <v>95</v>
      </c>
      <c r="B92" s="84">
        <v>889</v>
      </c>
      <c r="C92" s="84">
        <v>392</v>
      </c>
      <c r="D92" s="84">
        <v>369</v>
      </c>
      <c r="E92" s="84">
        <v>1216</v>
      </c>
      <c r="F92" s="84">
        <v>885</v>
      </c>
    </row>
    <row r="93" spans="1:6" ht="14.1" customHeight="1" x14ac:dyDescent="0.25">
      <c r="A93" s="245" t="s">
        <v>96</v>
      </c>
      <c r="B93" s="85">
        <v>107</v>
      </c>
      <c r="C93" s="85">
        <v>89</v>
      </c>
      <c r="D93" s="85">
        <v>110</v>
      </c>
      <c r="E93" s="85">
        <v>290</v>
      </c>
      <c r="F93" s="85">
        <v>193</v>
      </c>
    </row>
    <row r="94" spans="1:6" ht="14.1" customHeight="1" x14ac:dyDescent="0.25">
      <c r="A94" s="245" t="s">
        <v>97</v>
      </c>
      <c r="B94" s="85">
        <v>76</v>
      </c>
      <c r="C94" s="85">
        <v>5</v>
      </c>
      <c r="D94" s="85">
        <v>24</v>
      </c>
      <c r="E94" s="85">
        <v>20</v>
      </c>
      <c r="F94" s="85">
        <v>22</v>
      </c>
    </row>
    <row r="95" spans="1:6" ht="14.1" customHeight="1" x14ac:dyDescent="0.25">
      <c r="A95" s="245" t="s">
        <v>98</v>
      </c>
      <c r="B95" s="85">
        <v>264</v>
      </c>
      <c r="C95" s="85">
        <v>103</v>
      </c>
      <c r="D95" s="85">
        <v>70</v>
      </c>
      <c r="E95" s="85">
        <v>423</v>
      </c>
      <c r="F95" s="85">
        <v>271</v>
      </c>
    </row>
    <row r="96" spans="1:6" ht="14.1" customHeight="1" x14ac:dyDescent="0.25">
      <c r="A96" s="245" t="s">
        <v>99</v>
      </c>
      <c r="B96" s="85">
        <v>175</v>
      </c>
      <c r="C96" s="85">
        <v>11</v>
      </c>
      <c r="D96" s="85">
        <v>64</v>
      </c>
      <c r="E96" s="85">
        <v>31</v>
      </c>
      <c r="F96" s="85">
        <v>97</v>
      </c>
    </row>
    <row r="97" spans="1:9" ht="14.1" customHeight="1" x14ac:dyDescent="0.25">
      <c r="A97" s="245" t="s">
        <v>100</v>
      </c>
      <c r="B97" s="85">
        <v>113</v>
      </c>
      <c r="C97" s="85">
        <v>148</v>
      </c>
      <c r="D97" s="85">
        <v>46</v>
      </c>
      <c r="E97" s="85">
        <v>291</v>
      </c>
      <c r="F97" s="85">
        <v>180</v>
      </c>
    </row>
    <row r="98" spans="1:9" ht="14.1" customHeight="1" x14ac:dyDescent="0.25">
      <c r="A98" s="245" t="s">
        <v>101</v>
      </c>
      <c r="B98" s="85">
        <v>26</v>
      </c>
      <c r="C98" s="85">
        <v>4</v>
      </c>
      <c r="D98" s="85">
        <v>8</v>
      </c>
      <c r="E98" s="85">
        <v>11</v>
      </c>
      <c r="F98" s="85">
        <v>10</v>
      </c>
    </row>
    <row r="99" spans="1:9" ht="14.1" customHeight="1" x14ac:dyDescent="0.25">
      <c r="A99" s="245" t="s">
        <v>102</v>
      </c>
      <c r="B99" s="85">
        <v>98</v>
      </c>
      <c r="C99" s="85">
        <v>0</v>
      </c>
      <c r="D99" s="85">
        <v>19</v>
      </c>
      <c r="E99" s="85">
        <v>48</v>
      </c>
      <c r="F99" s="85">
        <v>59</v>
      </c>
    </row>
    <row r="100" spans="1:9" ht="14.1" customHeight="1" x14ac:dyDescent="0.25">
      <c r="A100" s="245" t="s">
        <v>103</v>
      </c>
      <c r="B100" s="85">
        <v>27</v>
      </c>
      <c r="C100" s="85">
        <v>28</v>
      </c>
      <c r="D100" s="85">
        <v>14</v>
      </c>
      <c r="E100" s="85">
        <v>71</v>
      </c>
      <c r="F100" s="85">
        <v>42</v>
      </c>
    </row>
    <row r="101" spans="1:9" ht="14.1" customHeight="1" x14ac:dyDescent="0.25">
      <c r="A101" s="320" t="s">
        <v>104</v>
      </c>
      <c r="B101" s="332">
        <v>3</v>
      </c>
      <c r="C101" s="332">
        <v>4</v>
      </c>
      <c r="D101" s="332">
        <v>14</v>
      </c>
      <c r="E101" s="332">
        <v>31</v>
      </c>
      <c r="F101" s="332">
        <v>11</v>
      </c>
      <c r="G101" s="37"/>
      <c r="H101" s="37"/>
      <c r="I101" s="37"/>
    </row>
    <row r="104" spans="1:9" x14ac:dyDescent="0.25">
      <c r="D104" s="46"/>
      <c r="E104" s="86"/>
      <c r="F104" s="86"/>
    </row>
    <row r="105" spans="1:9" x14ac:dyDescent="0.25">
      <c r="D105" s="46"/>
    </row>
    <row r="106" spans="1:9" x14ac:dyDescent="0.25">
      <c r="D106" s="46"/>
    </row>
    <row r="107" spans="1:9" x14ac:dyDescent="0.25">
      <c r="D107" s="46"/>
    </row>
    <row r="108" spans="1:9" x14ac:dyDescent="0.25">
      <c r="D108" s="46"/>
    </row>
    <row r="109" spans="1:9" x14ac:dyDescent="0.25">
      <c r="D109" s="46"/>
    </row>
    <row r="110" spans="1:9" x14ac:dyDescent="0.25">
      <c r="D110" s="46"/>
    </row>
  </sheetData>
  <mergeCells count="4">
    <mergeCell ref="A1:F1"/>
    <mergeCell ref="A2:F2"/>
    <mergeCell ref="A4:A5"/>
    <mergeCell ref="B4:F4"/>
  </mergeCells>
  <phoneticPr fontId="49" type="noConversion"/>
  <printOptions horizontalCentered="1"/>
  <pageMargins left="0.51181102362204722" right="0.31496062992125984" top="0.62992125984251968" bottom="0.19685039370078741" header="0.31496062992125984" footer="0.31496062992125984"/>
  <pageSetup paperSize="9" firstPageNumber="28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J103"/>
  <sheetViews>
    <sheetView zoomScaleNormal="100" workbookViewId="0">
      <selection activeCell="I15" sqref="I15"/>
    </sheetView>
  </sheetViews>
  <sheetFormatPr defaultRowHeight="15" x14ac:dyDescent="0.25"/>
  <cols>
    <col min="1" max="1" width="41.7109375" customWidth="1"/>
    <col min="2" max="2" width="23" customWidth="1"/>
    <col min="3" max="3" width="21.5703125" customWidth="1"/>
    <col min="4" max="6" width="15.7109375" customWidth="1"/>
  </cols>
  <sheetData>
    <row r="1" spans="1:10" x14ac:dyDescent="0.25">
      <c r="A1" s="533" t="s">
        <v>290</v>
      </c>
      <c r="B1" s="534"/>
      <c r="C1" s="534"/>
      <c r="D1" s="534"/>
      <c r="E1" s="534"/>
      <c r="F1" s="534"/>
    </row>
    <row r="2" spans="1:10" x14ac:dyDescent="0.25">
      <c r="A2" s="538" t="s">
        <v>288</v>
      </c>
      <c r="B2" s="539"/>
      <c r="C2" s="539"/>
      <c r="D2" s="539"/>
      <c r="E2" s="539"/>
      <c r="F2" s="539"/>
    </row>
    <row r="3" spans="1:10" ht="9.75" customHeight="1" x14ac:dyDescent="0.25"/>
    <row r="4" spans="1:10" x14ac:dyDescent="0.25">
      <c r="A4" s="535"/>
      <c r="B4" s="540" t="s">
        <v>226</v>
      </c>
      <c r="C4" s="541"/>
      <c r="D4" s="541"/>
      <c r="E4" s="541"/>
      <c r="F4" s="542"/>
      <c r="I4" s="90"/>
      <c r="J4" s="90"/>
    </row>
    <row r="5" spans="1:10" ht="30.75" customHeight="1" x14ac:dyDescent="0.25">
      <c r="A5" s="535"/>
      <c r="B5" s="279" t="s">
        <v>208</v>
      </c>
      <c r="C5" s="280" t="s">
        <v>152</v>
      </c>
      <c r="D5" s="280" t="s">
        <v>153</v>
      </c>
      <c r="E5" s="281" t="s">
        <v>154</v>
      </c>
      <c r="F5" s="281" t="s">
        <v>155</v>
      </c>
      <c r="I5" s="90"/>
      <c r="J5" s="90"/>
    </row>
    <row r="6" spans="1:10" ht="14.1" customHeight="1" x14ac:dyDescent="0.25">
      <c r="A6" s="276" t="s">
        <v>13</v>
      </c>
      <c r="B6" s="87">
        <v>14.733000000000001</v>
      </c>
      <c r="C6" s="87">
        <v>9.5589999999999993</v>
      </c>
      <c r="D6" s="87">
        <v>4.4429999999999996</v>
      </c>
      <c r="E6" s="87">
        <v>15.762</v>
      </c>
      <c r="F6" s="87">
        <v>7.2060000000000004</v>
      </c>
      <c r="I6" s="90"/>
      <c r="J6" s="90"/>
    </row>
    <row r="7" spans="1:10" ht="14.1" customHeight="1" x14ac:dyDescent="0.25">
      <c r="A7" s="244" t="s">
        <v>14</v>
      </c>
      <c r="B7" s="88">
        <v>14.766</v>
      </c>
      <c r="C7" s="88">
        <v>10.864000000000001</v>
      </c>
      <c r="D7" s="88">
        <v>3.3170000000000002</v>
      </c>
      <c r="E7" s="88">
        <v>11.255000000000001</v>
      </c>
      <c r="F7" s="88">
        <v>5.4169999999999998</v>
      </c>
    </row>
    <row r="8" spans="1:10" ht="14.1" customHeight="1" x14ac:dyDescent="0.25">
      <c r="A8" s="245" t="s">
        <v>15</v>
      </c>
      <c r="B8" s="88">
        <v>15.082000000000001</v>
      </c>
      <c r="C8" s="88">
        <v>5.1559999999999997</v>
      </c>
      <c r="D8" s="88">
        <v>4.5759999999999996</v>
      </c>
      <c r="E8" s="88">
        <v>15.92</v>
      </c>
      <c r="F8" s="88">
        <v>4.5759999999999996</v>
      </c>
    </row>
    <row r="9" spans="1:10" ht="14.1" customHeight="1" x14ac:dyDescent="0.25">
      <c r="A9" s="245" t="s">
        <v>16</v>
      </c>
      <c r="B9" s="88">
        <v>15.125</v>
      </c>
      <c r="C9" s="88">
        <v>9.6470000000000002</v>
      </c>
      <c r="D9" s="88">
        <v>6.7039999999999997</v>
      </c>
      <c r="E9" s="88">
        <v>14.962</v>
      </c>
      <c r="F9" s="88">
        <v>5.4779999999999998</v>
      </c>
    </row>
    <row r="10" spans="1:10" ht="14.1" customHeight="1" x14ac:dyDescent="0.25">
      <c r="A10" s="245" t="s">
        <v>17</v>
      </c>
      <c r="B10" s="88">
        <v>22.103999999999999</v>
      </c>
      <c r="C10" s="88">
        <v>14.712</v>
      </c>
      <c r="D10" s="88">
        <v>5.67</v>
      </c>
      <c r="E10" s="88">
        <v>20.741</v>
      </c>
      <c r="F10" s="88">
        <v>9.76</v>
      </c>
    </row>
    <row r="11" spans="1:10" ht="14.1" customHeight="1" x14ac:dyDescent="0.25">
      <c r="A11" s="245" t="s">
        <v>18</v>
      </c>
      <c r="B11" s="88">
        <v>18.504999999999999</v>
      </c>
      <c r="C11" s="88">
        <v>18.805</v>
      </c>
      <c r="D11" s="88">
        <v>4.883</v>
      </c>
      <c r="E11" s="88">
        <v>14.093</v>
      </c>
      <c r="F11" s="88">
        <v>3.298</v>
      </c>
    </row>
    <row r="12" spans="1:10" ht="14.1" customHeight="1" x14ac:dyDescent="0.25">
      <c r="A12" s="245" t="s">
        <v>19</v>
      </c>
      <c r="B12" s="88">
        <v>10.911</v>
      </c>
      <c r="C12" s="88">
        <v>16.658000000000001</v>
      </c>
      <c r="D12" s="88">
        <v>4.0919999999999996</v>
      </c>
      <c r="E12" s="88">
        <v>21.529</v>
      </c>
      <c r="F12" s="88">
        <v>8.0860000000000003</v>
      </c>
    </row>
    <row r="13" spans="1:10" ht="14.1" customHeight="1" x14ac:dyDescent="0.25">
      <c r="A13" s="245" t="s">
        <v>20</v>
      </c>
      <c r="B13" s="88">
        <v>20.155000000000001</v>
      </c>
      <c r="C13" s="88">
        <v>16.103999999999999</v>
      </c>
      <c r="D13" s="88">
        <v>5.4340000000000002</v>
      </c>
      <c r="E13" s="88">
        <v>14.82</v>
      </c>
      <c r="F13" s="88">
        <v>6.6189999999999998</v>
      </c>
    </row>
    <row r="14" spans="1:10" ht="14.1" customHeight="1" x14ac:dyDescent="0.25">
      <c r="A14" s="246" t="s">
        <v>21</v>
      </c>
      <c r="B14" s="88">
        <v>9.234</v>
      </c>
      <c r="C14" s="88">
        <v>21.699000000000002</v>
      </c>
      <c r="D14" s="88">
        <v>6.1559999999999997</v>
      </c>
      <c r="E14" s="88">
        <v>24.315000000000001</v>
      </c>
      <c r="F14" s="88">
        <v>3.847</v>
      </c>
    </row>
    <row r="15" spans="1:10" ht="14.1" customHeight="1" x14ac:dyDescent="0.25">
      <c r="A15" s="245" t="s">
        <v>22</v>
      </c>
      <c r="B15" s="88">
        <v>18.28</v>
      </c>
      <c r="C15" s="88">
        <v>6.242</v>
      </c>
      <c r="D15" s="88">
        <v>3.032</v>
      </c>
      <c r="E15" s="88">
        <v>7.9359999999999999</v>
      </c>
      <c r="F15" s="88">
        <v>4.726</v>
      </c>
    </row>
    <row r="16" spans="1:10" ht="14.1" customHeight="1" x14ac:dyDescent="0.25">
      <c r="A16" s="245" t="s">
        <v>23</v>
      </c>
      <c r="B16" s="88">
        <v>18.25</v>
      </c>
      <c r="C16" s="88">
        <v>17.645</v>
      </c>
      <c r="D16" s="88">
        <v>1.47</v>
      </c>
      <c r="E16" s="88">
        <v>15.569000000000001</v>
      </c>
      <c r="F16" s="88">
        <v>5.0170000000000003</v>
      </c>
    </row>
    <row r="17" spans="1:6" ht="14.1" customHeight="1" x14ac:dyDescent="0.25">
      <c r="A17" s="245" t="s">
        <v>24</v>
      </c>
      <c r="B17" s="88">
        <v>17.391999999999999</v>
      </c>
      <c r="C17" s="88">
        <v>12.657999999999999</v>
      </c>
      <c r="D17" s="88">
        <v>3.9340000000000002</v>
      </c>
      <c r="E17" s="88">
        <v>13.404</v>
      </c>
      <c r="F17" s="88">
        <v>8.8179999999999996</v>
      </c>
    </row>
    <row r="18" spans="1:6" ht="14.1" customHeight="1" x14ac:dyDescent="0.25">
      <c r="A18" s="245" t="s">
        <v>25</v>
      </c>
      <c r="B18" s="88">
        <v>17.167000000000002</v>
      </c>
      <c r="C18" s="88">
        <v>11.092000000000001</v>
      </c>
      <c r="D18" s="88">
        <v>1.849</v>
      </c>
      <c r="E18" s="88">
        <v>12.413</v>
      </c>
      <c r="F18" s="88">
        <v>3.169</v>
      </c>
    </row>
    <row r="19" spans="1:6" ht="14.1" customHeight="1" x14ac:dyDescent="0.25">
      <c r="A19" s="246" t="s">
        <v>26</v>
      </c>
      <c r="B19" s="88">
        <v>18.433</v>
      </c>
      <c r="C19" s="88">
        <v>10.9</v>
      </c>
      <c r="D19" s="88">
        <v>2.9239999999999999</v>
      </c>
      <c r="E19" s="88">
        <v>5.9379999999999997</v>
      </c>
      <c r="F19" s="88">
        <v>2.9239999999999999</v>
      </c>
    </row>
    <row r="20" spans="1:6" ht="14.1" customHeight="1" x14ac:dyDescent="0.25">
      <c r="A20" s="245" t="s">
        <v>27</v>
      </c>
      <c r="B20" s="88">
        <v>16.841999999999999</v>
      </c>
      <c r="C20" s="88">
        <v>20.609000000000002</v>
      </c>
      <c r="D20" s="88">
        <v>4.9169999999999998</v>
      </c>
      <c r="E20" s="88">
        <v>18.411999999999999</v>
      </c>
      <c r="F20" s="88">
        <v>8.16</v>
      </c>
    </row>
    <row r="21" spans="1:6" ht="14.1" customHeight="1" x14ac:dyDescent="0.25">
      <c r="A21" s="245" t="s">
        <v>28</v>
      </c>
      <c r="B21" s="88">
        <v>19.420000000000002</v>
      </c>
      <c r="C21" s="88">
        <v>10.236000000000001</v>
      </c>
      <c r="D21" s="88">
        <v>6.601</v>
      </c>
      <c r="E21" s="88">
        <v>14.731999999999999</v>
      </c>
      <c r="F21" s="88">
        <v>5.2619999999999996</v>
      </c>
    </row>
    <row r="22" spans="1:6" ht="14.1" customHeight="1" x14ac:dyDescent="0.25">
      <c r="A22" s="245" t="s">
        <v>29</v>
      </c>
      <c r="B22" s="88">
        <v>21.603000000000002</v>
      </c>
      <c r="C22" s="88">
        <v>12.685</v>
      </c>
      <c r="D22" s="88">
        <v>9.1479999999999997</v>
      </c>
      <c r="E22" s="88">
        <v>22.448</v>
      </c>
      <c r="F22" s="88">
        <v>7.7649999999999997</v>
      </c>
    </row>
    <row r="23" spans="1:6" ht="14.1" customHeight="1" x14ac:dyDescent="0.25">
      <c r="A23" s="245" t="s">
        <v>30</v>
      </c>
      <c r="B23" s="88">
        <v>17.898</v>
      </c>
      <c r="C23" s="88">
        <v>24.619</v>
      </c>
      <c r="D23" s="88">
        <v>3.593</v>
      </c>
      <c r="E23" s="88">
        <v>14.571999999999999</v>
      </c>
      <c r="F23" s="88">
        <v>7.984</v>
      </c>
    </row>
    <row r="24" spans="1:6" ht="14.1" customHeight="1" x14ac:dyDescent="0.25">
      <c r="A24" s="245" t="s">
        <v>31</v>
      </c>
      <c r="B24" s="88">
        <v>17.619</v>
      </c>
      <c r="C24" s="88">
        <v>21.631</v>
      </c>
      <c r="D24" s="88">
        <v>3.0680000000000001</v>
      </c>
      <c r="E24" s="88">
        <v>11.563000000000001</v>
      </c>
      <c r="F24" s="88">
        <v>5.9779999999999998</v>
      </c>
    </row>
    <row r="25" spans="1:6" ht="14.1" customHeight="1" x14ac:dyDescent="0.25">
      <c r="A25" s="245" t="s">
        <v>32</v>
      </c>
      <c r="B25" s="88">
        <v>8.6839999999999993</v>
      </c>
      <c r="C25" s="88">
        <v>3.31</v>
      </c>
      <c r="D25" s="88">
        <v>0.80900000000000005</v>
      </c>
      <c r="E25" s="88">
        <v>3.4319999999999999</v>
      </c>
      <c r="F25" s="88">
        <v>2.8079999999999998</v>
      </c>
    </row>
    <row r="26" spans="1:6" ht="14.1" customHeight="1" x14ac:dyDescent="0.25">
      <c r="A26" s="247" t="s">
        <v>33</v>
      </c>
      <c r="B26" s="87">
        <v>13.808</v>
      </c>
      <c r="C26" s="87">
        <v>13.145</v>
      </c>
      <c r="D26" s="87">
        <v>5.47</v>
      </c>
      <c r="E26" s="87">
        <v>15.523</v>
      </c>
      <c r="F26" s="87">
        <v>7.2709999999999999</v>
      </c>
    </row>
    <row r="27" spans="1:6" ht="14.1" customHeight="1" x14ac:dyDescent="0.25">
      <c r="A27" s="245" t="s">
        <v>34</v>
      </c>
      <c r="B27" s="88">
        <v>17.184000000000001</v>
      </c>
      <c r="C27" s="88">
        <v>7.0010000000000003</v>
      </c>
      <c r="D27" s="88">
        <v>4.4550000000000001</v>
      </c>
      <c r="E27" s="88">
        <v>15.275</v>
      </c>
      <c r="F27" s="88">
        <v>7.16</v>
      </c>
    </row>
    <row r="28" spans="1:6" ht="14.1" customHeight="1" x14ac:dyDescent="0.25">
      <c r="A28" s="245" t="s">
        <v>35</v>
      </c>
      <c r="B28" s="88">
        <v>13.471</v>
      </c>
      <c r="C28" s="88">
        <v>25.419</v>
      </c>
      <c r="D28" s="88">
        <v>9.1370000000000005</v>
      </c>
      <c r="E28" s="88">
        <v>31.51</v>
      </c>
      <c r="F28" s="88">
        <v>17.687999999999999</v>
      </c>
    </row>
    <row r="29" spans="1:6" ht="14.1" customHeight="1" x14ac:dyDescent="0.25">
      <c r="A29" s="245" t="s">
        <v>36</v>
      </c>
      <c r="B29" s="88">
        <v>16.155000000000001</v>
      </c>
      <c r="C29" s="88">
        <v>22.908000000000001</v>
      </c>
      <c r="D29" s="88">
        <v>9.4879999999999995</v>
      </c>
      <c r="E29" s="88">
        <v>30.856999999999999</v>
      </c>
      <c r="F29" s="88">
        <v>12.223000000000001</v>
      </c>
    </row>
    <row r="30" spans="1:6" ht="14.1" customHeight="1" x14ac:dyDescent="0.25">
      <c r="A30" s="245" t="s">
        <v>37</v>
      </c>
      <c r="B30" s="88">
        <v>11.393000000000001</v>
      </c>
      <c r="C30" s="88">
        <v>6.8360000000000003</v>
      </c>
      <c r="D30" s="88">
        <v>15.95</v>
      </c>
      <c r="E30" s="88">
        <v>36.456000000000003</v>
      </c>
      <c r="F30" s="88">
        <v>18.228000000000002</v>
      </c>
    </row>
    <row r="31" spans="1:6" ht="14.1" customHeight="1" x14ac:dyDescent="0.25">
      <c r="A31" s="248" t="s">
        <v>318</v>
      </c>
      <c r="B31" s="88">
        <v>16.341000000000001</v>
      </c>
      <c r="C31" s="88">
        <v>23.533999999999999</v>
      </c>
      <c r="D31" s="88">
        <v>9.2360000000000007</v>
      </c>
      <c r="E31" s="88">
        <v>30.638999999999999</v>
      </c>
      <c r="F31" s="88">
        <v>11.989000000000001</v>
      </c>
    </row>
    <row r="32" spans="1:6" ht="14.1" customHeight="1" x14ac:dyDescent="0.25">
      <c r="A32" s="245" t="s">
        <v>38</v>
      </c>
      <c r="B32" s="88">
        <v>11.638</v>
      </c>
      <c r="C32" s="88">
        <v>12.987</v>
      </c>
      <c r="D32" s="88">
        <v>8.2650000000000006</v>
      </c>
      <c r="E32" s="88">
        <v>19.649999999999999</v>
      </c>
      <c r="F32" s="88">
        <v>6.2409999999999997</v>
      </c>
    </row>
    <row r="33" spans="1:6" ht="14.1" customHeight="1" x14ac:dyDescent="0.25">
      <c r="A33" s="245" t="s">
        <v>39</v>
      </c>
      <c r="B33" s="88">
        <v>17.832999999999998</v>
      </c>
      <c r="C33" s="88">
        <v>17.832999999999998</v>
      </c>
      <c r="D33" s="88">
        <v>7.133</v>
      </c>
      <c r="E33" s="88">
        <v>17.629000000000001</v>
      </c>
      <c r="F33" s="88">
        <v>7.7439999999999998</v>
      </c>
    </row>
    <row r="34" spans="1:6" ht="14.1" customHeight="1" x14ac:dyDescent="0.25">
      <c r="A34" s="245" t="s">
        <v>40</v>
      </c>
      <c r="B34" s="88">
        <v>23.356000000000002</v>
      </c>
      <c r="C34" s="88">
        <v>20.332000000000001</v>
      </c>
      <c r="D34" s="88">
        <v>7.2809999999999997</v>
      </c>
      <c r="E34" s="88">
        <v>17.475000000000001</v>
      </c>
      <c r="F34" s="88">
        <v>8.0090000000000003</v>
      </c>
    </row>
    <row r="35" spans="1:6" ht="14.1" customHeight="1" x14ac:dyDescent="0.25">
      <c r="A35" s="245" t="s">
        <v>41</v>
      </c>
      <c r="B35" s="88">
        <v>9.4749999999999996</v>
      </c>
      <c r="C35" s="88">
        <v>2.7639999999999998</v>
      </c>
      <c r="D35" s="88">
        <v>1.974</v>
      </c>
      <c r="E35" s="88">
        <v>5.0010000000000003</v>
      </c>
      <c r="F35" s="88">
        <v>4.08</v>
      </c>
    </row>
    <row r="36" spans="1:6" ht="14.1" customHeight="1" x14ac:dyDescent="0.25">
      <c r="A36" s="245" t="s">
        <v>42</v>
      </c>
      <c r="B36" s="88">
        <v>27.193999999999999</v>
      </c>
      <c r="C36" s="88">
        <v>20.029</v>
      </c>
      <c r="D36" s="88">
        <v>10.422000000000001</v>
      </c>
      <c r="E36" s="88">
        <v>20.029</v>
      </c>
      <c r="F36" s="88">
        <v>14.818</v>
      </c>
    </row>
    <row r="37" spans="1:6" ht="14.1" customHeight="1" x14ac:dyDescent="0.25">
      <c r="A37" s="245" t="s">
        <v>43</v>
      </c>
      <c r="B37" s="88">
        <v>21.263999999999999</v>
      </c>
      <c r="C37" s="88">
        <v>15.521000000000001</v>
      </c>
      <c r="D37" s="88">
        <v>9.3130000000000006</v>
      </c>
      <c r="E37" s="88">
        <v>24.834</v>
      </c>
      <c r="F37" s="88">
        <v>7.7610000000000001</v>
      </c>
    </row>
    <row r="38" spans="1:6" ht="14.1" customHeight="1" x14ac:dyDescent="0.25">
      <c r="A38" s="245" t="s">
        <v>44</v>
      </c>
      <c r="B38" s="88">
        <v>7.5759999999999996</v>
      </c>
      <c r="C38" s="88">
        <v>6.8330000000000002</v>
      </c>
      <c r="D38" s="88">
        <v>1.9990000000000001</v>
      </c>
      <c r="E38" s="88">
        <v>7.4039999999999999</v>
      </c>
      <c r="F38" s="88">
        <v>3.9020000000000001</v>
      </c>
    </row>
    <row r="39" spans="1:6" ht="14.1" customHeight="1" x14ac:dyDescent="0.25">
      <c r="A39" s="249" t="s">
        <v>45</v>
      </c>
      <c r="B39" s="87">
        <v>16.282</v>
      </c>
      <c r="C39" s="87">
        <v>2.976</v>
      </c>
      <c r="D39" s="87">
        <v>4.1589999999999998</v>
      </c>
      <c r="E39" s="87">
        <v>10.385</v>
      </c>
      <c r="F39" s="87">
        <v>4.4459999999999997</v>
      </c>
    </row>
    <row r="40" spans="1:6" ht="14.1" customHeight="1" x14ac:dyDescent="0.25">
      <c r="A40" s="245" t="s">
        <v>46</v>
      </c>
      <c r="B40" s="88">
        <v>22.103000000000002</v>
      </c>
      <c r="C40" s="88">
        <v>13.483000000000001</v>
      </c>
      <c r="D40" s="88">
        <v>7.7359999999999998</v>
      </c>
      <c r="E40" s="88">
        <v>17.904</v>
      </c>
      <c r="F40" s="88">
        <v>6.41</v>
      </c>
    </row>
    <row r="41" spans="1:6" ht="14.1" customHeight="1" x14ac:dyDescent="0.25">
      <c r="A41" s="245" t="s">
        <v>47</v>
      </c>
      <c r="B41" s="88">
        <v>22.64</v>
      </c>
      <c r="C41" s="88">
        <v>0</v>
      </c>
      <c r="D41" s="88">
        <v>5.0309999999999997</v>
      </c>
      <c r="E41" s="88">
        <v>21.562000000000001</v>
      </c>
      <c r="F41" s="88">
        <v>6.8280000000000003</v>
      </c>
    </row>
    <row r="42" spans="1:6" ht="14.1" customHeight="1" x14ac:dyDescent="0.25">
      <c r="A42" s="245" t="s">
        <v>211</v>
      </c>
      <c r="B42" s="88">
        <v>19.114000000000001</v>
      </c>
      <c r="C42" s="88">
        <v>9.5830000000000002</v>
      </c>
      <c r="D42" s="88">
        <v>5.2889999999999997</v>
      </c>
      <c r="E42" s="88">
        <v>17.123999999999999</v>
      </c>
      <c r="F42" s="88">
        <v>6.9649999999999999</v>
      </c>
    </row>
    <row r="43" spans="1:6" ht="14.1" customHeight="1" x14ac:dyDescent="0.25">
      <c r="A43" s="245" t="s">
        <v>48</v>
      </c>
      <c r="B43" s="88">
        <v>19.306000000000001</v>
      </c>
      <c r="C43" s="88">
        <v>2.4900000000000002</v>
      </c>
      <c r="D43" s="88">
        <v>4.33</v>
      </c>
      <c r="E43" s="88">
        <v>11.529</v>
      </c>
      <c r="F43" s="88">
        <v>4.835</v>
      </c>
    </row>
    <row r="44" spans="1:6" ht="14.1" customHeight="1" x14ac:dyDescent="0.25">
      <c r="A44" s="245" t="s">
        <v>49</v>
      </c>
      <c r="B44" s="88">
        <v>10.896000000000001</v>
      </c>
      <c r="C44" s="88">
        <v>0</v>
      </c>
      <c r="D44" s="88">
        <v>10.307</v>
      </c>
      <c r="E44" s="88">
        <v>0.29399999999999998</v>
      </c>
      <c r="F44" s="88">
        <v>1.571</v>
      </c>
    </row>
    <row r="45" spans="1:6" ht="14.1" customHeight="1" x14ac:dyDescent="0.25">
      <c r="A45" s="245" t="s">
        <v>50</v>
      </c>
      <c r="B45" s="88">
        <v>14.721</v>
      </c>
      <c r="C45" s="88">
        <v>2.3220000000000001</v>
      </c>
      <c r="D45" s="88">
        <v>3.2669999999999999</v>
      </c>
      <c r="E45" s="88">
        <v>9.5250000000000004</v>
      </c>
      <c r="F45" s="88">
        <v>4.2119999999999997</v>
      </c>
    </row>
    <row r="46" spans="1:6" ht="14.1" customHeight="1" x14ac:dyDescent="0.25">
      <c r="A46" s="245" t="s">
        <v>51</v>
      </c>
      <c r="B46" s="88">
        <v>12.093999999999999</v>
      </c>
      <c r="C46" s="88">
        <v>0.96799999999999997</v>
      </c>
      <c r="D46" s="88">
        <v>1.724</v>
      </c>
      <c r="E46" s="88">
        <v>6.8970000000000002</v>
      </c>
      <c r="F46" s="88">
        <v>3.4009999999999998</v>
      </c>
    </row>
    <row r="47" spans="1:6" ht="14.1" customHeight="1" x14ac:dyDescent="0.25">
      <c r="A47" s="245" t="s">
        <v>213</v>
      </c>
      <c r="B47" s="88">
        <v>17.751000000000001</v>
      </c>
      <c r="C47" s="88">
        <v>1.42</v>
      </c>
      <c r="D47" s="88">
        <v>7.3369999999999997</v>
      </c>
      <c r="E47" s="88">
        <v>13.964</v>
      </c>
      <c r="F47" s="88">
        <v>3.077</v>
      </c>
    </row>
    <row r="48" spans="1:6" ht="14.1" customHeight="1" x14ac:dyDescent="0.25">
      <c r="A48" s="250" t="s">
        <v>52</v>
      </c>
      <c r="B48" s="87">
        <v>14.938000000000001</v>
      </c>
      <c r="C48" s="87">
        <v>0.71799999999999997</v>
      </c>
      <c r="D48" s="87">
        <v>1.867</v>
      </c>
      <c r="E48" s="87">
        <v>5.14</v>
      </c>
      <c r="F48" s="87">
        <v>3.2519999999999998</v>
      </c>
    </row>
    <row r="49" spans="1:6" ht="14.1" customHeight="1" x14ac:dyDescent="0.25">
      <c r="A49" s="245" t="s">
        <v>53</v>
      </c>
      <c r="B49" s="88">
        <v>16.045999999999999</v>
      </c>
      <c r="C49" s="88">
        <v>0.56100000000000005</v>
      </c>
      <c r="D49" s="88">
        <v>2.641</v>
      </c>
      <c r="E49" s="88">
        <v>2.0139999999999998</v>
      </c>
      <c r="F49" s="88">
        <v>3.0710000000000002</v>
      </c>
    </row>
    <row r="50" spans="1:6" ht="14.1" customHeight="1" x14ac:dyDescent="0.25">
      <c r="A50" s="245" t="s">
        <v>54</v>
      </c>
      <c r="B50" s="88">
        <v>9.8610000000000007</v>
      </c>
      <c r="C50" s="88">
        <v>0.21</v>
      </c>
      <c r="D50" s="88">
        <v>0.42</v>
      </c>
      <c r="E50" s="88">
        <v>0.21</v>
      </c>
      <c r="F50" s="88">
        <v>4.4059999999999997</v>
      </c>
    </row>
    <row r="51" spans="1:6" ht="14.1" customHeight="1" x14ac:dyDescent="0.25">
      <c r="A51" s="245" t="s">
        <v>55</v>
      </c>
      <c r="B51" s="88">
        <v>7.5289999999999999</v>
      </c>
      <c r="C51" s="88">
        <v>2.085</v>
      </c>
      <c r="D51" s="88">
        <v>1.9690000000000001</v>
      </c>
      <c r="E51" s="88">
        <v>6.2549999999999999</v>
      </c>
      <c r="F51" s="88">
        <v>1.1579999999999999</v>
      </c>
    </row>
    <row r="52" spans="1:6" ht="14.1" customHeight="1" x14ac:dyDescent="0.25">
      <c r="A52" s="245" t="s">
        <v>56</v>
      </c>
      <c r="B52" s="88">
        <v>21.622</v>
      </c>
      <c r="C52" s="88">
        <v>0.64200000000000002</v>
      </c>
      <c r="D52" s="88">
        <v>2.9969999999999999</v>
      </c>
      <c r="E52" s="88">
        <v>8.3490000000000002</v>
      </c>
      <c r="F52" s="88">
        <v>3.8530000000000002</v>
      </c>
    </row>
    <row r="53" spans="1:6" ht="14.1" customHeight="1" x14ac:dyDescent="0.25">
      <c r="A53" s="245" t="s">
        <v>57</v>
      </c>
      <c r="B53" s="88">
        <v>16.204999999999998</v>
      </c>
      <c r="C53" s="88">
        <v>0.85299999999999998</v>
      </c>
      <c r="D53" s="88">
        <v>0.71099999999999997</v>
      </c>
      <c r="E53" s="88">
        <v>2.843</v>
      </c>
      <c r="F53" s="88">
        <v>2.9849999999999999</v>
      </c>
    </row>
    <row r="54" spans="1:6" ht="14.1" customHeight="1" x14ac:dyDescent="0.25">
      <c r="A54" s="245" t="s">
        <v>58</v>
      </c>
      <c r="B54" s="88">
        <v>16.314</v>
      </c>
      <c r="C54" s="88">
        <v>0</v>
      </c>
      <c r="D54" s="88">
        <v>0.92700000000000005</v>
      </c>
      <c r="E54" s="88">
        <v>1.02</v>
      </c>
      <c r="F54" s="88">
        <v>1.39</v>
      </c>
    </row>
    <row r="55" spans="1:6" ht="14.1" customHeight="1" x14ac:dyDescent="0.25">
      <c r="A55" s="245" t="s">
        <v>59</v>
      </c>
      <c r="B55" s="88">
        <v>16.661000000000001</v>
      </c>
      <c r="C55" s="88">
        <v>0.89200000000000002</v>
      </c>
      <c r="D55" s="88">
        <v>1.927</v>
      </c>
      <c r="E55" s="88">
        <v>11.238</v>
      </c>
      <c r="F55" s="88">
        <v>4.9589999999999996</v>
      </c>
    </row>
    <row r="56" spans="1:6" ht="14.1" customHeight="1" x14ac:dyDescent="0.25">
      <c r="A56" s="244" t="s">
        <v>60</v>
      </c>
      <c r="B56" s="87">
        <v>14.77</v>
      </c>
      <c r="C56" s="87">
        <v>10.574999999999999</v>
      </c>
      <c r="D56" s="87">
        <v>5.8</v>
      </c>
      <c r="E56" s="87">
        <v>19.332000000000001</v>
      </c>
      <c r="F56" s="87">
        <v>6.8019999999999996</v>
      </c>
    </row>
    <row r="57" spans="1:6" ht="14.1" customHeight="1" x14ac:dyDescent="0.25">
      <c r="A57" s="245" t="s">
        <v>61</v>
      </c>
      <c r="B57" s="88">
        <v>14.106999999999999</v>
      </c>
      <c r="C57" s="88">
        <v>3.5880000000000001</v>
      </c>
      <c r="D57" s="88">
        <v>7.2009999999999996</v>
      </c>
      <c r="E57" s="88">
        <v>28.262</v>
      </c>
      <c r="F57" s="88">
        <v>6.5129999999999999</v>
      </c>
    </row>
    <row r="58" spans="1:6" ht="14.1" customHeight="1" x14ac:dyDescent="0.25">
      <c r="A58" s="245" t="s">
        <v>62</v>
      </c>
      <c r="B58" s="88">
        <v>16.198</v>
      </c>
      <c r="C58" s="88">
        <v>21.305</v>
      </c>
      <c r="D58" s="88">
        <v>7.5880000000000001</v>
      </c>
      <c r="E58" s="88">
        <v>14.885</v>
      </c>
      <c r="F58" s="88">
        <v>8.3179999999999996</v>
      </c>
    </row>
    <row r="59" spans="1:6" ht="14.1" customHeight="1" x14ac:dyDescent="0.25">
      <c r="A59" s="245" t="s">
        <v>63</v>
      </c>
      <c r="B59" s="88">
        <v>19.306999999999999</v>
      </c>
      <c r="C59" s="88">
        <v>6.0640000000000001</v>
      </c>
      <c r="D59" s="88">
        <v>4.2080000000000002</v>
      </c>
      <c r="E59" s="88">
        <v>19.183</v>
      </c>
      <c r="F59" s="88">
        <v>5.4459999999999997</v>
      </c>
    </row>
    <row r="60" spans="1:6" ht="14.1" customHeight="1" x14ac:dyDescent="0.25">
      <c r="A60" s="245" t="s">
        <v>64</v>
      </c>
      <c r="B60" s="88">
        <v>12.535</v>
      </c>
      <c r="C60" s="88">
        <v>3.8690000000000002</v>
      </c>
      <c r="D60" s="88">
        <v>4.54</v>
      </c>
      <c r="E60" s="88">
        <v>13.103</v>
      </c>
      <c r="F60" s="88">
        <v>4.9009999999999998</v>
      </c>
    </row>
    <row r="61" spans="1:6" ht="14.1" customHeight="1" x14ac:dyDescent="0.25">
      <c r="A61" s="245" t="s">
        <v>65</v>
      </c>
      <c r="B61" s="88">
        <v>14.305</v>
      </c>
      <c r="C61" s="88">
        <v>15.952999999999999</v>
      </c>
      <c r="D61" s="88">
        <v>8.3059999999999992</v>
      </c>
      <c r="E61" s="88">
        <v>38.232999999999997</v>
      </c>
      <c r="F61" s="88">
        <v>10.02</v>
      </c>
    </row>
    <row r="62" spans="1:6" ht="14.1" customHeight="1" x14ac:dyDescent="0.25">
      <c r="A62" s="245" t="s">
        <v>66</v>
      </c>
      <c r="B62" s="88">
        <v>18.038</v>
      </c>
      <c r="C62" s="88">
        <v>11.648</v>
      </c>
      <c r="D62" s="88">
        <v>7.1180000000000003</v>
      </c>
      <c r="E62" s="88">
        <v>6.633</v>
      </c>
      <c r="F62" s="88">
        <v>5.8239999999999998</v>
      </c>
    </row>
    <row r="63" spans="1:6" ht="14.1" customHeight="1" x14ac:dyDescent="0.25">
      <c r="A63" s="245" t="s">
        <v>67</v>
      </c>
      <c r="B63" s="88">
        <v>14.811</v>
      </c>
      <c r="C63" s="88">
        <v>22.367999999999999</v>
      </c>
      <c r="D63" s="88">
        <v>9</v>
      </c>
      <c r="E63" s="88">
        <v>31.178000000000001</v>
      </c>
      <c r="F63" s="88">
        <v>12.76</v>
      </c>
    </row>
    <row r="64" spans="1:6" ht="14.1" customHeight="1" x14ac:dyDescent="0.25">
      <c r="A64" s="245" t="s">
        <v>68</v>
      </c>
      <c r="B64" s="88">
        <v>14.368</v>
      </c>
      <c r="C64" s="88">
        <v>22.786999999999999</v>
      </c>
      <c r="D64" s="88">
        <v>8.8829999999999991</v>
      </c>
      <c r="E64" s="88">
        <v>32.134</v>
      </c>
      <c r="F64" s="88">
        <v>9.1920000000000002</v>
      </c>
    </row>
    <row r="65" spans="1:6" ht="14.1" customHeight="1" x14ac:dyDescent="0.25">
      <c r="A65" s="245" t="s">
        <v>69</v>
      </c>
      <c r="B65" s="88">
        <v>15.151</v>
      </c>
      <c r="C65" s="88">
        <v>10.632999999999999</v>
      </c>
      <c r="D65" s="88">
        <v>4.21</v>
      </c>
      <c r="E65" s="88">
        <v>11.617000000000001</v>
      </c>
      <c r="F65" s="88">
        <v>5.2859999999999996</v>
      </c>
    </row>
    <row r="66" spans="1:6" ht="14.1" customHeight="1" x14ac:dyDescent="0.25">
      <c r="A66" s="245" t="s">
        <v>70</v>
      </c>
      <c r="B66" s="88">
        <v>16.664999999999999</v>
      </c>
      <c r="C66" s="88">
        <v>1.506</v>
      </c>
      <c r="D66" s="88">
        <v>6.6260000000000003</v>
      </c>
      <c r="E66" s="88">
        <v>28.863</v>
      </c>
      <c r="F66" s="88">
        <v>9.5370000000000008</v>
      </c>
    </row>
    <row r="67" spans="1:6" ht="14.1" customHeight="1" x14ac:dyDescent="0.25">
      <c r="A67" s="245" t="s">
        <v>71</v>
      </c>
      <c r="B67" s="88">
        <v>19.106000000000002</v>
      </c>
      <c r="C67" s="88">
        <v>24.905000000000001</v>
      </c>
      <c r="D67" s="88">
        <v>5.3529999999999998</v>
      </c>
      <c r="E67" s="88">
        <v>20.221</v>
      </c>
      <c r="F67" s="88">
        <v>5.13</v>
      </c>
    </row>
    <row r="68" spans="1:6" ht="14.1" customHeight="1" x14ac:dyDescent="0.25">
      <c r="A68" s="245" t="s">
        <v>72</v>
      </c>
      <c r="B68" s="88">
        <v>13.23</v>
      </c>
      <c r="C68" s="88">
        <v>5.2729999999999997</v>
      </c>
      <c r="D68" s="88">
        <v>2.496</v>
      </c>
      <c r="E68" s="88">
        <v>4.1189999999999998</v>
      </c>
      <c r="F68" s="88">
        <v>4.5869999999999997</v>
      </c>
    </row>
    <row r="69" spans="1:6" ht="14.1" customHeight="1" x14ac:dyDescent="0.25">
      <c r="A69" s="246" t="s">
        <v>73</v>
      </c>
      <c r="B69" s="88">
        <v>15.302</v>
      </c>
      <c r="C69" s="88">
        <v>11.074</v>
      </c>
      <c r="D69" s="88">
        <v>5.1950000000000003</v>
      </c>
      <c r="E69" s="88">
        <v>18.925999999999998</v>
      </c>
      <c r="F69" s="88">
        <v>5.5970000000000004</v>
      </c>
    </row>
    <row r="70" spans="1:6" ht="14.1" customHeight="1" x14ac:dyDescent="0.25">
      <c r="A70" s="245" t="s">
        <v>74</v>
      </c>
      <c r="B70" s="88">
        <v>12.029</v>
      </c>
      <c r="C70" s="88">
        <v>17.526</v>
      </c>
      <c r="D70" s="88">
        <v>3.9039999999999999</v>
      </c>
      <c r="E70" s="88">
        <v>7.3289999999999997</v>
      </c>
      <c r="F70" s="88">
        <v>5.1779999999999999</v>
      </c>
    </row>
    <row r="71" spans="1:6" ht="14.1" customHeight="1" x14ac:dyDescent="0.25">
      <c r="A71" s="249" t="s">
        <v>75</v>
      </c>
      <c r="B71" s="87">
        <v>13.28</v>
      </c>
      <c r="C71" s="87">
        <v>11.536</v>
      </c>
      <c r="D71" s="87">
        <v>4.819</v>
      </c>
      <c r="E71" s="87">
        <v>20.021000000000001</v>
      </c>
      <c r="F71" s="87">
        <v>9.0779999999999994</v>
      </c>
    </row>
    <row r="72" spans="1:6" ht="14.1" customHeight="1" x14ac:dyDescent="0.25">
      <c r="A72" s="245" t="s">
        <v>76</v>
      </c>
      <c r="B72" s="88">
        <v>20.163</v>
      </c>
      <c r="C72" s="88">
        <v>20.513000000000002</v>
      </c>
      <c r="D72" s="88">
        <v>7.8090000000000002</v>
      </c>
      <c r="E72" s="88">
        <v>36.945999999999998</v>
      </c>
      <c r="F72" s="88">
        <v>12.471</v>
      </c>
    </row>
    <row r="73" spans="1:6" ht="14.1" customHeight="1" x14ac:dyDescent="0.25">
      <c r="A73" s="245" t="s">
        <v>77</v>
      </c>
      <c r="B73" s="88">
        <v>11.456</v>
      </c>
      <c r="C73" s="88">
        <v>12.103</v>
      </c>
      <c r="D73" s="88">
        <v>4.4349999999999996</v>
      </c>
      <c r="E73" s="88">
        <v>17.460999999999999</v>
      </c>
      <c r="F73" s="88">
        <v>9.8160000000000007</v>
      </c>
    </row>
    <row r="74" spans="1:6" ht="14.1" customHeight="1" x14ac:dyDescent="0.25">
      <c r="A74" s="245" t="s">
        <v>78</v>
      </c>
      <c r="B74" s="88">
        <v>15.750999999999999</v>
      </c>
      <c r="C74" s="88">
        <v>6.35</v>
      </c>
      <c r="D74" s="88">
        <v>4.8659999999999997</v>
      </c>
      <c r="E74" s="88">
        <v>14.404</v>
      </c>
      <c r="F74" s="88">
        <v>6.8449999999999998</v>
      </c>
    </row>
    <row r="75" spans="1:6" ht="14.1" customHeight="1" x14ac:dyDescent="0.25">
      <c r="A75" s="245" t="s">
        <v>79</v>
      </c>
      <c r="B75" s="88">
        <v>15.154999999999999</v>
      </c>
      <c r="C75" s="88">
        <v>2.5049999999999999</v>
      </c>
      <c r="D75" s="88">
        <v>2.8719999999999999</v>
      </c>
      <c r="E75" s="88">
        <v>7.3330000000000002</v>
      </c>
      <c r="F75" s="88">
        <v>4.6440000000000001</v>
      </c>
    </row>
    <row r="76" spans="1:6" ht="14.1" customHeight="1" x14ac:dyDescent="0.25">
      <c r="A76" s="245" t="s">
        <v>80</v>
      </c>
      <c r="B76" s="88">
        <v>17.381</v>
      </c>
      <c r="C76" s="88">
        <v>5.98</v>
      </c>
      <c r="D76" s="88">
        <v>8.7840000000000007</v>
      </c>
      <c r="E76" s="88">
        <v>21.117999999999999</v>
      </c>
      <c r="F76" s="88">
        <v>10.279</v>
      </c>
    </row>
    <row r="77" spans="1:6" ht="14.1" customHeight="1" x14ac:dyDescent="0.25">
      <c r="A77" s="248" t="s">
        <v>319</v>
      </c>
      <c r="B77" s="88">
        <v>15.823</v>
      </c>
      <c r="C77" s="88">
        <v>10.776</v>
      </c>
      <c r="D77" s="88">
        <v>5.6609999999999996</v>
      </c>
      <c r="E77" s="88">
        <v>19.846</v>
      </c>
      <c r="F77" s="88">
        <v>8.048</v>
      </c>
    </row>
    <row r="78" spans="1:6" ht="14.1" customHeight="1" x14ac:dyDescent="0.25">
      <c r="A78" s="245" t="s">
        <v>81</v>
      </c>
      <c r="B78" s="88">
        <v>11.281000000000001</v>
      </c>
      <c r="C78" s="88">
        <v>14.022</v>
      </c>
      <c r="D78" s="88">
        <v>4.5119999999999996</v>
      </c>
      <c r="E78" s="88">
        <v>24.875</v>
      </c>
      <c r="F78" s="88">
        <v>9.6530000000000005</v>
      </c>
    </row>
    <row r="79" spans="1:6" ht="14.1" customHeight="1" x14ac:dyDescent="0.25">
      <c r="A79" s="244" t="s">
        <v>82</v>
      </c>
      <c r="B79" s="87">
        <v>14.903</v>
      </c>
      <c r="C79" s="87">
        <v>12.6</v>
      </c>
      <c r="D79" s="87">
        <v>4.7190000000000003</v>
      </c>
      <c r="E79" s="87">
        <v>25.547000000000001</v>
      </c>
      <c r="F79" s="87">
        <v>12.273999999999999</v>
      </c>
    </row>
    <row r="80" spans="1:6" ht="14.1" customHeight="1" x14ac:dyDescent="0.25">
      <c r="A80" s="245" t="s">
        <v>83</v>
      </c>
      <c r="B80" s="88">
        <v>18.510999999999999</v>
      </c>
      <c r="C80" s="88">
        <v>11.57</v>
      </c>
      <c r="D80" s="88">
        <v>11.106999999999999</v>
      </c>
      <c r="E80" s="88">
        <v>37.948</v>
      </c>
      <c r="F80" s="88">
        <v>16.196999999999999</v>
      </c>
    </row>
    <row r="81" spans="1:6" ht="14.1" customHeight="1" x14ac:dyDescent="0.25">
      <c r="A81" s="245" t="s">
        <v>84</v>
      </c>
      <c r="B81" s="88">
        <v>17.696999999999999</v>
      </c>
      <c r="C81" s="88">
        <v>21.867000000000001</v>
      </c>
      <c r="D81" s="88">
        <v>6.9160000000000004</v>
      </c>
      <c r="E81" s="88">
        <v>47.396000000000001</v>
      </c>
      <c r="F81" s="88">
        <v>19.63</v>
      </c>
    </row>
    <row r="82" spans="1:6" ht="14.1" customHeight="1" x14ac:dyDescent="0.25">
      <c r="A82" s="245" t="s">
        <v>85</v>
      </c>
      <c r="B82" s="88">
        <v>38.473999999999997</v>
      </c>
      <c r="C82" s="88">
        <v>23.021999999999998</v>
      </c>
      <c r="D82" s="88">
        <v>10.722</v>
      </c>
      <c r="E82" s="88">
        <v>10.092000000000001</v>
      </c>
      <c r="F82" s="88">
        <v>33.113</v>
      </c>
    </row>
    <row r="83" spans="1:6" ht="14.1" customHeight="1" x14ac:dyDescent="0.25">
      <c r="A83" s="245" t="s">
        <v>86</v>
      </c>
      <c r="B83" s="88">
        <v>18.8</v>
      </c>
      <c r="C83" s="88">
        <v>11.913</v>
      </c>
      <c r="D83" s="88">
        <v>7.0730000000000004</v>
      </c>
      <c r="E83" s="88">
        <v>30.9</v>
      </c>
      <c r="F83" s="88">
        <v>14.147</v>
      </c>
    </row>
    <row r="84" spans="1:6" ht="14.1" customHeight="1" x14ac:dyDescent="0.25">
      <c r="A84" s="245" t="s">
        <v>87</v>
      </c>
      <c r="B84" s="88">
        <v>11.218</v>
      </c>
      <c r="C84" s="88">
        <v>8.73</v>
      </c>
      <c r="D84" s="88">
        <v>4.7229999999999999</v>
      </c>
      <c r="E84" s="88">
        <v>28.972000000000001</v>
      </c>
      <c r="F84" s="88">
        <v>9.91</v>
      </c>
    </row>
    <row r="85" spans="1:6" ht="14.1" customHeight="1" x14ac:dyDescent="0.25">
      <c r="A85" s="245" t="s">
        <v>88</v>
      </c>
      <c r="B85" s="88">
        <v>20.074000000000002</v>
      </c>
      <c r="C85" s="88">
        <v>15.449</v>
      </c>
      <c r="D85" s="88">
        <v>5.8280000000000003</v>
      </c>
      <c r="E85" s="88">
        <v>39.871000000000002</v>
      </c>
      <c r="F85" s="88">
        <v>21.832000000000001</v>
      </c>
    </row>
    <row r="86" spans="1:6" ht="14.1" customHeight="1" x14ac:dyDescent="0.25">
      <c r="A86" s="245" t="s">
        <v>89</v>
      </c>
      <c r="B86" s="88">
        <v>16.859000000000002</v>
      </c>
      <c r="C86" s="88">
        <v>6.444</v>
      </c>
      <c r="D86" s="88">
        <v>3.6230000000000002</v>
      </c>
      <c r="E86" s="88">
        <v>17.66</v>
      </c>
      <c r="F86" s="88">
        <v>12.122</v>
      </c>
    </row>
    <row r="87" spans="1:6" ht="14.1" customHeight="1" x14ac:dyDescent="0.25">
      <c r="A87" s="245" t="s">
        <v>90</v>
      </c>
      <c r="B87" s="88">
        <v>17.712</v>
      </c>
      <c r="C87" s="88">
        <v>8.0879999999999992</v>
      </c>
      <c r="D87" s="88">
        <v>4.8529999999999998</v>
      </c>
      <c r="E87" s="88">
        <v>24.058</v>
      </c>
      <c r="F87" s="88">
        <v>14.891</v>
      </c>
    </row>
    <row r="88" spans="1:6" ht="14.1" customHeight="1" x14ac:dyDescent="0.25">
      <c r="A88" s="245" t="s">
        <v>91</v>
      </c>
      <c r="B88" s="88">
        <v>13.084</v>
      </c>
      <c r="C88" s="88">
        <v>19.018000000000001</v>
      </c>
      <c r="D88" s="88">
        <v>4.681</v>
      </c>
      <c r="E88" s="88">
        <v>28.931999999999999</v>
      </c>
      <c r="F88" s="88">
        <v>11.167</v>
      </c>
    </row>
    <row r="89" spans="1:6" ht="14.1" customHeight="1" x14ac:dyDescent="0.25">
      <c r="A89" s="245" t="s">
        <v>92</v>
      </c>
      <c r="B89" s="88">
        <v>13.028</v>
      </c>
      <c r="C89" s="88">
        <v>12.992000000000001</v>
      </c>
      <c r="D89" s="88">
        <v>3.4649999999999999</v>
      </c>
      <c r="E89" s="88">
        <v>21.978000000000002</v>
      </c>
      <c r="F89" s="88">
        <v>9.7439999999999998</v>
      </c>
    </row>
    <row r="90" spans="1:6" ht="14.1" customHeight="1" x14ac:dyDescent="0.25">
      <c r="A90" s="245" t="s">
        <v>93</v>
      </c>
      <c r="B90" s="88">
        <v>12.047000000000001</v>
      </c>
      <c r="C90" s="88">
        <v>18.02</v>
      </c>
      <c r="D90" s="88">
        <v>3.391</v>
      </c>
      <c r="E90" s="88">
        <v>22.474</v>
      </c>
      <c r="F90" s="88">
        <v>7.8460000000000001</v>
      </c>
    </row>
    <row r="91" spans="1:6" ht="14.1" customHeight="1" x14ac:dyDescent="0.25">
      <c r="A91" s="245" t="s">
        <v>94</v>
      </c>
      <c r="B91" s="88">
        <v>8.8140000000000001</v>
      </c>
      <c r="C91" s="88">
        <v>6.68</v>
      </c>
      <c r="D91" s="88">
        <v>5.7519999999999998</v>
      </c>
      <c r="E91" s="88">
        <v>13.731</v>
      </c>
      <c r="F91" s="88">
        <v>5.2880000000000003</v>
      </c>
    </row>
    <row r="92" spans="1:6" ht="14.1" customHeight="1" x14ac:dyDescent="0.25">
      <c r="A92" s="249" t="s">
        <v>95</v>
      </c>
      <c r="B92" s="87">
        <v>14.365</v>
      </c>
      <c r="C92" s="87">
        <v>6.3339999999999996</v>
      </c>
      <c r="D92" s="87">
        <v>5.9619999999999997</v>
      </c>
      <c r="E92" s="87">
        <v>19.648</v>
      </c>
      <c r="F92" s="87">
        <v>14.3</v>
      </c>
    </row>
    <row r="93" spans="1:6" ht="14.1" customHeight="1" x14ac:dyDescent="0.25">
      <c r="A93" s="245" t="s">
        <v>96</v>
      </c>
      <c r="B93" s="88">
        <v>11.131</v>
      </c>
      <c r="C93" s="88">
        <v>9.2590000000000003</v>
      </c>
      <c r="D93" s="88">
        <v>11.443</v>
      </c>
      <c r="E93" s="88">
        <v>30.169</v>
      </c>
      <c r="F93" s="88">
        <v>20.077999999999999</v>
      </c>
    </row>
    <row r="94" spans="1:6" ht="14.1" customHeight="1" x14ac:dyDescent="0.25">
      <c r="A94" s="245" t="s">
        <v>97</v>
      </c>
      <c r="B94" s="88">
        <v>24.094999999999999</v>
      </c>
      <c r="C94" s="88">
        <v>1.585</v>
      </c>
      <c r="D94" s="88">
        <v>7.609</v>
      </c>
      <c r="E94" s="88">
        <v>6.3410000000000002</v>
      </c>
      <c r="F94" s="88">
        <v>6.9749999999999996</v>
      </c>
    </row>
    <row r="95" spans="1:6" ht="14.1" customHeight="1" x14ac:dyDescent="0.25">
      <c r="A95" s="245" t="s">
        <v>98</v>
      </c>
      <c r="B95" s="88">
        <v>13.707000000000001</v>
      </c>
      <c r="C95" s="88">
        <v>5.3479999999999999</v>
      </c>
      <c r="D95" s="88">
        <v>3.6339999999999999</v>
      </c>
      <c r="E95" s="88">
        <v>21.962</v>
      </c>
      <c r="F95" s="88">
        <v>14.07</v>
      </c>
    </row>
    <row r="96" spans="1:6" ht="14.1" customHeight="1" x14ac:dyDescent="0.25">
      <c r="A96" s="245" t="s">
        <v>99</v>
      </c>
      <c r="B96" s="88">
        <v>13.119</v>
      </c>
      <c r="C96" s="88">
        <v>0.82499999999999996</v>
      </c>
      <c r="D96" s="88">
        <v>4.798</v>
      </c>
      <c r="E96" s="88">
        <v>2.3239999999999998</v>
      </c>
      <c r="F96" s="88">
        <v>7.2720000000000002</v>
      </c>
    </row>
    <row r="97" spans="1:6" ht="14.1" customHeight="1" x14ac:dyDescent="0.25">
      <c r="A97" s="245" t="s">
        <v>100</v>
      </c>
      <c r="B97" s="88">
        <v>14.06</v>
      </c>
      <c r="C97" s="88">
        <v>18.414000000000001</v>
      </c>
      <c r="D97" s="88">
        <v>5.7229999999999999</v>
      </c>
      <c r="E97" s="88">
        <v>36.207000000000001</v>
      </c>
      <c r="F97" s="88">
        <v>22.396000000000001</v>
      </c>
    </row>
    <row r="98" spans="1:6" ht="14.1" customHeight="1" x14ac:dyDescent="0.25">
      <c r="A98" s="245" t="s">
        <v>101</v>
      </c>
      <c r="B98" s="88">
        <v>17.812999999999999</v>
      </c>
      <c r="C98" s="88">
        <v>2.7410000000000001</v>
      </c>
      <c r="D98" s="88">
        <v>5.4809999999999999</v>
      </c>
      <c r="E98" s="88">
        <v>7.5359999999999996</v>
      </c>
      <c r="F98" s="88">
        <v>6.851</v>
      </c>
    </row>
    <row r="99" spans="1:6" ht="14.1" customHeight="1" x14ac:dyDescent="0.25">
      <c r="A99" s="245" t="s">
        <v>102</v>
      </c>
      <c r="B99" s="88">
        <v>20.11</v>
      </c>
      <c r="C99" s="88">
        <v>0</v>
      </c>
      <c r="D99" s="88">
        <v>3.899</v>
      </c>
      <c r="E99" s="88">
        <v>9.85</v>
      </c>
      <c r="F99" s="88">
        <v>12.106999999999999</v>
      </c>
    </row>
    <row r="100" spans="1:6" ht="14.1" customHeight="1" x14ac:dyDescent="0.25">
      <c r="A100" s="245" t="s">
        <v>103</v>
      </c>
      <c r="B100" s="88">
        <v>16.347000000000001</v>
      </c>
      <c r="C100" s="88">
        <v>16.952000000000002</v>
      </c>
      <c r="D100" s="88">
        <v>8.4760000000000009</v>
      </c>
      <c r="E100" s="88">
        <v>42.985999999999997</v>
      </c>
      <c r="F100" s="88">
        <v>25.428999999999998</v>
      </c>
    </row>
    <row r="101" spans="1:6" ht="14.1" customHeight="1" x14ac:dyDescent="0.25">
      <c r="A101" s="320" t="s">
        <v>104</v>
      </c>
      <c r="B101" s="333">
        <v>6.0010000000000003</v>
      </c>
      <c r="C101" s="333">
        <v>8.0020000000000007</v>
      </c>
      <c r="D101" s="333">
        <v>28.006</v>
      </c>
      <c r="E101" s="333">
        <v>62.012</v>
      </c>
      <c r="F101" s="333">
        <v>22.004000000000001</v>
      </c>
    </row>
    <row r="102" spans="1:6" x14ac:dyDescent="0.25">
      <c r="A102" s="31"/>
      <c r="B102" s="88"/>
      <c r="C102" s="88"/>
      <c r="D102" s="88"/>
      <c r="E102" s="88"/>
      <c r="F102" s="88"/>
    </row>
    <row r="103" spans="1:6" x14ac:dyDescent="0.25">
      <c r="A103" s="87"/>
      <c r="B103" s="87"/>
      <c r="C103" s="87"/>
      <c r="D103" s="87"/>
      <c r="E103" s="87"/>
    </row>
  </sheetData>
  <mergeCells count="4">
    <mergeCell ref="A1:F1"/>
    <mergeCell ref="A2:F2"/>
    <mergeCell ref="A4:A5"/>
    <mergeCell ref="B4:F4"/>
  </mergeCells>
  <phoneticPr fontId="49" type="noConversion"/>
  <printOptions horizontalCentered="1"/>
  <pageMargins left="0.51181102362204722" right="0.31496062992125984" top="0.62992125984251968" bottom="0.19685039370078741" header="0.31496062992125984" footer="0.31496062992125984"/>
  <pageSetup paperSize="9" firstPageNumber="31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Q136"/>
  <sheetViews>
    <sheetView zoomScaleNormal="100" zoomScaleSheetLayoutView="100" workbookViewId="0">
      <selection sqref="A1:H1"/>
    </sheetView>
  </sheetViews>
  <sheetFormatPr defaultColWidth="10.28515625" defaultRowHeight="14.25" x14ac:dyDescent="0.2"/>
  <cols>
    <col min="1" max="1" width="25.42578125" style="5" customWidth="1"/>
    <col min="2" max="8" width="14.5703125" style="5" customWidth="1"/>
    <col min="9" max="16384" width="10.28515625" style="9"/>
  </cols>
  <sheetData>
    <row r="1" spans="1:9" s="8" customFormat="1" ht="15" x14ac:dyDescent="0.25">
      <c r="A1" s="523" t="s">
        <v>291</v>
      </c>
      <c r="B1" s="483"/>
      <c r="C1" s="483"/>
      <c r="D1" s="483"/>
      <c r="E1" s="483"/>
      <c r="F1" s="483"/>
      <c r="G1" s="483"/>
      <c r="H1" s="483"/>
    </row>
    <row r="2" spans="1:9" x14ac:dyDescent="0.2">
      <c r="A2" s="65"/>
      <c r="B2" s="65"/>
      <c r="C2" s="65"/>
      <c r="D2" s="65"/>
      <c r="E2" s="65"/>
      <c r="F2" s="65"/>
      <c r="G2" s="65"/>
      <c r="H2" s="65"/>
    </row>
    <row r="3" spans="1:9" x14ac:dyDescent="0.2">
      <c r="A3" s="524" t="s">
        <v>156</v>
      </c>
      <c r="B3" s="525" t="s">
        <v>143</v>
      </c>
      <c r="C3" s="526"/>
      <c r="D3" s="526"/>
      <c r="E3" s="526"/>
      <c r="F3" s="526"/>
      <c r="G3" s="526"/>
      <c r="H3" s="527"/>
    </row>
    <row r="4" spans="1:9" ht="51" x14ac:dyDescent="0.2">
      <c r="A4" s="524"/>
      <c r="B4" s="277" t="s">
        <v>144</v>
      </c>
      <c r="C4" s="278" t="s">
        <v>145</v>
      </c>
      <c r="D4" s="278" t="s">
        <v>146</v>
      </c>
      <c r="E4" s="278" t="s">
        <v>147</v>
      </c>
      <c r="F4" s="278" t="s">
        <v>148</v>
      </c>
      <c r="G4" s="278" t="s">
        <v>149</v>
      </c>
      <c r="H4" s="278" t="s">
        <v>150</v>
      </c>
    </row>
    <row r="5" spans="1:9" s="8" customFormat="1" ht="15" x14ac:dyDescent="0.25">
      <c r="A5" s="282" t="s">
        <v>157</v>
      </c>
      <c r="B5" s="409">
        <v>433</v>
      </c>
      <c r="C5" s="410">
        <v>3</v>
      </c>
      <c r="D5" s="410">
        <v>105</v>
      </c>
      <c r="E5" s="410">
        <v>131</v>
      </c>
      <c r="F5" s="410">
        <v>534</v>
      </c>
      <c r="G5" s="410">
        <v>70</v>
      </c>
      <c r="H5" s="410">
        <v>618</v>
      </c>
      <c r="I5" s="89"/>
    </row>
    <row r="6" spans="1:9" s="8" customFormat="1" ht="15" x14ac:dyDescent="0.25">
      <c r="A6" s="283" t="s">
        <v>158</v>
      </c>
      <c r="B6" s="411">
        <v>17</v>
      </c>
      <c r="C6" s="412">
        <v>0</v>
      </c>
      <c r="D6" s="412">
        <v>25</v>
      </c>
      <c r="E6" s="412">
        <v>18</v>
      </c>
      <c r="F6" s="412">
        <v>63</v>
      </c>
      <c r="G6" s="412">
        <v>1</v>
      </c>
      <c r="H6" s="412">
        <v>71</v>
      </c>
      <c r="I6" s="89"/>
    </row>
    <row r="7" spans="1:9" x14ac:dyDescent="0.2">
      <c r="A7" s="286">
        <v>1</v>
      </c>
      <c r="B7" s="411">
        <v>101</v>
      </c>
      <c r="C7" s="412">
        <v>2</v>
      </c>
      <c r="D7" s="412">
        <v>76</v>
      </c>
      <c r="E7" s="412">
        <v>30</v>
      </c>
      <c r="F7" s="412">
        <v>110</v>
      </c>
      <c r="G7" s="412">
        <v>14</v>
      </c>
      <c r="H7" s="412">
        <v>341</v>
      </c>
      <c r="I7" s="89"/>
    </row>
    <row r="8" spans="1:9" x14ac:dyDescent="0.2">
      <c r="A8" s="286">
        <v>2</v>
      </c>
      <c r="B8" s="411">
        <v>37</v>
      </c>
      <c r="C8" s="412">
        <v>2</v>
      </c>
      <c r="D8" s="412">
        <v>76</v>
      </c>
      <c r="E8" s="412">
        <v>15</v>
      </c>
      <c r="F8" s="412">
        <v>53</v>
      </c>
      <c r="G8" s="412">
        <v>10</v>
      </c>
      <c r="H8" s="412">
        <v>234</v>
      </c>
      <c r="I8" s="89"/>
    </row>
    <row r="9" spans="1:9" x14ac:dyDescent="0.2">
      <c r="A9" s="286">
        <v>3</v>
      </c>
      <c r="B9" s="411">
        <v>38</v>
      </c>
      <c r="C9" s="412">
        <v>3</v>
      </c>
      <c r="D9" s="412">
        <v>88</v>
      </c>
      <c r="E9" s="412">
        <v>11</v>
      </c>
      <c r="F9" s="412">
        <v>38</v>
      </c>
      <c r="G9" s="412">
        <v>9</v>
      </c>
      <c r="H9" s="412">
        <v>183</v>
      </c>
      <c r="I9" s="89"/>
    </row>
    <row r="10" spans="1:9" x14ac:dyDescent="0.2">
      <c r="A10" s="286">
        <v>4</v>
      </c>
      <c r="B10" s="411">
        <v>23</v>
      </c>
      <c r="C10" s="412">
        <v>0</v>
      </c>
      <c r="D10" s="412">
        <v>65</v>
      </c>
      <c r="E10" s="412">
        <v>4</v>
      </c>
      <c r="F10" s="412">
        <v>21</v>
      </c>
      <c r="G10" s="412">
        <v>13</v>
      </c>
      <c r="H10" s="412">
        <v>191</v>
      </c>
      <c r="I10" s="89"/>
    </row>
    <row r="11" spans="1:9" x14ac:dyDescent="0.2">
      <c r="A11" s="284" t="s">
        <v>159</v>
      </c>
      <c r="B11" s="411">
        <v>199</v>
      </c>
      <c r="C11" s="412">
        <v>7</v>
      </c>
      <c r="D11" s="412">
        <v>305</v>
      </c>
      <c r="E11" s="412">
        <v>60</v>
      </c>
      <c r="F11" s="412">
        <v>222</v>
      </c>
      <c r="G11" s="412">
        <v>46</v>
      </c>
      <c r="H11" s="412">
        <v>949</v>
      </c>
      <c r="I11" s="89"/>
    </row>
    <row r="12" spans="1:9" x14ac:dyDescent="0.2">
      <c r="A12" s="284" t="s">
        <v>160</v>
      </c>
      <c r="B12" s="411">
        <v>54</v>
      </c>
      <c r="C12" s="412">
        <v>1</v>
      </c>
      <c r="D12" s="412">
        <v>261</v>
      </c>
      <c r="E12" s="412">
        <v>47</v>
      </c>
      <c r="F12" s="412">
        <v>79</v>
      </c>
      <c r="G12" s="412">
        <v>25</v>
      </c>
      <c r="H12" s="412">
        <v>750</v>
      </c>
      <c r="I12" s="89"/>
    </row>
    <row r="13" spans="1:9" x14ac:dyDescent="0.2">
      <c r="A13" s="284" t="s">
        <v>161</v>
      </c>
      <c r="B13" s="411">
        <v>31</v>
      </c>
      <c r="C13" s="412">
        <v>2</v>
      </c>
      <c r="D13" s="412">
        <v>223</v>
      </c>
      <c r="E13" s="412">
        <v>94</v>
      </c>
      <c r="F13" s="412">
        <v>76</v>
      </c>
      <c r="G13" s="412">
        <v>26</v>
      </c>
      <c r="H13" s="412">
        <v>1080</v>
      </c>
      <c r="I13" s="89"/>
    </row>
    <row r="14" spans="1:9" x14ac:dyDescent="0.2">
      <c r="A14" s="283" t="s">
        <v>162</v>
      </c>
      <c r="B14" s="411">
        <v>65</v>
      </c>
      <c r="C14" s="412">
        <v>8</v>
      </c>
      <c r="D14" s="412">
        <v>254</v>
      </c>
      <c r="E14" s="412">
        <v>257</v>
      </c>
      <c r="F14" s="412">
        <v>101</v>
      </c>
      <c r="G14" s="412">
        <v>47</v>
      </c>
      <c r="H14" s="412">
        <v>2998</v>
      </c>
      <c r="I14" s="89"/>
    </row>
    <row r="15" spans="1:9" x14ac:dyDescent="0.2">
      <c r="A15" s="283" t="s">
        <v>163</v>
      </c>
      <c r="B15" s="411">
        <v>415</v>
      </c>
      <c r="C15" s="412">
        <v>131</v>
      </c>
      <c r="D15" s="412">
        <v>422</v>
      </c>
      <c r="E15" s="412">
        <v>734</v>
      </c>
      <c r="F15" s="412">
        <v>189</v>
      </c>
      <c r="G15" s="412">
        <v>191</v>
      </c>
      <c r="H15" s="412">
        <v>6332</v>
      </c>
      <c r="I15" s="89"/>
    </row>
    <row r="16" spans="1:9" x14ac:dyDescent="0.2">
      <c r="A16" s="283" t="s">
        <v>164</v>
      </c>
      <c r="B16" s="411">
        <v>2509</v>
      </c>
      <c r="C16" s="412">
        <v>552</v>
      </c>
      <c r="D16" s="412">
        <v>1105</v>
      </c>
      <c r="E16" s="412">
        <v>2504</v>
      </c>
      <c r="F16" s="412">
        <v>613</v>
      </c>
      <c r="G16" s="412">
        <v>1242</v>
      </c>
      <c r="H16" s="412">
        <v>11998</v>
      </c>
      <c r="I16" s="89"/>
    </row>
    <row r="17" spans="1:17" x14ac:dyDescent="0.2">
      <c r="A17" s="283" t="s">
        <v>165</v>
      </c>
      <c r="B17" s="411">
        <v>5989</v>
      </c>
      <c r="C17" s="412">
        <v>1112</v>
      </c>
      <c r="D17" s="412">
        <v>2170</v>
      </c>
      <c r="E17" s="412">
        <v>5331</v>
      </c>
      <c r="F17" s="412">
        <v>1404</v>
      </c>
      <c r="G17" s="412">
        <v>3294</v>
      </c>
      <c r="H17" s="412">
        <v>16000</v>
      </c>
      <c r="I17" s="89"/>
    </row>
    <row r="18" spans="1:17" x14ac:dyDescent="0.2">
      <c r="A18" s="283" t="s">
        <v>166</v>
      </c>
      <c r="B18" s="411">
        <v>7605</v>
      </c>
      <c r="C18" s="412">
        <v>1502</v>
      </c>
      <c r="D18" s="412">
        <v>3725</v>
      </c>
      <c r="E18" s="412">
        <v>9350</v>
      </c>
      <c r="F18" s="412">
        <v>2193</v>
      </c>
      <c r="G18" s="412">
        <v>5617</v>
      </c>
      <c r="H18" s="412">
        <v>17158</v>
      </c>
      <c r="I18" s="89"/>
    </row>
    <row r="19" spans="1:17" x14ac:dyDescent="0.2">
      <c r="A19" s="283" t="s">
        <v>167</v>
      </c>
      <c r="B19" s="411">
        <v>5282</v>
      </c>
      <c r="C19" s="412">
        <v>1432</v>
      </c>
      <c r="D19" s="412">
        <v>6091</v>
      </c>
      <c r="E19" s="412">
        <v>14169</v>
      </c>
      <c r="F19" s="412">
        <v>2747</v>
      </c>
      <c r="G19" s="412">
        <v>6520</v>
      </c>
      <c r="H19" s="412">
        <v>16342</v>
      </c>
      <c r="I19" s="89"/>
    </row>
    <row r="20" spans="1:17" x14ac:dyDescent="0.2">
      <c r="A20" s="283" t="s">
        <v>168</v>
      </c>
      <c r="B20" s="411">
        <v>3237</v>
      </c>
      <c r="C20" s="412">
        <v>1362</v>
      </c>
      <c r="D20" s="412">
        <v>10107</v>
      </c>
      <c r="E20" s="412">
        <v>19618</v>
      </c>
      <c r="F20" s="412">
        <v>2819</v>
      </c>
      <c r="G20" s="412">
        <v>6865</v>
      </c>
      <c r="H20" s="412">
        <v>14285</v>
      </c>
      <c r="I20" s="89"/>
    </row>
    <row r="21" spans="1:17" x14ac:dyDescent="0.2">
      <c r="A21" s="283" t="s">
        <v>169</v>
      </c>
      <c r="B21" s="411">
        <v>2623</v>
      </c>
      <c r="C21" s="412">
        <v>1431</v>
      </c>
      <c r="D21" s="412">
        <v>19876</v>
      </c>
      <c r="E21" s="412">
        <v>34948</v>
      </c>
      <c r="F21" s="412">
        <v>4044</v>
      </c>
      <c r="G21" s="412">
        <v>8686</v>
      </c>
      <c r="H21" s="412">
        <v>16043</v>
      </c>
      <c r="I21" s="89"/>
    </row>
    <row r="22" spans="1:17" x14ac:dyDescent="0.2">
      <c r="A22" s="283" t="s">
        <v>170</v>
      </c>
      <c r="B22" s="411">
        <v>2286</v>
      </c>
      <c r="C22" s="412">
        <v>1368</v>
      </c>
      <c r="D22" s="412">
        <v>36234</v>
      </c>
      <c r="E22" s="412">
        <v>59777</v>
      </c>
      <c r="F22" s="412">
        <v>6301</v>
      </c>
      <c r="G22" s="412">
        <v>11767</v>
      </c>
      <c r="H22" s="412">
        <v>17313</v>
      </c>
      <c r="I22" s="89"/>
    </row>
    <row r="23" spans="1:17" x14ac:dyDescent="0.2">
      <c r="A23" s="283" t="s">
        <v>171</v>
      </c>
      <c r="B23" s="411">
        <v>1738</v>
      </c>
      <c r="C23" s="412">
        <v>1087</v>
      </c>
      <c r="D23" s="412">
        <v>47218</v>
      </c>
      <c r="E23" s="412">
        <v>82176</v>
      </c>
      <c r="F23" s="412">
        <v>7887</v>
      </c>
      <c r="G23" s="412">
        <v>12342</v>
      </c>
      <c r="H23" s="412">
        <v>14301</v>
      </c>
      <c r="I23" s="89"/>
    </row>
    <row r="24" spans="1:17" x14ac:dyDescent="0.2">
      <c r="A24" s="283" t="s">
        <v>172</v>
      </c>
      <c r="B24" s="411">
        <v>1058</v>
      </c>
      <c r="C24" s="412">
        <v>528</v>
      </c>
      <c r="D24" s="412">
        <v>51054</v>
      </c>
      <c r="E24" s="412">
        <v>96887</v>
      </c>
      <c r="F24" s="412">
        <v>8291</v>
      </c>
      <c r="G24" s="412">
        <v>10486</v>
      </c>
      <c r="H24" s="412">
        <v>9636</v>
      </c>
      <c r="I24" s="89"/>
    </row>
    <row r="25" spans="1:17" s="8" customFormat="1" ht="15" x14ac:dyDescent="0.25">
      <c r="A25" s="283" t="s">
        <v>173</v>
      </c>
      <c r="B25" s="411">
        <v>400</v>
      </c>
      <c r="C25" s="412">
        <v>175</v>
      </c>
      <c r="D25" s="412">
        <v>27784</v>
      </c>
      <c r="E25" s="412">
        <v>68934</v>
      </c>
      <c r="F25" s="412">
        <v>4934</v>
      </c>
      <c r="G25" s="412">
        <v>5397</v>
      </c>
      <c r="H25" s="412">
        <v>4172</v>
      </c>
      <c r="I25" s="89"/>
    </row>
    <row r="26" spans="1:17" x14ac:dyDescent="0.2">
      <c r="A26" s="283" t="s">
        <v>174</v>
      </c>
      <c r="B26" s="411">
        <v>645</v>
      </c>
      <c r="C26" s="412">
        <v>296</v>
      </c>
      <c r="D26" s="412">
        <v>48554</v>
      </c>
      <c r="E26" s="412">
        <v>178157</v>
      </c>
      <c r="F26" s="412">
        <v>11608</v>
      </c>
      <c r="G26" s="412">
        <v>10618</v>
      </c>
      <c r="H26" s="412">
        <v>7415</v>
      </c>
      <c r="I26" s="89"/>
    </row>
    <row r="27" spans="1:17" x14ac:dyDescent="0.2">
      <c r="A27" s="283" t="s">
        <v>175</v>
      </c>
      <c r="B27" s="411">
        <v>299</v>
      </c>
      <c r="C27" s="412">
        <v>133</v>
      </c>
      <c r="D27" s="412">
        <v>24392</v>
      </c>
      <c r="E27" s="412">
        <v>134978</v>
      </c>
      <c r="F27" s="412">
        <v>7627</v>
      </c>
      <c r="G27" s="412">
        <v>7023</v>
      </c>
      <c r="H27" s="412">
        <v>4144</v>
      </c>
      <c r="I27" s="89"/>
    </row>
    <row r="28" spans="1:17" x14ac:dyDescent="0.2">
      <c r="A28" s="283" t="s">
        <v>360</v>
      </c>
      <c r="B28" s="411">
        <v>326</v>
      </c>
      <c r="C28" s="412">
        <v>170</v>
      </c>
      <c r="D28" s="412">
        <v>19668</v>
      </c>
      <c r="E28" s="412">
        <v>195074</v>
      </c>
      <c r="F28" s="412">
        <v>8511</v>
      </c>
      <c r="G28" s="412">
        <v>7808</v>
      </c>
      <c r="H28" s="412">
        <v>4766</v>
      </c>
      <c r="I28" s="89"/>
    </row>
    <row r="29" spans="1:17" x14ac:dyDescent="0.2">
      <c r="A29" s="283" t="s">
        <v>176</v>
      </c>
      <c r="B29" s="411">
        <v>141</v>
      </c>
      <c r="C29" s="412">
        <v>73</v>
      </c>
      <c r="D29" s="412">
        <v>104</v>
      </c>
      <c r="E29" s="412">
        <v>829</v>
      </c>
      <c r="F29" s="412">
        <v>152</v>
      </c>
      <c r="G29" s="412">
        <v>145</v>
      </c>
      <c r="H29" s="412">
        <v>1243</v>
      </c>
      <c r="I29" s="89"/>
    </row>
    <row r="30" spans="1:17" x14ac:dyDescent="0.2">
      <c r="A30" s="285" t="s">
        <v>177</v>
      </c>
      <c r="B30" s="411">
        <v>35335</v>
      </c>
      <c r="C30" s="412">
        <v>11373</v>
      </c>
      <c r="D30" s="412">
        <v>299652</v>
      </c>
      <c r="E30" s="412">
        <v>904055</v>
      </c>
      <c r="F30" s="412">
        <v>70332</v>
      </c>
      <c r="G30" s="412">
        <v>98215</v>
      </c>
      <c r="H30" s="412">
        <v>167543</v>
      </c>
      <c r="I30" s="89"/>
    </row>
    <row r="31" spans="1:17" ht="25.5" x14ac:dyDescent="0.2">
      <c r="A31" s="334" t="s">
        <v>178</v>
      </c>
      <c r="B31" s="413">
        <v>29427</v>
      </c>
      <c r="C31" s="414">
        <v>8678</v>
      </c>
      <c r="D31" s="414">
        <v>65891</v>
      </c>
      <c r="E31" s="414">
        <v>130845</v>
      </c>
      <c r="F31" s="414">
        <v>18996</v>
      </c>
      <c r="G31" s="414">
        <v>39653</v>
      </c>
      <c r="H31" s="414">
        <v>114441</v>
      </c>
      <c r="I31" s="89"/>
      <c r="J31" s="89"/>
      <c r="K31" s="89"/>
      <c r="L31" s="89"/>
      <c r="M31" s="89"/>
      <c r="N31" s="89"/>
      <c r="O31" s="89"/>
      <c r="P31" s="89"/>
      <c r="Q31" s="89"/>
    </row>
    <row r="32" spans="1:17" ht="15" x14ac:dyDescent="0.25">
      <c r="A32" s="205"/>
      <c r="B32" s="206"/>
      <c r="C32" s="206"/>
      <c r="D32" s="206"/>
      <c r="E32" s="206"/>
      <c r="F32" s="206"/>
      <c r="G32" s="90"/>
      <c r="H32" s="90"/>
    </row>
    <row r="33" spans="1:8" x14ac:dyDescent="0.2">
      <c r="A33" s="207"/>
      <c r="B33" s="207"/>
      <c r="C33" s="207"/>
      <c r="D33" s="69"/>
      <c r="E33" s="18"/>
      <c r="F33" s="18"/>
      <c r="G33" s="70"/>
      <c r="H33" s="9"/>
    </row>
    <row r="34" spans="1:8" x14ac:dyDescent="0.2">
      <c r="A34" s="9"/>
      <c r="B34" s="9"/>
      <c r="C34" s="9"/>
      <c r="D34" s="71"/>
      <c r="G34" s="70"/>
      <c r="H34" s="9"/>
    </row>
    <row r="35" spans="1:8" x14ac:dyDescent="0.2">
      <c r="A35" s="9"/>
      <c r="B35" s="9"/>
      <c r="C35" s="9"/>
      <c r="D35" s="71"/>
      <c r="G35" s="70"/>
      <c r="H35" s="9"/>
    </row>
    <row r="36" spans="1:8" x14ac:dyDescent="0.2">
      <c r="A36" s="9"/>
      <c r="B36" s="9"/>
      <c r="C36" s="9"/>
      <c r="D36" s="71"/>
      <c r="G36" s="70"/>
      <c r="H36" s="9"/>
    </row>
    <row r="37" spans="1:8" x14ac:dyDescent="0.2">
      <c r="A37" s="9"/>
      <c r="B37" s="9"/>
      <c r="C37" s="9"/>
      <c r="D37" s="71"/>
      <c r="G37" s="70"/>
      <c r="H37" s="9"/>
    </row>
    <row r="38" spans="1:8" x14ac:dyDescent="0.2">
      <c r="A38" s="9"/>
      <c r="B38" s="9"/>
      <c r="C38" s="9"/>
      <c r="D38" s="71"/>
      <c r="G38" s="70"/>
      <c r="H38" s="9"/>
    </row>
    <row r="39" spans="1:8" x14ac:dyDescent="0.2">
      <c r="A39" s="9"/>
      <c r="B39" s="9"/>
      <c r="C39" s="9"/>
      <c r="D39" s="71"/>
      <c r="G39" s="70"/>
      <c r="H39" s="9"/>
    </row>
    <row r="40" spans="1:8" x14ac:dyDescent="0.2">
      <c r="A40" s="9"/>
      <c r="B40" s="9"/>
      <c r="C40" s="9"/>
      <c r="D40" s="71"/>
      <c r="G40" s="70"/>
      <c r="H40" s="9"/>
    </row>
    <row r="41" spans="1:8" x14ac:dyDescent="0.2">
      <c r="A41" s="9"/>
      <c r="B41" s="9"/>
      <c r="C41" s="9"/>
      <c r="D41" s="71"/>
      <c r="G41" s="70"/>
      <c r="H41" s="9"/>
    </row>
    <row r="42" spans="1:8" x14ac:dyDescent="0.2">
      <c r="A42" s="9"/>
      <c r="B42" s="9"/>
      <c r="C42" s="9"/>
      <c r="D42" s="71"/>
      <c r="G42" s="70"/>
      <c r="H42" s="9"/>
    </row>
    <row r="43" spans="1:8" x14ac:dyDescent="0.2">
      <c r="A43" s="9"/>
      <c r="B43" s="9"/>
      <c r="C43" s="9"/>
      <c r="D43" s="71"/>
      <c r="G43" s="70"/>
      <c r="H43" s="9"/>
    </row>
    <row r="44" spans="1:8" x14ac:dyDescent="0.2">
      <c r="A44" s="9"/>
      <c r="B44" s="9"/>
      <c r="C44" s="9"/>
      <c r="D44" s="71"/>
      <c r="G44" s="70"/>
      <c r="H44" s="9"/>
    </row>
    <row r="45" spans="1:8" x14ac:dyDescent="0.2">
      <c r="A45" s="9"/>
      <c r="B45" s="9"/>
      <c r="C45" s="9"/>
      <c r="D45" s="71"/>
      <c r="G45" s="70"/>
      <c r="H45" s="9"/>
    </row>
    <row r="46" spans="1:8" x14ac:dyDescent="0.2">
      <c r="A46" s="9"/>
      <c r="B46" s="9"/>
      <c r="C46" s="9"/>
      <c r="D46" s="71"/>
      <c r="G46" s="70"/>
      <c r="H46" s="9"/>
    </row>
    <row r="47" spans="1:8" x14ac:dyDescent="0.2">
      <c r="A47" s="9"/>
      <c r="B47" s="9"/>
      <c r="C47" s="9"/>
      <c r="D47" s="71"/>
      <c r="G47" s="70"/>
      <c r="H47" s="9"/>
    </row>
    <row r="48" spans="1:8" x14ac:dyDescent="0.2">
      <c r="A48" s="9"/>
      <c r="B48" s="9"/>
      <c r="C48" s="9"/>
      <c r="D48" s="71"/>
      <c r="G48" s="70"/>
      <c r="H48" s="9"/>
    </row>
    <row r="49" spans="1:8" x14ac:dyDescent="0.2">
      <c r="A49" s="9"/>
      <c r="B49" s="9"/>
      <c r="C49" s="9"/>
      <c r="D49" s="71"/>
      <c r="G49" s="70"/>
      <c r="H49" s="9"/>
    </row>
    <row r="50" spans="1:8" x14ac:dyDescent="0.2">
      <c r="A50" s="9"/>
      <c r="B50" s="9"/>
      <c r="C50" s="9"/>
      <c r="D50" s="71"/>
      <c r="G50" s="70"/>
      <c r="H50" s="9"/>
    </row>
    <row r="51" spans="1:8" x14ac:dyDescent="0.2">
      <c r="A51" s="9"/>
      <c r="B51" s="9"/>
      <c r="C51" s="9"/>
      <c r="D51" s="71"/>
      <c r="G51" s="70"/>
      <c r="H51" s="9"/>
    </row>
    <row r="52" spans="1:8" x14ac:dyDescent="0.2">
      <c r="A52" s="9"/>
      <c r="B52" s="9"/>
      <c r="C52" s="9"/>
      <c r="D52" s="71"/>
      <c r="G52" s="70"/>
      <c r="H52" s="9"/>
    </row>
    <row r="53" spans="1:8" x14ac:dyDescent="0.2">
      <c r="A53" s="9"/>
      <c r="B53" s="9"/>
      <c r="C53" s="9"/>
      <c r="D53" s="71"/>
      <c r="G53" s="70"/>
      <c r="H53" s="9"/>
    </row>
    <row r="54" spans="1:8" x14ac:dyDescent="0.2">
      <c r="A54" s="9"/>
      <c r="B54" s="9"/>
      <c r="C54" s="9"/>
      <c r="D54" s="71"/>
      <c r="G54" s="70"/>
      <c r="H54" s="9"/>
    </row>
    <row r="55" spans="1:8" x14ac:dyDescent="0.2">
      <c r="A55" s="9"/>
      <c r="B55" s="9"/>
      <c r="C55" s="9"/>
      <c r="D55" s="71"/>
      <c r="G55" s="70"/>
      <c r="H55" s="9"/>
    </row>
    <row r="56" spans="1:8" x14ac:dyDescent="0.2">
      <c r="A56" s="9"/>
      <c r="B56" s="9"/>
      <c r="C56" s="9"/>
      <c r="D56" s="71"/>
      <c r="G56" s="70"/>
      <c r="H56" s="9"/>
    </row>
    <row r="57" spans="1:8" x14ac:dyDescent="0.2">
      <c r="A57" s="9"/>
      <c r="B57" s="9"/>
      <c r="C57" s="9"/>
      <c r="D57" s="71"/>
      <c r="G57" s="70"/>
      <c r="H57" s="9"/>
    </row>
    <row r="58" spans="1:8" x14ac:dyDescent="0.2">
      <c r="A58" s="9"/>
      <c r="B58" s="9"/>
      <c r="C58" s="9"/>
      <c r="D58" s="71"/>
      <c r="G58" s="70"/>
      <c r="H58" s="9"/>
    </row>
    <row r="59" spans="1:8" x14ac:dyDescent="0.2">
      <c r="A59" s="9"/>
      <c r="B59" s="9"/>
      <c r="C59" s="9"/>
      <c r="D59" s="71"/>
      <c r="G59" s="70"/>
      <c r="H59" s="9"/>
    </row>
    <row r="60" spans="1:8" x14ac:dyDescent="0.2">
      <c r="A60" s="9"/>
      <c r="B60" s="9"/>
      <c r="C60" s="9"/>
      <c r="D60" s="71"/>
      <c r="G60" s="70"/>
      <c r="H60" s="9"/>
    </row>
    <row r="61" spans="1:8" x14ac:dyDescent="0.2">
      <c r="A61" s="9"/>
      <c r="B61" s="9"/>
      <c r="C61" s="9"/>
      <c r="D61" s="71"/>
      <c r="G61" s="70"/>
      <c r="H61" s="9"/>
    </row>
    <row r="62" spans="1:8" x14ac:dyDescent="0.2">
      <c r="A62" s="9"/>
      <c r="B62" s="9"/>
      <c r="C62" s="9"/>
      <c r="D62" s="71"/>
      <c r="G62" s="70"/>
      <c r="H62" s="9"/>
    </row>
    <row r="63" spans="1:8" x14ac:dyDescent="0.2">
      <c r="A63" s="9"/>
      <c r="B63" s="9"/>
      <c r="C63" s="9"/>
      <c r="D63" s="71"/>
      <c r="G63" s="70"/>
      <c r="H63" s="9"/>
    </row>
    <row r="64" spans="1:8" x14ac:dyDescent="0.2">
      <c r="A64" s="9"/>
      <c r="B64" s="9"/>
      <c r="C64" s="9"/>
      <c r="D64" s="71"/>
      <c r="G64" s="70"/>
      <c r="H64" s="9"/>
    </row>
    <row r="65" spans="1:8" x14ac:dyDescent="0.2">
      <c r="A65" s="9"/>
      <c r="B65" s="9"/>
      <c r="C65" s="9"/>
      <c r="D65" s="71"/>
      <c r="G65" s="70"/>
      <c r="H65" s="9"/>
    </row>
    <row r="66" spans="1:8" x14ac:dyDescent="0.2">
      <c r="A66" s="9"/>
      <c r="B66" s="9"/>
      <c r="C66" s="9"/>
      <c r="D66" s="71"/>
      <c r="G66" s="70"/>
      <c r="H66" s="9"/>
    </row>
    <row r="67" spans="1:8" x14ac:dyDescent="0.2">
      <c r="A67" s="9"/>
      <c r="B67" s="9"/>
      <c r="C67" s="9"/>
      <c r="D67" s="71"/>
      <c r="G67" s="70"/>
      <c r="H67" s="9"/>
    </row>
    <row r="68" spans="1:8" x14ac:dyDescent="0.2">
      <c r="A68" s="9"/>
      <c r="B68" s="9"/>
      <c r="C68" s="9"/>
      <c r="D68" s="71"/>
      <c r="G68" s="70"/>
      <c r="H68" s="9"/>
    </row>
    <row r="69" spans="1:8" x14ac:dyDescent="0.2">
      <c r="A69" s="9"/>
      <c r="B69" s="9"/>
      <c r="C69" s="9"/>
      <c r="D69" s="71"/>
      <c r="G69" s="70"/>
      <c r="H69" s="9"/>
    </row>
    <row r="70" spans="1:8" x14ac:dyDescent="0.2">
      <c r="A70" s="9"/>
      <c r="B70" s="9"/>
      <c r="C70" s="9"/>
      <c r="D70" s="71"/>
      <c r="G70" s="70"/>
      <c r="H70" s="9"/>
    </row>
    <row r="71" spans="1:8" x14ac:dyDescent="0.2">
      <c r="A71" s="9"/>
      <c r="B71" s="9"/>
      <c r="C71" s="9"/>
      <c r="D71" s="71"/>
      <c r="G71" s="70"/>
      <c r="H71" s="9"/>
    </row>
    <row r="72" spans="1:8" x14ac:dyDescent="0.2">
      <c r="A72" s="9"/>
      <c r="B72" s="9"/>
      <c r="C72" s="9"/>
      <c r="D72" s="71"/>
      <c r="G72" s="70"/>
      <c r="H72" s="9"/>
    </row>
    <row r="73" spans="1:8" x14ac:dyDescent="0.2">
      <c r="A73" s="9"/>
      <c r="B73" s="9"/>
      <c r="C73" s="9"/>
      <c r="D73" s="71"/>
      <c r="G73" s="70"/>
      <c r="H73" s="9"/>
    </row>
    <row r="74" spans="1:8" x14ac:dyDescent="0.2">
      <c r="A74" s="9"/>
      <c r="B74" s="9"/>
      <c r="C74" s="9"/>
      <c r="D74" s="71"/>
      <c r="H74" s="9"/>
    </row>
    <row r="75" spans="1:8" x14ac:dyDescent="0.2">
      <c r="A75" s="9"/>
      <c r="B75" s="9"/>
      <c r="C75" s="9"/>
      <c r="D75" s="71"/>
      <c r="E75" s="9"/>
      <c r="F75" s="9"/>
      <c r="G75" s="9"/>
      <c r="H75" s="9"/>
    </row>
    <row r="76" spans="1:8" x14ac:dyDescent="0.2">
      <c r="A76" s="9"/>
      <c r="B76" s="9"/>
      <c r="C76" s="9"/>
      <c r="D76" s="71"/>
      <c r="E76" s="9"/>
      <c r="F76" s="9"/>
      <c r="G76" s="9"/>
      <c r="H76" s="9"/>
    </row>
    <row r="77" spans="1:8" x14ac:dyDescent="0.2">
      <c r="A77" s="9"/>
      <c r="B77" s="9"/>
      <c r="C77" s="9"/>
      <c r="D77" s="71"/>
      <c r="E77" s="9"/>
      <c r="F77" s="9"/>
      <c r="G77" s="9"/>
      <c r="H77" s="9"/>
    </row>
    <row r="78" spans="1:8" x14ac:dyDescent="0.2">
      <c r="A78" s="9"/>
      <c r="B78" s="9"/>
      <c r="C78" s="9"/>
      <c r="D78" s="71"/>
      <c r="E78" s="9"/>
      <c r="F78" s="9"/>
      <c r="G78" s="9"/>
      <c r="H78" s="9"/>
    </row>
    <row r="79" spans="1:8" x14ac:dyDescent="0.2">
      <c r="A79" s="9"/>
      <c r="B79" s="9"/>
      <c r="C79" s="9"/>
      <c r="D79" s="71"/>
      <c r="E79" s="9"/>
      <c r="F79" s="9"/>
      <c r="G79" s="9"/>
      <c r="H79" s="9"/>
    </row>
    <row r="80" spans="1:8" x14ac:dyDescent="0.2">
      <c r="A80" s="9"/>
      <c r="B80" s="9"/>
      <c r="C80" s="9"/>
      <c r="D80" s="71"/>
      <c r="E80" s="9"/>
      <c r="F80" s="9"/>
      <c r="G80" s="9"/>
      <c r="H80" s="9"/>
    </row>
    <row r="81" spans="1:8" x14ac:dyDescent="0.2">
      <c r="A81" s="9"/>
      <c r="B81" s="9"/>
      <c r="C81" s="9"/>
      <c r="D81" s="71"/>
      <c r="E81" s="9"/>
      <c r="F81" s="9"/>
      <c r="G81" s="9"/>
      <c r="H81" s="9"/>
    </row>
    <row r="82" spans="1:8" x14ac:dyDescent="0.2">
      <c r="A82" s="9"/>
      <c r="B82" s="9"/>
      <c r="C82" s="9"/>
      <c r="D82" s="71"/>
      <c r="E82" s="9"/>
      <c r="F82" s="9"/>
      <c r="G82" s="9"/>
      <c r="H82" s="9"/>
    </row>
    <row r="83" spans="1:8" x14ac:dyDescent="0.2">
      <c r="A83" s="9"/>
      <c r="B83" s="9"/>
      <c r="C83" s="9"/>
      <c r="D83" s="71"/>
      <c r="E83" s="9"/>
      <c r="F83" s="9"/>
      <c r="G83" s="9"/>
      <c r="H83" s="9"/>
    </row>
    <row r="84" spans="1:8" x14ac:dyDescent="0.2">
      <c r="A84" s="9"/>
      <c r="B84" s="9"/>
      <c r="C84" s="9"/>
      <c r="D84" s="71"/>
      <c r="E84" s="9"/>
      <c r="F84" s="9"/>
      <c r="G84" s="9"/>
      <c r="H84" s="9"/>
    </row>
    <row r="85" spans="1:8" x14ac:dyDescent="0.2">
      <c r="A85" s="9"/>
      <c r="B85" s="9"/>
      <c r="C85" s="9"/>
      <c r="D85" s="71"/>
      <c r="E85" s="9"/>
      <c r="F85" s="9"/>
      <c r="G85" s="9"/>
      <c r="H85" s="9"/>
    </row>
    <row r="86" spans="1:8" x14ac:dyDescent="0.2">
      <c r="A86" s="9"/>
      <c r="B86" s="9"/>
      <c r="C86" s="9"/>
      <c r="D86" s="71"/>
      <c r="E86" s="9"/>
      <c r="F86" s="9"/>
      <c r="G86" s="9"/>
      <c r="H86" s="9"/>
    </row>
    <row r="87" spans="1:8" x14ac:dyDescent="0.2">
      <c r="A87" s="9"/>
      <c r="B87" s="9"/>
      <c r="C87" s="9"/>
      <c r="D87" s="71"/>
      <c r="E87" s="9"/>
      <c r="F87" s="9"/>
      <c r="G87" s="9"/>
      <c r="H87" s="9"/>
    </row>
    <row r="88" spans="1:8" x14ac:dyDescent="0.2">
      <c r="A88" s="9"/>
      <c r="B88" s="9"/>
      <c r="C88" s="9"/>
      <c r="D88" s="71"/>
      <c r="E88" s="9"/>
      <c r="F88" s="9"/>
      <c r="G88" s="9"/>
      <c r="H88" s="9"/>
    </row>
    <row r="89" spans="1:8" x14ac:dyDescent="0.2">
      <c r="A89" s="9"/>
      <c r="B89" s="9"/>
      <c r="C89" s="9"/>
      <c r="D89" s="71"/>
      <c r="E89" s="9"/>
      <c r="F89" s="9"/>
      <c r="G89" s="9"/>
      <c r="H89" s="9"/>
    </row>
    <row r="90" spans="1:8" x14ac:dyDescent="0.2">
      <c r="A90" s="9"/>
      <c r="B90" s="9"/>
      <c r="C90" s="9"/>
      <c r="D90" s="71"/>
      <c r="E90" s="9"/>
      <c r="F90" s="9"/>
      <c r="G90" s="9"/>
      <c r="H90" s="9"/>
    </row>
    <row r="91" spans="1:8" x14ac:dyDescent="0.2">
      <c r="A91" s="9"/>
      <c r="B91" s="9"/>
      <c r="C91" s="9"/>
      <c r="D91" s="71"/>
      <c r="E91" s="9"/>
      <c r="F91" s="9"/>
      <c r="G91" s="9"/>
      <c r="H91" s="9"/>
    </row>
    <row r="92" spans="1:8" x14ac:dyDescent="0.2">
      <c r="A92" s="9"/>
      <c r="B92" s="9"/>
      <c r="C92" s="9"/>
      <c r="D92" s="71"/>
      <c r="E92" s="9"/>
      <c r="F92" s="9"/>
      <c r="G92" s="9"/>
      <c r="H92" s="9"/>
    </row>
    <row r="93" spans="1:8" x14ac:dyDescent="0.2">
      <c r="A93" s="9"/>
      <c r="B93" s="9"/>
      <c r="C93" s="9"/>
      <c r="D93" s="71"/>
      <c r="E93" s="9"/>
      <c r="F93" s="9"/>
      <c r="G93" s="9"/>
      <c r="H93" s="9"/>
    </row>
    <row r="94" spans="1:8" x14ac:dyDescent="0.2">
      <c r="A94" s="9"/>
      <c r="B94" s="9"/>
      <c r="C94" s="9"/>
      <c r="D94" s="71"/>
      <c r="E94" s="9"/>
      <c r="F94" s="9"/>
      <c r="G94" s="9"/>
      <c r="H94" s="9"/>
    </row>
    <row r="95" spans="1:8" x14ac:dyDescent="0.2">
      <c r="A95" s="9"/>
      <c r="B95" s="9"/>
      <c r="C95" s="9"/>
      <c r="D95" s="71"/>
      <c r="E95" s="9"/>
      <c r="F95" s="9"/>
      <c r="G95" s="9"/>
      <c r="H95" s="9"/>
    </row>
    <row r="96" spans="1:8" x14ac:dyDescent="0.2">
      <c r="A96" s="9"/>
      <c r="B96" s="9"/>
      <c r="C96" s="9"/>
      <c r="D96" s="71"/>
      <c r="E96" s="9"/>
      <c r="F96" s="9"/>
      <c r="G96" s="9"/>
      <c r="H96" s="9"/>
    </row>
    <row r="97" spans="1:8" x14ac:dyDescent="0.2">
      <c r="A97" s="9"/>
      <c r="B97" s="9"/>
      <c r="C97" s="9"/>
      <c r="D97" s="71"/>
      <c r="E97" s="9"/>
      <c r="F97" s="9"/>
      <c r="G97" s="9"/>
      <c r="H97" s="9"/>
    </row>
    <row r="98" spans="1:8" x14ac:dyDescent="0.2">
      <c r="A98" s="9"/>
      <c r="B98" s="9"/>
      <c r="C98" s="9"/>
      <c r="D98" s="71"/>
      <c r="E98" s="9"/>
      <c r="F98" s="9"/>
      <c r="G98" s="9"/>
      <c r="H98" s="9"/>
    </row>
    <row r="99" spans="1:8" x14ac:dyDescent="0.2">
      <c r="A99" s="9"/>
      <c r="B99" s="9"/>
      <c r="C99" s="9"/>
      <c r="D99" s="71"/>
      <c r="E99" s="9"/>
      <c r="F99" s="9"/>
      <c r="G99" s="9"/>
      <c r="H99" s="9"/>
    </row>
    <row r="100" spans="1:8" x14ac:dyDescent="0.2">
      <c r="A100" s="9"/>
      <c r="B100" s="9"/>
      <c r="C100" s="9"/>
      <c r="D100" s="71"/>
      <c r="E100" s="9"/>
      <c r="F100" s="9"/>
      <c r="G100" s="9"/>
      <c r="H100" s="9"/>
    </row>
    <row r="101" spans="1:8" x14ac:dyDescent="0.2">
      <c r="A101" s="9"/>
      <c r="B101" s="9"/>
      <c r="C101" s="9"/>
      <c r="D101" s="71"/>
      <c r="E101" s="9"/>
      <c r="F101" s="9"/>
      <c r="G101" s="9"/>
      <c r="H101" s="9"/>
    </row>
    <row r="102" spans="1:8" x14ac:dyDescent="0.2">
      <c r="A102" s="9"/>
      <c r="B102" s="9"/>
      <c r="C102" s="9"/>
      <c r="D102" s="71"/>
      <c r="E102" s="9"/>
      <c r="F102" s="9"/>
      <c r="G102" s="9"/>
      <c r="H102" s="9"/>
    </row>
    <row r="103" spans="1:8" x14ac:dyDescent="0.2">
      <c r="A103" s="9"/>
      <c r="B103" s="9"/>
      <c r="C103" s="9"/>
      <c r="D103" s="71"/>
      <c r="E103" s="9"/>
      <c r="F103" s="9"/>
      <c r="G103" s="9"/>
      <c r="H103" s="9"/>
    </row>
    <row r="104" spans="1:8" x14ac:dyDescent="0.2">
      <c r="A104" s="9"/>
      <c r="B104" s="9"/>
      <c r="C104" s="9"/>
      <c r="D104" s="71"/>
      <c r="E104" s="9"/>
      <c r="F104" s="9"/>
      <c r="G104" s="9"/>
      <c r="H104" s="9"/>
    </row>
    <row r="105" spans="1:8" x14ac:dyDescent="0.2">
      <c r="A105" s="9"/>
      <c r="B105" s="9"/>
      <c r="C105" s="9"/>
      <c r="D105" s="71"/>
      <c r="E105" s="9"/>
      <c r="F105" s="9"/>
      <c r="G105" s="9"/>
      <c r="H105" s="9"/>
    </row>
    <row r="106" spans="1:8" x14ac:dyDescent="0.2">
      <c r="A106" s="9"/>
      <c r="B106" s="9"/>
      <c r="C106" s="9"/>
      <c r="D106" s="71"/>
      <c r="E106" s="9"/>
      <c r="F106" s="9"/>
      <c r="G106" s="9"/>
      <c r="H106" s="9"/>
    </row>
    <row r="107" spans="1:8" x14ac:dyDescent="0.2">
      <c r="A107" s="9"/>
      <c r="B107" s="9"/>
      <c r="C107" s="9"/>
      <c r="D107" s="71"/>
      <c r="E107" s="9"/>
      <c r="F107" s="9"/>
      <c r="G107" s="9"/>
      <c r="H107" s="9"/>
    </row>
    <row r="108" spans="1:8" x14ac:dyDescent="0.2">
      <c r="A108" s="9"/>
      <c r="B108" s="9"/>
      <c r="C108" s="9"/>
      <c r="D108" s="71"/>
      <c r="E108" s="9"/>
      <c r="F108" s="9"/>
      <c r="G108" s="9"/>
      <c r="H108" s="9"/>
    </row>
    <row r="109" spans="1:8" x14ac:dyDescent="0.2">
      <c r="A109" s="9"/>
      <c r="B109" s="9"/>
      <c r="C109" s="9"/>
      <c r="D109" s="71"/>
      <c r="E109" s="9"/>
      <c r="F109" s="9"/>
      <c r="G109" s="9"/>
      <c r="H109" s="9"/>
    </row>
    <row r="110" spans="1:8" x14ac:dyDescent="0.2">
      <c r="A110" s="9"/>
      <c r="B110" s="9"/>
      <c r="C110" s="9"/>
      <c r="D110" s="71"/>
      <c r="E110" s="9"/>
      <c r="F110" s="9"/>
      <c r="G110" s="9"/>
      <c r="H110" s="9"/>
    </row>
    <row r="111" spans="1:8" x14ac:dyDescent="0.2">
      <c r="A111" s="9"/>
      <c r="B111" s="9"/>
      <c r="C111" s="9"/>
      <c r="D111" s="71"/>
      <c r="E111" s="9"/>
      <c r="F111" s="9"/>
      <c r="G111" s="9"/>
      <c r="H111" s="9"/>
    </row>
    <row r="112" spans="1:8" x14ac:dyDescent="0.2">
      <c r="A112" s="9"/>
      <c r="B112" s="9"/>
      <c r="C112" s="9"/>
      <c r="D112" s="71"/>
      <c r="E112" s="9"/>
      <c r="F112" s="9"/>
      <c r="G112" s="9"/>
      <c r="H112" s="9"/>
    </row>
    <row r="113" spans="1:8" x14ac:dyDescent="0.2">
      <c r="A113" s="9"/>
      <c r="B113" s="9"/>
      <c r="C113" s="9"/>
      <c r="D113" s="71"/>
      <c r="E113" s="9"/>
      <c r="F113" s="9"/>
      <c r="G113" s="9"/>
      <c r="H113" s="9"/>
    </row>
    <row r="114" spans="1:8" x14ac:dyDescent="0.2">
      <c r="A114" s="9"/>
      <c r="B114" s="9"/>
      <c r="C114" s="9"/>
      <c r="D114" s="71"/>
      <c r="E114" s="9"/>
      <c r="F114" s="9"/>
      <c r="G114" s="9"/>
      <c r="H114" s="9"/>
    </row>
    <row r="115" spans="1:8" x14ac:dyDescent="0.2">
      <c r="A115" s="9"/>
      <c r="B115" s="9"/>
      <c r="C115" s="9"/>
      <c r="D115" s="71"/>
      <c r="E115" s="9"/>
      <c r="F115" s="9"/>
      <c r="G115" s="9"/>
      <c r="H115" s="9"/>
    </row>
    <row r="116" spans="1:8" x14ac:dyDescent="0.2">
      <c r="A116" s="9"/>
      <c r="B116" s="9"/>
      <c r="C116" s="9"/>
      <c r="D116" s="71"/>
      <c r="E116" s="9"/>
      <c r="F116" s="9"/>
      <c r="G116" s="9"/>
      <c r="H116" s="9"/>
    </row>
    <row r="117" spans="1:8" x14ac:dyDescent="0.2">
      <c r="A117" s="9"/>
      <c r="B117" s="9"/>
      <c r="C117" s="9"/>
      <c r="D117" s="71"/>
      <c r="E117" s="9"/>
      <c r="F117" s="9"/>
      <c r="G117" s="9"/>
      <c r="H117" s="9"/>
    </row>
    <row r="118" spans="1:8" x14ac:dyDescent="0.2">
      <c r="A118" s="9"/>
      <c r="B118" s="9"/>
      <c r="C118" s="9"/>
      <c r="D118" s="71"/>
      <c r="E118" s="9"/>
      <c r="F118" s="9"/>
      <c r="G118" s="9"/>
      <c r="H118" s="9"/>
    </row>
    <row r="119" spans="1:8" x14ac:dyDescent="0.2">
      <c r="A119" s="9"/>
      <c r="B119" s="9"/>
      <c r="C119" s="9"/>
      <c r="D119" s="71"/>
      <c r="E119" s="9"/>
      <c r="F119" s="9"/>
      <c r="G119" s="9"/>
      <c r="H119" s="9"/>
    </row>
    <row r="120" spans="1:8" x14ac:dyDescent="0.2">
      <c r="A120" s="9"/>
      <c r="B120" s="9"/>
      <c r="C120" s="9"/>
      <c r="D120" s="71"/>
      <c r="E120" s="9"/>
      <c r="F120" s="9"/>
      <c r="G120" s="9"/>
      <c r="H120" s="9"/>
    </row>
    <row r="121" spans="1:8" x14ac:dyDescent="0.2">
      <c r="A121" s="9"/>
      <c r="B121" s="9"/>
      <c r="C121" s="9"/>
      <c r="D121" s="71"/>
      <c r="E121" s="9"/>
      <c r="F121" s="9"/>
      <c r="G121" s="9"/>
      <c r="H121" s="9"/>
    </row>
    <row r="122" spans="1:8" x14ac:dyDescent="0.2">
      <c r="A122" s="9"/>
      <c r="B122" s="9"/>
      <c r="C122" s="9"/>
      <c r="D122" s="71"/>
      <c r="E122" s="9"/>
      <c r="F122" s="9"/>
      <c r="G122" s="9"/>
      <c r="H122" s="9"/>
    </row>
    <row r="123" spans="1:8" x14ac:dyDescent="0.2">
      <c r="A123" s="9"/>
      <c r="B123" s="9"/>
      <c r="C123" s="9"/>
      <c r="D123" s="71"/>
      <c r="E123" s="9"/>
      <c r="F123" s="9"/>
      <c r="G123" s="9"/>
      <c r="H123" s="9"/>
    </row>
    <row r="124" spans="1:8" x14ac:dyDescent="0.2">
      <c r="A124" s="9"/>
      <c r="B124" s="9"/>
      <c r="C124" s="9"/>
      <c r="D124" s="71"/>
      <c r="E124" s="9"/>
      <c r="F124" s="9"/>
      <c r="G124" s="9"/>
      <c r="H124" s="9"/>
    </row>
    <row r="125" spans="1:8" x14ac:dyDescent="0.2">
      <c r="A125" s="9"/>
      <c r="B125" s="9"/>
      <c r="C125" s="9"/>
      <c r="D125" s="71"/>
      <c r="E125" s="9"/>
      <c r="F125" s="9"/>
      <c r="G125" s="9"/>
      <c r="H125" s="9"/>
    </row>
    <row r="126" spans="1:8" x14ac:dyDescent="0.2">
      <c r="A126" s="9"/>
      <c r="B126" s="9"/>
      <c r="C126" s="9"/>
      <c r="D126" s="71"/>
      <c r="E126" s="9"/>
      <c r="F126" s="9"/>
      <c r="G126" s="9"/>
      <c r="H126" s="9"/>
    </row>
    <row r="127" spans="1:8" x14ac:dyDescent="0.2">
      <c r="A127" s="9"/>
      <c r="B127" s="9"/>
      <c r="C127" s="9"/>
      <c r="D127" s="71"/>
      <c r="E127" s="9"/>
      <c r="F127" s="9"/>
      <c r="G127" s="9"/>
      <c r="H127" s="9"/>
    </row>
    <row r="128" spans="1:8" x14ac:dyDescent="0.2">
      <c r="A128" s="9"/>
      <c r="B128" s="9"/>
      <c r="C128" s="9"/>
      <c r="D128" s="71"/>
      <c r="E128" s="9"/>
      <c r="F128" s="9"/>
      <c r="G128" s="9"/>
      <c r="H128" s="9"/>
    </row>
    <row r="129" spans="1:8" x14ac:dyDescent="0.2">
      <c r="A129" s="9"/>
      <c r="B129" s="9"/>
      <c r="C129" s="9"/>
      <c r="D129" s="71"/>
      <c r="E129" s="9"/>
      <c r="F129" s="9"/>
      <c r="G129" s="9"/>
      <c r="H129" s="9"/>
    </row>
    <row r="130" spans="1:8" x14ac:dyDescent="0.2">
      <c r="A130" s="9"/>
      <c r="B130" s="9"/>
      <c r="C130" s="9"/>
      <c r="D130" s="71"/>
      <c r="E130" s="9"/>
      <c r="F130" s="9"/>
      <c r="G130" s="9"/>
      <c r="H130" s="9"/>
    </row>
    <row r="131" spans="1:8" x14ac:dyDescent="0.2">
      <c r="A131" s="9"/>
      <c r="B131" s="9"/>
      <c r="C131" s="9"/>
      <c r="D131" s="71"/>
      <c r="E131" s="9"/>
      <c r="F131" s="9"/>
      <c r="G131" s="9"/>
      <c r="H131" s="9"/>
    </row>
    <row r="132" spans="1:8" x14ac:dyDescent="0.2">
      <c r="A132" s="9"/>
      <c r="B132" s="9"/>
      <c r="C132" s="9"/>
      <c r="D132" s="71"/>
      <c r="E132" s="9"/>
      <c r="F132" s="9"/>
      <c r="G132" s="9"/>
      <c r="H132" s="9"/>
    </row>
    <row r="133" spans="1:8" x14ac:dyDescent="0.2">
      <c r="A133" s="9"/>
      <c r="B133" s="9"/>
      <c r="C133" s="9"/>
      <c r="D133" s="71"/>
      <c r="E133" s="9"/>
      <c r="F133" s="9"/>
      <c r="G133" s="9"/>
      <c r="H133" s="9"/>
    </row>
    <row r="134" spans="1:8" x14ac:dyDescent="0.2">
      <c r="A134" s="9"/>
      <c r="B134" s="9"/>
      <c r="C134" s="9"/>
      <c r="D134" s="71"/>
      <c r="E134" s="9"/>
      <c r="F134" s="9"/>
      <c r="G134" s="9"/>
      <c r="H134" s="9"/>
    </row>
    <row r="135" spans="1:8" x14ac:dyDescent="0.2">
      <c r="A135" s="9"/>
      <c r="B135" s="9"/>
      <c r="C135" s="9"/>
      <c r="D135" s="71"/>
      <c r="E135" s="9"/>
      <c r="F135" s="9"/>
      <c r="G135" s="9"/>
      <c r="H135" s="9"/>
    </row>
    <row r="136" spans="1:8" x14ac:dyDescent="0.2">
      <c r="A136" s="9"/>
      <c r="B136" s="9"/>
      <c r="C136" s="9"/>
      <c r="D136" s="71"/>
      <c r="E136" s="9"/>
      <c r="F136" s="9"/>
      <c r="G136" s="9"/>
      <c r="H136" s="9"/>
    </row>
  </sheetData>
  <mergeCells count="3">
    <mergeCell ref="A1:H1"/>
    <mergeCell ref="A3:A4"/>
    <mergeCell ref="B3:H3"/>
  </mergeCells>
  <phoneticPr fontId="49" type="noConversion"/>
  <printOptions horizontalCentered="1"/>
  <pageMargins left="0.59055118110236227" right="0.59055118110236227" top="0.70866141732283472" bottom="0.19685039370078741" header="0.31496062992125984" footer="0.51181102362204722"/>
  <pageSetup paperSize="9" firstPageNumber="34" orientation="landscape" useFirstPageNumber="1" r:id="rId1"/>
  <headerFooter alignWithMargins="0">
    <oddHeader>&amp;C&amp;"Arial,обычный"&amp;10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I103"/>
  <sheetViews>
    <sheetView zoomScaleNormal="100" workbookViewId="0">
      <selection sqref="A1:E1"/>
    </sheetView>
  </sheetViews>
  <sheetFormatPr defaultRowHeight="15" x14ac:dyDescent="0.25"/>
  <cols>
    <col min="1" max="1" width="44.28515625" customWidth="1"/>
    <col min="2" max="5" width="14.5703125" customWidth="1"/>
    <col min="6" max="6" width="10.28515625" customWidth="1"/>
  </cols>
  <sheetData>
    <row r="1" spans="1:6" x14ac:dyDescent="0.25">
      <c r="A1" s="533" t="s">
        <v>292</v>
      </c>
      <c r="B1" s="534"/>
      <c r="C1" s="534"/>
      <c r="D1" s="534"/>
      <c r="E1" s="534"/>
    </row>
    <row r="2" spans="1:6" x14ac:dyDescent="0.25">
      <c r="A2" s="533"/>
      <c r="B2" s="534"/>
      <c r="C2" s="534"/>
      <c r="D2" s="534"/>
      <c r="E2" s="534"/>
    </row>
    <row r="3" spans="1:6" ht="21.75" customHeight="1" x14ac:dyDescent="0.25">
      <c r="A3" s="544"/>
      <c r="B3" s="543" t="s">
        <v>234</v>
      </c>
      <c r="C3" s="543" t="s">
        <v>230</v>
      </c>
      <c r="D3" s="543" t="s">
        <v>179</v>
      </c>
      <c r="E3" s="543"/>
    </row>
    <row r="4" spans="1:6" ht="21.75" customHeight="1" x14ac:dyDescent="0.25">
      <c r="A4" s="545"/>
      <c r="B4" s="543"/>
      <c r="C4" s="543"/>
      <c r="D4" s="280" t="s">
        <v>234</v>
      </c>
      <c r="E4" s="280" t="s">
        <v>230</v>
      </c>
    </row>
    <row r="5" spans="1:6" ht="14.1" customHeight="1" x14ac:dyDescent="0.25">
      <c r="A5" s="243" t="s">
        <v>13</v>
      </c>
      <c r="B5" s="91">
        <v>188</v>
      </c>
      <c r="C5" s="91">
        <v>196</v>
      </c>
      <c r="D5" s="92">
        <v>10</v>
      </c>
      <c r="E5" s="92">
        <v>10.1</v>
      </c>
      <c r="F5" s="190"/>
    </row>
    <row r="6" spans="1:6" ht="14.1" customHeight="1" x14ac:dyDescent="0.25">
      <c r="A6" s="244" t="s">
        <v>14</v>
      </c>
      <c r="B6" s="91">
        <v>47</v>
      </c>
      <c r="C6" s="91">
        <v>47</v>
      </c>
      <c r="D6" s="92">
        <v>10.3</v>
      </c>
      <c r="E6" s="92">
        <v>10.3</v>
      </c>
      <c r="F6" s="190"/>
    </row>
    <row r="7" spans="1:6" ht="14.1" customHeight="1" x14ac:dyDescent="0.25">
      <c r="A7" s="245" t="s">
        <v>15</v>
      </c>
      <c r="B7" s="93">
        <v>2</v>
      </c>
      <c r="C7" s="93">
        <v>2</v>
      </c>
      <c r="D7" s="94">
        <v>11.6</v>
      </c>
      <c r="E7" s="94">
        <v>11.3</v>
      </c>
      <c r="F7" s="90"/>
    </row>
    <row r="8" spans="1:6" ht="14.1" customHeight="1" x14ac:dyDescent="0.25">
      <c r="A8" s="245" t="s">
        <v>16</v>
      </c>
      <c r="B8" s="93">
        <v>1</v>
      </c>
      <c r="C8" s="93">
        <v>1</v>
      </c>
      <c r="D8" s="94">
        <v>7.5</v>
      </c>
      <c r="E8" s="94">
        <v>7.1</v>
      </c>
      <c r="F8" s="90"/>
    </row>
    <row r="9" spans="1:6" ht="14.1" customHeight="1" x14ac:dyDescent="0.25">
      <c r="A9" s="245" t="s">
        <v>17</v>
      </c>
      <c r="B9" s="93">
        <v>2</v>
      </c>
      <c r="C9" s="93">
        <v>3</v>
      </c>
      <c r="D9" s="94">
        <v>12.8</v>
      </c>
      <c r="E9" s="94">
        <v>18.5</v>
      </c>
      <c r="F9" s="90"/>
    </row>
    <row r="10" spans="1:6" ht="14.1" customHeight="1" x14ac:dyDescent="0.25">
      <c r="A10" s="245" t="s">
        <v>18</v>
      </c>
      <c r="B10" s="93">
        <v>1</v>
      </c>
      <c r="C10" s="93">
        <v>1</v>
      </c>
      <c r="D10" s="94">
        <v>4</v>
      </c>
      <c r="E10" s="94">
        <v>3.9</v>
      </c>
      <c r="F10" s="90"/>
    </row>
    <row r="11" spans="1:6" ht="14.1" customHeight="1" x14ac:dyDescent="0.25">
      <c r="A11" s="245" t="s">
        <v>19</v>
      </c>
      <c r="B11" s="93">
        <v>0</v>
      </c>
      <c r="C11" s="93">
        <v>1</v>
      </c>
      <c r="D11" s="94">
        <v>0</v>
      </c>
      <c r="E11" s="94">
        <v>8.5</v>
      </c>
      <c r="F11" s="90"/>
    </row>
    <row r="12" spans="1:6" ht="14.1" customHeight="1" x14ac:dyDescent="0.25">
      <c r="A12" s="245" t="s">
        <v>20</v>
      </c>
      <c r="B12" s="93">
        <v>0</v>
      </c>
      <c r="C12" s="93">
        <v>0</v>
      </c>
      <c r="D12" s="94">
        <v>0</v>
      </c>
      <c r="E12" s="94">
        <v>0</v>
      </c>
      <c r="F12" s="90"/>
    </row>
    <row r="13" spans="1:6" ht="14.1" customHeight="1" x14ac:dyDescent="0.25">
      <c r="A13" s="246" t="s">
        <v>21</v>
      </c>
      <c r="B13" s="93">
        <v>3</v>
      </c>
      <c r="C13" s="93">
        <v>2</v>
      </c>
      <c r="D13" s="94">
        <v>38.299999999999997</v>
      </c>
      <c r="E13" s="94">
        <v>24.5</v>
      </c>
      <c r="F13" s="90"/>
    </row>
    <row r="14" spans="1:6" ht="14.1" customHeight="1" x14ac:dyDescent="0.25">
      <c r="A14" s="245" t="s">
        <v>22</v>
      </c>
      <c r="B14" s="93">
        <v>0</v>
      </c>
      <c r="C14" s="93">
        <v>0</v>
      </c>
      <c r="D14" s="94">
        <v>0</v>
      </c>
      <c r="E14" s="94">
        <v>0</v>
      </c>
      <c r="F14" s="90"/>
    </row>
    <row r="15" spans="1:6" ht="14.1" customHeight="1" x14ac:dyDescent="0.25">
      <c r="A15" s="245" t="s">
        <v>23</v>
      </c>
      <c r="B15" s="93">
        <v>0</v>
      </c>
      <c r="C15" s="93">
        <v>1</v>
      </c>
      <c r="D15" s="94">
        <v>0</v>
      </c>
      <c r="E15" s="94">
        <v>7.5</v>
      </c>
      <c r="F15" s="90"/>
    </row>
    <row r="16" spans="1:6" ht="14.1" customHeight="1" x14ac:dyDescent="0.25">
      <c r="A16" s="245" t="s">
        <v>24</v>
      </c>
      <c r="B16" s="93">
        <v>4</v>
      </c>
      <c r="C16" s="93">
        <v>9</v>
      </c>
      <c r="D16" s="94">
        <v>4.0999999999999996</v>
      </c>
      <c r="E16" s="94">
        <v>9.6</v>
      </c>
      <c r="F16" s="90"/>
    </row>
    <row r="17" spans="1:6" ht="14.1" customHeight="1" x14ac:dyDescent="0.25">
      <c r="A17" s="245" t="s">
        <v>25</v>
      </c>
      <c r="B17" s="93">
        <v>2</v>
      </c>
      <c r="C17" s="93">
        <v>3</v>
      </c>
      <c r="D17" s="94">
        <v>24.2</v>
      </c>
      <c r="E17" s="94">
        <v>35</v>
      </c>
      <c r="F17" s="90"/>
    </row>
    <row r="18" spans="1:6" ht="14.1" customHeight="1" x14ac:dyDescent="0.25">
      <c r="A18" s="246" t="s">
        <v>26</v>
      </c>
      <c r="B18" s="93">
        <v>0</v>
      </c>
      <c r="C18" s="93">
        <v>0</v>
      </c>
      <c r="D18" s="94">
        <v>0</v>
      </c>
      <c r="E18" s="94">
        <v>0</v>
      </c>
      <c r="F18" s="90"/>
    </row>
    <row r="19" spans="1:6" ht="14.1" customHeight="1" x14ac:dyDescent="0.25">
      <c r="A19" s="245" t="s">
        <v>27</v>
      </c>
      <c r="B19" s="93">
        <v>1</v>
      </c>
      <c r="C19" s="93">
        <v>2</v>
      </c>
      <c r="D19" s="94">
        <v>10.199999999999999</v>
      </c>
      <c r="E19" s="94">
        <v>19.7</v>
      </c>
      <c r="F19" s="90"/>
    </row>
    <row r="20" spans="1:6" ht="14.1" customHeight="1" x14ac:dyDescent="0.25">
      <c r="A20" s="245" t="s">
        <v>28</v>
      </c>
      <c r="B20" s="93">
        <v>1</v>
      </c>
      <c r="C20" s="93">
        <v>1</v>
      </c>
      <c r="D20" s="94">
        <v>9.9</v>
      </c>
      <c r="E20" s="94">
        <v>9.6999999999999993</v>
      </c>
      <c r="F20" s="90"/>
    </row>
    <row r="21" spans="1:6" ht="14.1" customHeight="1" x14ac:dyDescent="0.25">
      <c r="A21" s="245" t="s">
        <v>29</v>
      </c>
      <c r="B21" s="93">
        <v>2</v>
      </c>
      <c r="C21" s="93">
        <v>3</v>
      </c>
      <c r="D21" s="94">
        <v>13.8</v>
      </c>
      <c r="E21" s="94">
        <v>20.399999999999999</v>
      </c>
      <c r="F21" s="90"/>
    </row>
    <row r="22" spans="1:6" ht="14.1" customHeight="1" x14ac:dyDescent="0.25">
      <c r="A22" s="245" t="s">
        <v>30</v>
      </c>
      <c r="B22" s="93">
        <v>3</v>
      </c>
      <c r="C22" s="93">
        <v>2</v>
      </c>
      <c r="D22" s="94">
        <v>19.600000000000001</v>
      </c>
      <c r="E22" s="94">
        <v>12.6</v>
      </c>
      <c r="F22" s="90"/>
    </row>
    <row r="23" spans="1:6" ht="14.1" customHeight="1" x14ac:dyDescent="0.25">
      <c r="A23" s="245" t="s">
        <v>31</v>
      </c>
      <c r="B23" s="93">
        <v>0</v>
      </c>
      <c r="C23" s="93">
        <v>1</v>
      </c>
      <c r="D23" s="94">
        <v>0</v>
      </c>
      <c r="E23" s="94">
        <v>6.5</v>
      </c>
      <c r="F23" s="90"/>
    </row>
    <row r="24" spans="1:6" ht="14.1" customHeight="1" x14ac:dyDescent="0.25">
      <c r="A24" s="245" t="s">
        <v>32</v>
      </c>
      <c r="B24" s="93">
        <v>25</v>
      </c>
      <c r="C24" s="93">
        <v>15</v>
      </c>
      <c r="D24" s="94">
        <v>17.2</v>
      </c>
      <c r="E24" s="94">
        <v>10.6</v>
      </c>
      <c r="F24" s="90"/>
    </row>
    <row r="25" spans="1:6" ht="14.1" customHeight="1" x14ac:dyDescent="0.25">
      <c r="A25" s="247" t="s">
        <v>33</v>
      </c>
      <c r="B25" s="91">
        <v>26</v>
      </c>
      <c r="C25" s="91">
        <v>21</v>
      </c>
      <c r="D25" s="92">
        <v>15.1</v>
      </c>
      <c r="E25" s="92">
        <v>12.1</v>
      </c>
      <c r="F25" s="190"/>
    </row>
    <row r="26" spans="1:6" ht="14.1" customHeight="1" x14ac:dyDescent="0.25">
      <c r="A26" s="245" t="s">
        <v>34</v>
      </c>
      <c r="B26" s="93">
        <v>0</v>
      </c>
      <c r="C26" s="93">
        <v>0</v>
      </c>
      <c r="D26" s="94">
        <v>0</v>
      </c>
      <c r="E26" s="94">
        <v>0</v>
      </c>
      <c r="F26" s="90"/>
    </row>
    <row r="27" spans="1:6" ht="14.1" customHeight="1" x14ac:dyDescent="0.25">
      <c r="A27" s="245" t="s">
        <v>35</v>
      </c>
      <c r="B27" s="93">
        <v>2</v>
      </c>
      <c r="C27" s="93">
        <v>0</v>
      </c>
      <c r="D27" s="94">
        <v>17.8</v>
      </c>
      <c r="E27" s="94">
        <v>0</v>
      </c>
      <c r="F27" s="90"/>
    </row>
    <row r="28" spans="1:6" ht="14.1" customHeight="1" x14ac:dyDescent="0.25">
      <c r="A28" s="245" t="s">
        <v>36</v>
      </c>
      <c r="B28" s="93">
        <v>3</v>
      </c>
      <c r="C28" s="93">
        <v>1</v>
      </c>
      <c r="D28" s="94">
        <v>21.3</v>
      </c>
      <c r="E28" s="94">
        <v>6.8</v>
      </c>
      <c r="F28" s="90"/>
    </row>
    <row r="29" spans="1:6" ht="14.1" customHeight="1" x14ac:dyDescent="0.25">
      <c r="A29" s="245" t="s">
        <v>37</v>
      </c>
      <c r="B29" s="93">
        <v>0</v>
      </c>
      <c r="C29" s="93">
        <v>0</v>
      </c>
      <c r="D29" s="94">
        <v>0</v>
      </c>
      <c r="E29" s="94">
        <v>0</v>
      </c>
      <c r="F29" s="90"/>
    </row>
    <row r="30" spans="1:6" ht="14.1" customHeight="1" x14ac:dyDescent="0.25">
      <c r="A30" s="248" t="s">
        <v>318</v>
      </c>
      <c r="B30" s="93">
        <v>3</v>
      </c>
      <c r="C30" s="93">
        <v>1</v>
      </c>
      <c r="D30" s="94">
        <v>22.6</v>
      </c>
      <c r="E30" s="94">
        <v>7.2</v>
      </c>
      <c r="F30" s="90"/>
    </row>
    <row r="31" spans="1:6" ht="14.1" customHeight="1" x14ac:dyDescent="0.25">
      <c r="A31" s="245" t="s">
        <v>38</v>
      </c>
      <c r="B31" s="93">
        <v>4</v>
      </c>
      <c r="C31" s="93">
        <v>4</v>
      </c>
      <c r="D31" s="94">
        <v>25.4</v>
      </c>
      <c r="E31" s="94">
        <v>24.5</v>
      </c>
      <c r="F31" s="90"/>
    </row>
    <row r="32" spans="1:6" ht="14.1" customHeight="1" x14ac:dyDescent="0.25">
      <c r="A32" s="245" t="s">
        <v>39</v>
      </c>
      <c r="B32" s="93">
        <v>0</v>
      </c>
      <c r="C32" s="93">
        <v>0</v>
      </c>
      <c r="D32" s="94">
        <v>0</v>
      </c>
      <c r="E32" s="94">
        <v>0</v>
      </c>
      <c r="F32" s="90"/>
    </row>
    <row r="33" spans="1:9" ht="14.1" customHeight="1" x14ac:dyDescent="0.25">
      <c r="A33" s="245" t="s">
        <v>40</v>
      </c>
      <c r="B33" s="93">
        <v>1</v>
      </c>
      <c r="C33" s="93">
        <v>0</v>
      </c>
      <c r="D33" s="94">
        <v>6.1</v>
      </c>
      <c r="E33" s="94">
        <v>0</v>
      </c>
      <c r="F33" s="90"/>
    </row>
    <row r="34" spans="1:9" ht="14.1" customHeight="1" x14ac:dyDescent="0.25">
      <c r="A34" s="245" t="s">
        <v>41</v>
      </c>
      <c r="B34" s="93">
        <v>1</v>
      </c>
      <c r="C34" s="93">
        <v>1</v>
      </c>
      <c r="D34" s="94">
        <v>11.7</v>
      </c>
      <c r="E34" s="94">
        <v>11</v>
      </c>
      <c r="F34" s="90"/>
    </row>
    <row r="35" spans="1:9" ht="14.1" customHeight="1" x14ac:dyDescent="0.25">
      <c r="A35" s="245" t="s">
        <v>42</v>
      </c>
      <c r="B35" s="93">
        <v>1</v>
      </c>
      <c r="C35" s="93">
        <v>0</v>
      </c>
      <c r="D35" s="94">
        <v>13.9</v>
      </c>
      <c r="E35" s="94">
        <v>0</v>
      </c>
      <c r="F35" s="90"/>
    </row>
    <row r="36" spans="1:9" ht="14.1" customHeight="1" x14ac:dyDescent="0.25">
      <c r="A36" s="245" t="s">
        <v>43</v>
      </c>
      <c r="B36" s="93">
        <v>1</v>
      </c>
      <c r="C36" s="93">
        <v>2</v>
      </c>
      <c r="D36" s="94">
        <v>13.9</v>
      </c>
      <c r="E36" s="94">
        <v>28</v>
      </c>
      <c r="F36" s="90"/>
    </row>
    <row r="37" spans="1:9" ht="14.1" customHeight="1" x14ac:dyDescent="0.25">
      <c r="A37" s="245" t="s">
        <v>44</v>
      </c>
      <c r="B37" s="93">
        <v>13</v>
      </c>
      <c r="C37" s="93">
        <v>13</v>
      </c>
      <c r="D37" s="94">
        <v>17.899999999999999</v>
      </c>
      <c r="E37" s="94">
        <v>18.399999999999999</v>
      </c>
      <c r="F37" s="90"/>
    </row>
    <row r="38" spans="1:9" ht="14.1" customHeight="1" x14ac:dyDescent="0.25">
      <c r="A38" s="249" t="s">
        <v>45</v>
      </c>
      <c r="B38" s="389">
        <v>16</v>
      </c>
      <c r="C38" s="389">
        <v>15</v>
      </c>
      <c r="D38" s="391">
        <v>7.9</v>
      </c>
      <c r="E38" s="391">
        <v>7.2</v>
      </c>
      <c r="F38" s="161"/>
      <c r="G38" s="370"/>
      <c r="H38" s="390"/>
      <c r="I38" s="390"/>
    </row>
    <row r="39" spans="1:9" ht="14.1" customHeight="1" x14ac:dyDescent="0.25">
      <c r="A39" s="245" t="s">
        <v>46</v>
      </c>
      <c r="B39" s="93">
        <v>2</v>
      </c>
      <c r="C39" s="93">
        <v>1</v>
      </c>
      <c r="D39" s="94">
        <v>37</v>
      </c>
      <c r="E39" s="94">
        <v>17.8</v>
      </c>
      <c r="F39" s="90"/>
    </row>
    <row r="40" spans="1:9" ht="14.1" customHeight="1" x14ac:dyDescent="0.25">
      <c r="A40" s="245" t="s">
        <v>47</v>
      </c>
      <c r="B40" s="93">
        <v>1</v>
      </c>
      <c r="C40" s="93">
        <v>1</v>
      </c>
      <c r="D40" s="94">
        <v>28.9</v>
      </c>
      <c r="E40" s="94">
        <v>26.3</v>
      </c>
      <c r="F40" s="90"/>
    </row>
    <row r="41" spans="1:9" ht="14.1" customHeight="1" x14ac:dyDescent="0.25">
      <c r="A41" s="245" t="s">
        <v>211</v>
      </c>
      <c r="B41" s="93">
        <v>4</v>
      </c>
      <c r="C41" s="93">
        <v>3</v>
      </c>
      <c r="D41" s="94">
        <v>17.399999999999999</v>
      </c>
      <c r="E41" s="94">
        <v>12.5</v>
      </c>
      <c r="F41" s="90"/>
    </row>
    <row r="42" spans="1:9" ht="14.1" customHeight="1" x14ac:dyDescent="0.25">
      <c r="A42" s="245" t="s">
        <v>48</v>
      </c>
      <c r="B42" s="93">
        <v>4</v>
      </c>
      <c r="C42" s="93">
        <v>2</v>
      </c>
      <c r="D42" s="94">
        <v>5.5</v>
      </c>
      <c r="E42" s="94">
        <v>2.7</v>
      </c>
      <c r="F42" s="90"/>
    </row>
    <row r="43" spans="1:9" ht="14.1" customHeight="1" x14ac:dyDescent="0.25">
      <c r="A43" s="245" t="s">
        <v>49</v>
      </c>
      <c r="B43" s="93">
        <v>0</v>
      </c>
      <c r="C43" s="93">
        <v>0</v>
      </c>
      <c r="D43" s="94">
        <v>0</v>
      </c>
      <c r="E43" s="94">
        <v>0</v>
      </c>
      <c r="F43" s="90"/>
    </row>
    <row r="44" spans="1:9" ht="14.1" customHeight="1" x14ac:dyDescent="0.25">
      <c r="A44" s="245" t="s">
        <v>50</v>
      </c>
      <c r="B44" s="93">
        <v>1</v>
      </c>
      <c r="C44" s="93">
        <v>3</v>
      </c>
      <c r="D44" s="94">
        <v>3.5</v>
      </c>
      <c r="E44" s="94">
        <v>10.199999999999999</v>
      </c>
      <c r="F44" s="90"/>
    </row>
    <row r="45" spans="1:9" ht="14.1" customHeight="1" x14ac:dyDescent="0.25">
      <c r="A45" s="245" t="s">
        <v>51</v>
      </c>
      <c r="B45" s="93">
        <v>4</v>
      </c>
      <c r="C45" s="93">
        <v>4</v>
      </c>
      <c r="D45" s="94">
        <v>8.1999999999999993</v>
      </c>
      <c r="E45" s="94">
        <v>7.8</v>
      </c>
      <c r="F45" s="90"/>
    </row>
    <row r="46" spans="1:9" ht="14.1" customHeight="1" x14ac:dyDescent="0.25">
      <c r="A46" s="245" t="s">
        <v>213</v>
      </c>
      <c r="B46" s="93">
        <v>0</v>
      </c>
      <c r="C46" s="93">
        <v>1</v>
      </c>
      <c r="D46" s="94">
        <v>0</v>
      </c>
      <c r="E46" s="94">
        <v>18.2</v>
      </c>
      <c r="F46" s="90"/>
    </row>
    <row r="47" spans="1:9" ht="14.1" customHeight="1" x14ac:dyDescent="0.25">
      <c r="A47" s="250" t="s">
        <v>52</v>
      </c>
      <c r="B47" s="91">
        <v>10</v>
      </c>
      <c r="C47" s="91">
        <v>15</v>
      </c>
      <c r="D47" s="92">
        <v>6.5</v>
      </c>
      <c r="E47" s="92">
        <v>9.4</v>
      </c>
      <c r="F47" s="190"/>
    </row>
    <row r="48" spans="1:9" ht="14.1" customHeight="1" x14ac:dyDescent="0.25">
      <c r="A48" s="245" t="s">
        <v>53</v>
      </c>
      <c r="B48" s="93">
        <v>6</v>
      </c>
      <c r="C48" s="93">
        <v>8</v>
      </c>
      <c r="D48" s="94">
        <v>11.4</v>
      </c>
      <c r="E48" s="94">
        <v>14.6</v>
      </c>
      <c r="F48" s="90"/>
    </row>
    <row r="49" spans="1:6" ht="14.1" customHeight="1" x14ac:dyDescent="0.25">
      <c r="A49" s="245" t="s">
        <v>54</v>
      </c>
      <c r="B49" s="93">
        <v>0</v>
      </c>
      <c r="C49" s="93">
        <v>1</v>
      </c>
      <c r="D49" s="94">
        <v>0</v>
      </c>
      <c r="E49" s="94">
        <v>11.6</v>
      </c>
      <c r="F49" s="90"/>
    </row>
    <row r="50" spans="1:6" ht="14.1" customHeight="1" x14ac:dyDescent="0.25">
      <c r="A50" s="245" t="s">
        <v>55</v>
      </c>
      <c r="B50" s="93">
        <v>0</v>
      </c>
      <c r="C50" s="93">
        <v>1</v>
      </c>
      <c r="D50" s="94">
        <v>0</v>
      </c>
      <c r="E50" s="94">
        <v>7.9</v>
      </c>
      <c r="F50" s="90"/>
    </row>
    <row r="51" spans="1:6" ht="14.1" customHeight="1" x14ac:dyDescent="0.25">
      <c r="A51" s="245" t="s">
        <v>56</v>
      </c>
      <c r="B51" s="93">
        <v>0</v>
      </c>
      <c r="C51" s="93">
        <v>0</v>
      </c>
      <c r="D51" s="94">
        <v>0</v>
      </c>
      <c r="E51" s="94">
        <v>0</v>
      </c>
      <c r="F51" s="90"/>
    </row>
    <row r="52" spans="1:6" ht="14.1" customHeight="1" x14ac:dyDescent="0.25">
      <c r="A52" s="245" t="s">
        <v>57</v>
      </c>
      <c r="B52" s="93">
        <v>0</v>
      </c>
      <c r="C52" s="93">
        <v>0</v>
      </c>
      <c r="D52" s="94">
        <v>0</v>
      </c>
      <c r="E52" s="94">
        <v>0</v>
      </c>
      <c r="F52" s="90"/>
    </row>
    <row r="53" spans="1:6" ht="14.1" customHeight="1" x14ac:dyDescent="0.25">
      <c r="A53" s="245" t="s">
        <v>58</v>
      </c>
      <c r="B53" s="93">
        <v>2</v>
      </c>
      <c r="C53" s="93">
        <v>4</v>
      </c>
      <c r="D53" s="94">
        <v>6.7</v>
      </c>
      <c r="E53" s="94">
        <v>12.6</v>
      </c>
      <c r="F53" s="90"/>
    </row>
    <row r="54" spans="1:6" ht="14.1" customHeight="1" x14ac:dyDescent="0.25">
      <c r="A54" s="245" t="s">
        <v>59</v>
      </c>
      <c r="B54" s="93">
        <v>2</v>
      </c>
      <c r="C54" s="93">
        <v>1</v>
      </c>
      <c r="D54" s="94">
        <v>5.5</v>
      </c>
      <c r="E54" s="94">
        <v>2.8</v>
      </c>
      <c r="F54" s="90"/>
    </row>
    <row r="55" spans="1:6" ht="14.1" customHeight="1" x14ac:dyDescent="0.25">
      <c r="A55" s="244" t="s">
        <v>60</v>
      </c>
      <c r="B55" s="91">
        <v>33</v>
      </c>
      <c r="C55" s="91">
        <v>29</v>
      </c>
      <c r="D55" s="92">
        <v>8.6999999999999993</v>
      </c>
      <c r="E55" s="92">
        <v>7.3</v>
      </c>
      <c r="F55" s="190"/>
    </row>
    <row r="56" spans="1:6" ht="14.1" customHeight="1" x14ac:dyDescent="0.25">
      <c r="A56" s="245" t="s">
        <v>61</v>
      </c>
      <c r="B56" s="93">
        <v>2</v>
      </c>
      <c r="C56" s="93">
        <v>2</v>
      </c>
      <c r="D56" s="94">
        <v>3.6</v>
      </c>
      <c r="E56" s="94">
        <v>3.4</v>
      </c>
      <c r="F56" s="90"/>
    </row>
    <row r="57" spans="1:6" ht="14.1" customHeight="1" x14ac:dyDescent="0.25">
      <c r="A57" s="245" t="s">
        <v>62</v>
      </c>
      <c r="B57" s="93">
        <v>2</v>
      </c>
      <c r="C57" s="93">
        <v>2</v>
      </c>
      <c r="D57" s="94">
        <v>21</v>
      </c>
      <c r="E57" s="94">
        <v>20.2</v>
      </c>
      <c r="F57" s="90"/>
    </row>
    <row r="58" spans="1:6" ht="14.1" customHeight="1" x14ac:dyDescent="0.25">
      <c r="A58" s="245" t="s">
        <v>63</v>
      </c>
      <c r="B58" s="93">
        <v>1</v>
      </c>
      <c r="C58" s="93">
        <v>0</v>
      </c>
      <c r="D58" s="94">
        <v>12.6</v>
      </c>
      <c r="E58" s="94">
        <v>0</v>
      </c>
      <c r="F58" s="90"/>
    </row>
    <row r="59" spans="1:6" ht="14.1" customHeight="1" x14ac:dyDescent="0.25">
      <c r="A59" s="245" t="s">
        <v>64</v>
      </c>
      <c r="B59" s="93">
        <v>4</v>
      </c>
      <c r="C59" s="93">
        <v>5</v>
      </c>
      <c r="D59" s="94">
        <v>7.2</v>
      </c>
      <c r="E59" s="94">
        <v>8.8000000000000007</v>
      </c>
      <c r="F59" s="90"/>
    </row>
    <row r="60" spans="1:6" ht="14.1" customHeight="1" x14ac:dyDescent="0.25">
      <c r="A60" s="245" t="s">
        <v>65</v>
      </c>
      <c r="B60" s="93">
        <v>5</v>
      </c>
      <c r="C60" s="93">
        <v>4</v>
      </c>
      <c r="D60" s="94">
        <v>23.8</v>
      </c>
      <c r="E60" s="94">
        <v>18.100000000000001</v>
      </c>
      <c r="F60" s="90"/>
    </row>
    <row r="61" spans="1:6" ht="14.1" customHeight="1" x14ac:dyDescent="0.25">
      <c r="A61" s="245" t="s">
        <v>66</v>
      </c>
      <c r="B61" s="93">
        <v>4</v>
      </c>
      <c r="C61" s="93">
        <v>2</v>
      </c>
      <c r="D61" s="94">
        <v>24.4</v>
      </c>
      <c r="E61" s="94">
        <v>11.7</v>
      </c>
      <c r="F61" s="90"/>
    </row>
    <row r="62" spans="1:6" ht="14.1" customHeight="1" x14ac:dyDescent="0.25">
      <c r="A62" s="245" t="s">
        <v>67</v>
      </c>
      <c r="B62" s="93">
        <v>2</v>
      </c>
      <c r="C62" s="93">
        <v>2</v>
      </c>
      <c r="D62" s="94">
        <v>5.4</v>
      </c>
      <c r="E62" s="94">
        <v>5.2</v>
      </c>
      <c r="F62" s="90"/>
    </row>
    <row r="63" spans="1:6" ht="14.1" customHeight="1" x14ac:dyDescent="0.25">
      <c r="A63" s="245" t="s">
        <v>68</v>
      </c>
      <c r="B63" s="93">
        <v>2</v>
      </c>
      <c r="C63" s="93">
        <v>0</v>
      </c>
      <c r="D63" s="94">
        <v>12.3</v>
      </c>
      <c r="E63" s="94">
        <v>0</v>
      </c>
      <c r="F63" s="90"/>
    </row>
    <row r="64" spans="1:6" ht="14.1" customHeight="1" x14ac:dyDescent="0.25">
      <c r="A64" s="245" t="s">
        <v>69</v>
      </c>
      <c r="B64" s="93">
        <v>1</v>
      </c>
      <c r="C64" s="93">
        <v>1</v>
      </c>
      <c r="D64" s="94">
        <v>2.6</v>
      </c>
      <c r="E64" s="94">
        <v>2.5</v>
      </c>
      <c r="F64" s="90"/>
    </row>
    <row r="65" spans="1:6" ht="14.1" customHeight="1" x14ac:dyDescent="0.25">
      <c r="A65" s="245" t="s">
        <v>70</v>
      </c>
      <c r="B65" s="93">
        <v>2</v>
      </c>
      <c r="C65" s="93">
        <v>5</v>
      </c>
      <c r="D65" s="94">
        <v>7.5</v>
      </c>
      <c r="E65" s="94">
        <v>17.600000000000001</v>
      </c>
      <c r="F65" s="90"/>
    </row>
    <row r="66" spans="1:6" ht="14.1" customHeight="1" x14ac:dyDescent="0.25">
      <c r="A66" s="245" t="s">
        <v>71</v>
      </c>
      <c r="B66" s="93">
        <v>1</v>
      </c>
      <c r="C66" s="93">
        <v>1</v>
      </c>
      <c r="D66" s="94">
        <v>7.3</v>
      </c>
      <c r="E66" s="94">
        <v>6.9</v>
      </c>
      <c r="F66" s="90"/>
    </row>
    <row r="67" spans="1:6" ht="14.1" customHeight="1" x14ac:dyDescent="0.25">
      <c r="A67" s="245" t="s">
        <v>72</v>
      </c>
      <c r="B67" s="93">
        <v>3</v>
      </c>
      <c r="C67" s="93">
        <v>2</v>
      </c>
      <c r="D67" s="94">
        <v>7.5</v>
      </c>
      <c r="E67" s="94">
        <v>4.9000000000000004</v>
      </c>
      <c r="F67" s="90"/>
    </row>
    <row r="68" spans="1:6" ht="14.1" customHeight="1" x14ac:dyDescent="0.25">
      <c r="A68" s="246" t="s">
        <v>73</v>
      </c>
      <c r="B68" s="93">
        <v>2</v>
      </c>
      <c r="C68" s="93">
        <v>0</v>
      </c>
      <c r="D68" s="94">
        <v>7.4</v>
      </c>
      <c r="E68" s="94">
        <v>0</v>
      </c>
      <c r="F68" s="90"/>
    </row>
    <row r="69" spans="1:6" ht="14.1" customHeight="1" x14ac:dyDescent="0.25">
      <c r="A69" s="245" t="s">
        <v>74</v>
      </c>
      <c r="B69" s="93">
        <v>2</v>
      </c>
      <c r="C69" s="93">
        <v>3</v>
      </c>
      <c r="D69" s="94">
        <v>13.8</v>
      </c>
      <c r="E69" s="94">
        <v>20</v>
      </c>
      <c r="F69" s="90"/>
    </row>
    <row r="70" spans="1:6" ht="14.1" customHeight="1" x14ac:dyDescent="0.25">
      <c r="A70" s="249" t="s">
        <v>75</v>
      </c>
      <c r="B70" s="91">
        <v>16</v>
      </c>
      <c r="C70" s="91">
        <v>12</v>
      </c>
      <c r="D70" s="92">
        <v>9.1999999999999993</v>
      </c>
      <c r="E70" s="92">
        <v>6.6</v>
      </c>
      <c r="F70" s="90"/>
    </row>
    <row r="71" spans="1:6" ht="14.1" customHeight="1" x14ac:dyDescent="0.25">
      <c r="A71" s="245" t="s">
        <v>76</v>
      </c>
      <c r="B71" s="93">
        <v>1</v>
      </c>
      <c r="C71" s="93">
        <v>0</v>
      </c>
      <c r="D71" s="94">
        <v>9.4</v>
      </c>
      <c r="E71" s="94">
        <v>0</v>
      </c>
      <c r="F71" s="90"/>
    </row>
    <row r="72" spans="1:6" ht="14.1" customHeight="1" x14ac:dyDescent="0.25">
      <c r="A72" s="245" t="s">
        <v>77</v>
      </c>
      <c r="B72" s="93">
        <v>6</v>
      </c>
      <c r="C72" s="93">
        <v>6</v>
      </c>
      <c r="D72" s="94">
        <v>10</v>
      </c>
      <c r="E72" s="94">
        <v>9.6</v>
      </c>
      <c r="F72" s="90"/>
    </row>
    <row r="73" spans="1:6" ht="14.1" customHeight="1" x14ac:dyDescent="0.25">
      <c r="A73" s="245" t="s">
        <v>78</v>
      </c>
      <c r="B73" s="93">
        <v>3</v>
      </c>
      <c r="C73" s="93">
        <v>3</v>
      </c>
      <c r="D73" s="94">
        <v>5.3</v>
      </c>
      <c r="E73" s="94">
        <v>5</v>
      </c>
      <c r="F73" s="90"/>
    </row>
    <row r="74" spans="1:6" ht="14.1" customHeight="1" x14ac:dyDescent="0.25">
      <c r="A74" s="245" t="s">
        <v>79</v>
      </c>
      <c r="B74" s="93">
        <v>0</v>
      </c>
      <c r="C74" s="93">
        <v>1</v>
      </c>
      <c r="D74" s="94">
        <v>0</v>
      </c>
      <c r="E74" s="94">
        <v>3.7</v>
      </c>
      <c r="F74" s="90"/>
    </row>
    <row r="75" spans="1:6" ht="14.1" customHeight="1" x14ac:dyDescent="0.25">
      <c r="A75" s="245" t="s">
        <v>80</v>
      </c>
      <c r="B75" s="93">
        <v>2</v>
      </c>
      <c r="C75" s="93">
        <v>1</v>
      </c>
      <c r="D75" s="94">
        <v>24.2</v>
      </c>
      <c r="E75" s="94">
        <v>11.2</v>
      </c>
      <c r="F75" s="90"/>
    </row>
    <row r="76" spans="1:6" ht="14.1" customHeight="1" x14ac:dyDescent="0.25">
      <c r="A76" s="248" t="s">
        <v>319</v>
      </c>
      <c r="B76" s="93">
        <v>1</v>
      </c>
      <c r="C76" s="93">
        <v>1</v>
      </c>
      <c r="D76" s="94">
        <v>4.3</v>
      </c>
      <c r="E76" s="94">
        <v>4.2</v>
      </c>
      <c r="F76" s="90"/>
    </row>
    <row r="77" spans="1:6" ht="14.1" customHeight="1" x14ac:dyDescent="0.25">
      <c r="A77" s="245" t="s">
        <v>81</v>
      </c>
      <c r="B77" s="93">
        <v>6</v>
      </c>
      <c r="C77" s="93">
        <v>3</v>
      </c>
      <c r="D77" s="94">
        <v>12.9</v>
      </c>
      <c r="E77" s="94">
        <v>6.2</v>
      </c>
      <c r="F77" s="90"/>
    </row>
    <row r="78" spans="1:6" ht="14.1" customHeight="1" x14ac:dyDescent="0.25">
      <c r="A78" s="244" t="s">
        <v>82</v>
      </c>
      <c r="B78" s="91">
        <v>31</v>
      </c>
      <c r="C78" s="91">
        <v>43</v>
      </c>
      <c r="D78" s="92">
        <v>11.6</v>
      </c>
      <c r="E78" s="92">
        <v>15.5</v>
      </c>
      <c r="F78" s="190"/>
    </row>
    <row r="79" spans="1:6" ht="14.1" customHeight="1" x14ac:dyDescent="0.25">
      <c r="A79" s="245" t="s">
        <v>83</v>
      </c>
      <c r="B79" s="93">
        <v>0</v>
      </c>
      <c r="C79" s="93">
        <v>1</v>
      </c>
      <c r="D79" s="94">
        <v>0</v>
      </c>
      <c r="E79" s="94">
        <v>24.9</v>
      </c>
      <c r="F79" s="90"/>
    </row>
    <row r="80" spans="1:6" ht="14.1" customHeight="1" x14ac:dyDescent="0.25">
      <c r="A80" s="245" t="s">
        <v>84</v>
      </c>
      <c r="B80" s="93">
        <v>2</v>
      </c>
      <c r="C80" s="93">
        <v>6</v>
      </c>
      <c r="D80" s="94">
        <v>12.4</v>
      </c>
      <c r="E80" s="94">
        <v>35.4</v>
      </c>
      <c r="F80" s="90"/>
    </row>
    <row r="81" spans="1:6" ht="14.1" customHeight="1" x14ac:dyDescent="0.25">
      <c r="A81" s="245" t="s">
        <v>85</v>
      </c>
      <c r="B81" s="93">
        <v>0</v>
      </c>
      <c r="C81" s="93">
        <v>0</v>
      </c>
      <c r="D81" s="94">
        <v>0</v>
      </c>
      <c r="E81" s="94">
        <v>0</v>
      </c>
      <c r="F81" s="90"/>
    </row>
    <row r="82" spans="1:6" ht="14.1" customHeight="1" x14ac:dyDescent="0.25">
      <c r="A82" s="245" t="s">
        <v>86</v>
      </c>
      <c r="B82" s="93">
        <v>2</v>
      </c>
      <c r="C82" s="93">
        <v>2</v>
      </c>
      <c r="D82" s="94">
        <v>26.3</v>
      </c>
      <c r="E82" s="94">
        <v>25.4</v>
      </c>
      <c r="F82" s="90"/>
    </row>
    <row r="83" spans="1:6" ht="14.1" customHeight="1" x14ac:dyDescent="0.25">
      <c r="A83" s="245" t="s">
        <v>87</v>
      </c>
      <c r="B83" s="93">
        <v>2</v>
      </c>
      <c r="C83" s="93">
        <v>4</v>
      </c>
      <c r="D83" s="94">
        <v>7</v>
      </c>
      <c r="E83" s="94">
        <v>13.3</v>
      </c>
      <c r="F83" s="90"/>
    </row>
    <row r="84" spans="1:6" ht="14.1" customHeight="1" x14ac:dyDescent="0.25">
      <c r="A84" s="245" t="s">
        <v>88</v>
      </c>
      <c r="B84" s="93">
        <v>4</v>
      </c>
      <c r="C84" s="93">
        <v>4</v>
      </c>
      <c r="D84" s="94">
        <v>25.4</v>
      </c>
      <c r="E84" s="94">
        <v>23.9</v>
      </c>
      <c r="F84" s="90"/>
    </row>
    <row r="85" spans="1:6" ht="14.1" customHeight="1" x14ac:dyDescent="0.25">
      <c r="A85" s="245" t="s">
        <v>89</v>
      </c>
      <c r="B85" s="93">
        <v>4</v>
      </c>
      <c r="C85" s="93">
        <v>6</v>
      </c>
      <c r="D85" s="94">
        <v>10</v>
      </c>
      <c r="E85" s="94">
        <v>14.6</v>
      </c>
      <c r="F85" s="90"/>
    </row>
    <row r="86" spans="1:6" ht="14.1" customHeight="1" x14ac:dyDescent="0.25">
      <c r="A86" s="245" t="s">
        <v>90</v>
      </c>
      <c r="B86" s="93">
        <v>2</v>
      </c>
      <c r="C86" s="93">
        <v>3</v>
      </c>
      <c r="D86" s="94">
        <v>5.6</v>
      </c>
      <c r="E86" s="94">
        <v>8.1</v>
      </c>
      <c r="F86" s="90"/>
    </row>
    <row r="87" spans="1:6" ht="14.1" customHeight="1" x14ac:dyDescent="0.25">
      <c r="A87" s="245" t="s">
        <v>91</v>
      </c>
      <c r="B87" s="93">
        <v>3</v>
      </c>
      <c r="C87" s="93">
        <v>4</v>
      </c>
      <c r="D87" s="94">
        <v>9.1999999999999993</v>
      </c>
      <c r="E87" s="94">
        <v>11.8</v>
      </c>
      <c r="F87" s="90"/>
    </row>
    <row r="88" spans="1:6" ht="14.1" customHeight="1" x14ac:dyDescent="0.25">
      <c r="A88" s="245" t="s">
        <v>92</v>
      </c>
      <c r="B88" s="93">
        <v>6</v>
      </c>
      <c r="C88" s="93">
        <v>4</v>
      </c>
      <c r="D88" s="94">
        <v>15.7</v>
      </c>
      <c r="E88" s="94">
        <v>10.199999999999999</v>
      </c>
      <c r="F88" s="90"/>
    </row>
    <row r="89" spans="1:6" ht="14.1" customHeight="1" x14ac:dyDescent="0.25">
      <c r="A89" s="245" t="s">
        <v>93</v>
      </c>
      <c r="B89" s="93">
        <v>2</v>
      </c>
      <c r="C89" s="93">
        <v>2</v>
      </c>
      <c r="D89" s="94">
        <v>7.6</v>
      </c>
      <c r="E89" s="94">
        <v>7</v>
      </c>
      <c r="F89" s="90"/>
    </row>
    <row r="90" spans="1:6" ht="14.1" customHeight="1" x14ac:dyDescent="0.25">
      <c r="A90" s="245" t="s">
        <v>94</v>
      </c>
      <c r="B90" s="93">
        <v>4</v>
      </c>
      <c r="C90" s="93">
        <v>7</v>
      </c>
      <c r="D90" s="94">
        <v>28.2</v>
      </c>
      <c r="E90" s="94">
        <v>47.9</v>
      </c>
      <c r="F90" s="90"/>
    </row>
    <row r="91" spans="1:6" ht="14.1" customHeight="1" x14ac:dyDescent="0.25">
      <c r="A91" s="249" t="s">
        <v>95</v>
      </c>
      <c r="B91" s="91">
        <v>9</v>
      </c>
      <c r="C91" s="91">
        <v>14</v>
      </c>
      <c r="D91" s="92">
        <v>10.9</v>
      </c>
      <c r="E91" s="92">
        <v>16.2</v>
      </c>
      <c r="F91" s="190"/>
    </row>
    <row r="92" spans="1:6" ht="14.1" customHeight="1" x14ac:dyDescent="0.25">
      <c r="A92" s="245" t="s">
        <v>96</v>
      </c>
      <c r="B92" s="93">
        <v>0</v>
      </c>
      <c r="C92" s="93">
        <v>4</v>
      </c>
      <c r="D92" s="94">
        <v>0</v>
      </c>
      <c r="E92" s="94">
        <v>24.5</v>
      </c>
      <c r="F92" s="90"/>
    </row>
    <row r="93" spans="1:6" ht="14.1" customHeight="1" x14ac:dyDescent="0.25">
      <c r="A93" s="245" t="s">
        <v>97</v>
      </c>
      <c r="B93" s="93">
        <v>1</v>
      </c>
      <c r="C93" s="93">
        <v>0</v>
      </c>
      <c r="D93" s="94">
        <v>24.6</v>
      </c>
      <c r="E93" s="94">
        <v>0</v>
      </c>
      <c r="F93" s="90"/>
    </row>
    <row r="94" spans="1:6" ht="14.1" customHeight="1" x14ac:dyDescent="0.25">
      <c r="A94" s="245" t="s">
        <v>98</v>
      </c>
      <c r="B94" s="93">
        <v>2</v>
      </c>
      <c r="C94" s="93">
        <v>2</v>
      </c>
      <c r="D94" s="94">
        <v>8.5</v>
      </c>
      <c r="E94" s="94">
        <v>8.1999999999999993</v>
      </c>
      <c r="F94" s="90"/>
    </row>
    <row r="95" spans="1:6" ht="14.1" customHeight="1" x14ac:dyDescent="0.25">
      <c r="A95" s="245" t="s">
        <v>99</v>
      </c>
      <c r="B95" s="93">
        <v>1</v>
      </c>
      <c r="C95" s="93">
        <v>4</v>
      </c>
      <c r="D95" s="94">
        <v>5.6</v>
      </c>
      <c r="E95" s="94">
        <v>21</v>
      </c>
      <c r="F95" s="90"/>
    </row>
    <row r="96" spans="1:6" ht="14.1" customHeight="1" x14ac:dyDescent="0.25">
      <c r="A96" s="245" t="s">
        <v>100</v>
      </c>
      <c r="B96" s="93">
        <v>1</v>
      </c>
      <c r="C96" s="93">
        <v>1</v>
      </c>
      <c r="D96" s="94">
        <v>9.6999999999999993</v>
      </c>
      <c r="E96" s="94">
        <v>9.3000000000000007</v>
      </c>
      <c r="F96" s="90"/>
    </row>
    <row r="97" spans="1:8" ht="14.1" customHeight="1" x14ac:dyDescent="0.25">
      <c r="A97" s="245" t="s">
        <v>101</v>
      </c>
      <c r="B97" s="93">
        <v>0</v>
      </c>
      <c r="C97" s="93">
        <v>1</v>
      </c>
      <c r="D97" s="94">
        <v>0</v>
      </c>
      <c r="E97" s="94">
        <v>57.1</v>
      </c>
      <c r="F97" s="90"/>
    </row>
    <row r="98" spans="1:8" ht="14.1" customHeight="1" x14ac:dyDescent="0.25">
      <c r="A98" s="245" t="s">
        <v>102</v>
      </c>
      <c r="B98" s="93">
        <v>2</v>
      </c>
      <c r="C98" s="93">
        <v>2</v>
      </c>
      <c r="D98" s="94">
        <v>28.8</v>
      </c>
      <c r="E98" s="94">
        <v>30</v>
      </c>
      <c r="F98" s="90"/>
    </row>
    <row r="99" spans="1:8" ht="14.1" customHeight="1" x14ac:dyDescent="0.25">
      <c r="A99" s="245" t="s">
        <v>103</v>
      </c>
      <c r="B99" s="93">
        <v>2</v>
      </c>
      <c r="C99" s="93">
        <v>0</v>
      </c>
      <c r="D99" s="94">
        <v>90.6</v>
      </c>
      <c r="E99" s="94">
        <v>0</v>
      </c>
      <c r="F99" s="90"/>
    </row>
    <row r="100" spans="1:8" ht="14.1" customHeight="1" x14ac:dyDescent="0.25">
      <c r="A100" s="320" t="s">
        <v>104</v>
      </c>
      <c r="B100" s="335">
        <v>0</v>
      </c>
      <c r="C100" s="335">
        <v>0</v>
      </c>
      <c r="D100" s="336">
        <v>0</v>
      </c>
      <c r="E100" s="336">
        <v>0</v>
      </c>
      <c r="F100" s="206"/>
      <c r="G100" s="37"/>
      <c r="H100" s="37"/>
    </row>
    <row r="101" spans="1:8" ht="14.1" customHeight="1" x14ac:dyDescent="0.25"/>
    <row r="102" spans="1:8" ht="14.1" customHeight="1" x14ac:dyDescent="0.25"/>
    <row r="103" spans="1:8" x14ac:dyDescent="0.25">
      <c r="E103" s="86"/>
    </row>
  </sheetData>
  <mergeCells count="6">
    <mergeCell ref="A1:E1"/>
    <mergeCell ref="A2:E2"/>
    <mergeCell ref="B3:B4"/>
    <mergeCell ref="C3:C4"/>
    <mergeCell ref="D3:E3"/>
    <mergeCell ref="A3:A4"/>
  </mergeCells>
  <phoneticPr fontId="49" type="noConversion"/>
  <printOptions horizontalCentered="1"/>
  <pageMargins left="0.70866141732283472" right="0.31496062992125984" top="0.70866141732283472" bottom="0.19685039370078741" header="0.31496062992125984" footer="0.31496062992125984"/>
  <pageSetup paperSize="9" firstPageNumber="35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1:L105"/>
  <sheetViews>
    <sheetView zoomScaleNormal="100" workbookViewId="0">
      <selection sqref="A1:G1"/>
    </sheetView>
  </sheetViews>
  <sheetFormatPr defaultRowHeight="15" x14ac:dyDescent="0.25"/>
  <cols>
    <col min="1" max="1" width="41.7109375" customWidth="1"/>
    <col min="2" max="3" width="12.85546875" customWidth="1"/>
    <col min="4" max="4" width="18.42578125" customWidth="1"/>
    <col min="5" max="6" width="12.85546875" customWidth="1"/>
    <col min="7" max="7" width="19.28515625" customWidth="1"/>
  </cols>
  <sheetData>
    <row r="1" spans="1:12" x14ac:dyDescent="0.25">
      <c r="A1" s="546" t="s">
        <v>293</v>
      </c>
      <c r="B1" s="546"/>
      <c r="C1" s="546"/>
      <c r="D1" s="546"/>
      <c r="E1" s="546"/>
      <c r="F1" s="546"/>
      <c r="G1" s="546"/>
    </row>
    <row r="2" spans="1:12" ht="10.5" customHeight="1" x14ac:dyDescent="0.25">
      <c r="A2" s="551"/>
      <c r="B2" s="552"/>
      <c r="C2" s="552"/>
      <c r="D2" s="552"/>
      <c r="E2" s="552"/>
      <c r="F2" s="552"/>
      <c r="G2" s="552"/>
    </row>
    <row r="3" spans="1:12" s="37" customFormat="1" ht="25.5" x14ac:dyDescent="0.25">
      <c r="A3" s="549"/>
      <c r="B3" s="547" t="s">
        <v>205</v>
      </c>
      <c r="C3" s="548"/>
      <c r="D3" s="548"/>
      <c r="E3" s="550" t="s">
        <v>207</v>
      </c>
      <c r="F3" s="550"/>
      <c r="G3" s="288" t="s">
        <v>206</v>
      </c>
      <c r="I3" s="161"/>
      <c r="J3" s="161"/>
    </row>
    <row r="4" spans="1:12" s="37" customFormat="1" ht="26.25" customHeight="1" x14ac:dyDescent="0.25">
      <c r="A4" s="549"/>
      <c r="B4" s="290" t="s">
        <v>125</v>
      </c>
      <c r="C4" s="289" t="s">
        <v>215</v>
      </c>
      <c r="D4" s="289" t="s">
        <v>323</v>
      </c>
      <c r="E4" s="289" t="s">
        <v>125</v>
      </c>
      <c r="F4" s="289" t="s">
        <v>215</v>
      </c>
      <c r="G4" s="289" t="s">
        <v>227</v>
      </c>
    </row>
    <row r="5" spans="1:12" ht="14.1" customHeight="1" x14ac:dyDescent="0.25">
      <c r="A5" s="276" t="s">
        <v>13</v>
      </c>
      <c r="B5" s="415">
        <v>14997</v>
      </c>
      <c r="C5" s="84">
        <v>10884</v>
      </c>
      <c r="D5" s="84">
        <v>4113</v>
      </c>
      <c r="E5" s="23">
        <v>7.89</v>
      </c>
      <c r="F5" s="23">
        <v>5.73</v>
      </c>
      <c r="G5" s="143">
        <v>2.1800000000000002</v>
      </c>
    </row>
    <row r="6" spans="1:12" ht="14.1" customHeight="1" x14ac:dyDescent="0.25">
      <c r="A6" s="244" t="s">
        <v>14</v>
      </c>
      <c r="B6" s="415">
        <v>3217</v>
      </c>
      <c r="C6" s="84">
        <v>2334</v>
      </c>
      <c r="D6" s="84">
        <v>883</v>
      </c>
      <c r="E6" s="23">
        <v>7.02</v>
      </c>
      <c r="F6" s="23">
        <v>5.09</v>
      </c>
      <c r="G6" s="143">
        <v>1.94</v>
      </c>
    </row>
    <row r="7" spans="1:12" ht="14.1" customHeight="1" x14ac:dyDescent="0.25">
      <c r="A7" s="245" t="s">
        <v>15</v>
      </c>
      <c r="B7" s="416">
        <v>98</v>
      </c>
      <c r="C7" s="85">
        <v>73</v>
      </c>
      <c r="D7" s="85">
        <v>25</v>
      </c>
      <c r="E7" s="144">
        <v>5.66</v>
      </c>
      <c r="F7" s="144">
        <v>4.21</v>
      </c>
      <c r="G7" s="96">
        <v>1.45</v>
      </c>
    </row>
    <row r="8" spans="1:12" ht="14.1" customHeight="1" x14ac:dyDescent="0.25">
      <c r="A8" s="245" t="s">
        <v>16</v>
      </c>
      <c r="B8" s="416">
        <v>140</v>
      </c>
      <c r="C8" s="85">
        <v>102</v>
      </c>
      <c r="D8" s="85">
        <v>38</v>
      </c>
      <c r="E8" s="144">
        <v>10.4</v>
      </c>
      <c r="F8" s="144">
        <v>7.57</v>
      </c>
      <c r="G8" s="96">
        <v>2.84</v>
      </c>
    </row>
    <row r="9" spans="1:12" ht="14.1" customHeight="1" x14ac:dyDescent="0.25">
      <c r="A9" s="245" t="s">
        <v>17</v>
      </c>
      <c r="B9" s="416">
        <v>153</v>
      </c>
      <c r="C9" s="85">
        <v>107</v>
      </c>
      <c r="D9" s="85">
        <v>46</v>
      </c>
      <c r="E9" s="144">
        <v>9.7100000000000009</v>
      </c>
      <c r="F9" s="144">
        <v>6.79</v>
      </c>
      <c r="G9" s="96">
        <v>2.94</v>
      </c>
      <c r="L9" s="145"/>
    </row>
    <row r="10" spans="1:12" ht="14.1" customHeight="1" x14ac:dyDescent="0.25">
      <c r="A10" s="245" t="s">
        <v>18</v>
      </c>
      <c r="B10" s="416">
        <v>128</v>
      </c>
      <c r="C10" s="85">
        <v>84</v>
      </c>
      <c r="D10" s="85">
        <v>44</v>
      </c>
      <c r="E10" s="144">
        <v>5.12</v>
      </c>
      <c r="F10" s="144">
        <v>3.36</v>
      </c>
      <c r="G10" s="96">
        <v>1.76</v>
      </c>
      <c r="K10" s="145"/>
      <c r="L10" s="145"/>
    </row>
    <row r="11" spans="1:12" ht="14.1" customHeight="1" x14ac:dyDescent="0.25">
      <c r="A11" s="245" t="s">
        <v>19</v>
      </c>
      <c r="B11" s="416">
        <v>80</v>
      </c>
      <c r="C11" s="85">
        <v>56</v>
      </c>
      <c r="D11" s="85">
        <v>24</v>
      </c>
      <c r="E11" s="144">
        <v>7.14</v>
      </c>
      <c r="F11" s="144">
        <v>5</v>
      </c>
      <c r="G11" s="96">
        <v>2.15</v>
      </c>
      <c r="K11" s="37"/>
      <c r="L11" s="37"/>
    </row>
    <row r="12" spans="1:12" ht="14.1" customHeight="1" x14ac:dyDescent="0.25">
      <c r="A12" s="245" t="s">
        <v>20</v>
      </c>
      <c r="B12" s="416">
        <v>115</v>
      </c>
      <c r="C12" s="85">
        <v>79</v>
      </c>
      <c r="D12" s="85">
        <v>36</v>
      </c>
      <c r="E12" s="144">
        <v>9.33</v>
      </c>
      <c r="F12" s="144">
        <v>6.41</v>
      </c>
      <c r="G12" s="96">
        <v>2.94</v>
      </c>
    </row>
    <row r="13" spans="1:12" ht="14.1" customHeight="1" x14ac:dyDescent="0.25">
      <c r="A13" s="246" t="s">
        <v>21</v>
      </c>
      <c r="B13" s="416">
        <v>71</v>
      </c>
      <c r="C13" s="85">
        <v>50</v>
      </c>
      <c r="D13" s="85">
        <v>21</v>
      </c>
      <c r="E13" s="144">
        <v>9.01</v>
      </c>
      <c r="F13" s="144">
        <v>6.35</v>
      </c>
      <c r="G13" s="96">
        <v>2.68</v>
      </c>
    </row>
    <row r="14" spans="1:12" ht="14.1" customHeight="1" x14ac:dyDescent="0.25">
      <c r="A14" s="245" t="s">
        <v>22</v>
      </c>
      <c r="B14" s="416">
        <v>87</v>
      </c>
      <c r="C14" s="85">
        <v>68</v>
      </c>
      <c r="D14" s="85">
        <v>19</v>
      </c>
      <c r="E14" s="144">
        <v>6.98</v>
      </c>
      <c r="F14" s="144">
        <v>5.45</v>
      </c>
      <c r="G14" s="96">
        <v>1.53</v>
      </c>
    </row>
    <row r="15" spans="1:12" ht="14.1" customHeight="1" x14ac:dyDescent="0.25">
      <c r="A15" s="245" t="s">
        <v>23</v>
      </c>
      <c r="B15" s="416">
        <v>137</v>
      </c>
      <c r="C15" s="85">
        <v>99</v>
      </c>
      <c r="D15" s="85">
        <v>38</v>
      </c>
      <c r="E15" s="144">
        <v>10.38</v>
      </c>
      <c r="F15" s="144">
        <v>7.5</v>
      </c>
      <c r="G15" s="96">
        <v>2.9</v>
      </c>
    </row>
    <row r="16" spans="1:12" ht="14.1" customHeight="1" x14ac:dyDescent="0.25">
      <c r="A16" s="245" t="s">
        <v>24</v>
      </c>
      <c r="B16" s="416">
        <v>534</v>
      </c>
      <c r="C16" s="85">
        <v>382</v>
      </c>
      <c r="D16" s="85">
        <v>152</v>
      </c>
      <c r="E16" s="144">
        <v>5.5</v>
      </c>
      <c r="F16" s="144">
        <v>3.94</v>
      </c>
      <c r="G16" s="96">
        <v>1.57</v>
      </c>
    </row>
    <row r="17" spans="1:7" ht="14.1" customHeight="1" x14ac:dyDescent="0.25">
      <c r="A17" s="245" t="s">
        <v>25</v>
      </c>
      <c r="B17" s="416">
        <v>67</v>
      </c>
      <c r="C17" s="85">
        <v>51</v>
      </c>
      <c r="D17" s="85">
        <v>16</v>
      </c>
      <c r="E17" s="144">
        <v>8.0500000000000007</v>
      </c>
      <c r="F17" s="144">
        <v>6.13</v>
      </c>
      <c r="G17" s="96">
        <v>1.93</v>
      </c>
    </row>
    <row r="18" spans="1:7" ht="14.1" customHeight="1" x14ac:dyDescent="0.25">
      <c r="A18" s="246" t="s">
        <v>26</v>
      </c>
      <c r="B18" s="416">
        <v>86</v>
      </c>
      <c r="C18" s="85">
        <v>66</v>
      </c>
      <c r="D18" s="85">
        <v>20</v>
      </c>
      <c r="E18" s="144">
        <v>6.69</v>
      </c>
      <c r="F18" s="144">
        <v>5.13</v>
      </c>
      <c r="G18" s="96">
        <v>1.56</v>
      </c>
    </row>
    <row r="19" spans="1:7" ht="14.1" customHeight="1" x14ac:dyDescent="0.25">
      <c r="A19" s="245" t="s">
        <v>27</v>
      </c>
      <c r="B19" s="416">
        <v>88</v>
      </c>
      <c r="C19" s="85">
        <v>59</v>
      </c>
      <c r="D19" s="85">
        <v>29</v>
      </c>
      <c r="E19" s="144">
        <v>8.89</v>
      </c>
      <c r="F19" s="144">
        <v>5.96</v>
      </c>
      <c r="G19" s="96">
        <v>2.95</v>
      </c>
    </row>
    <row r="20" spans="1:7" ht="14.1" customHeight="1" x14ac:dyDescent="0.25">
      <c r="A20" s="245" t="s">
        <v>28</v>
      </c>
      <c r="B20" s="416">
        <v>48</v>
      </c>
      <c r="C20" s="85">
        <v>36</v>
      </c>
      <c r="D20" s="85">
        <v>12</v>
      </c>
      <c r="E20" s="144">
        <v>4.76</v>
      </c>
      <c r="F20" s="144">
        <v>3.57</v>
      </c>
      <c r="G20" s="96">
        <v>1.19</v>
      </c>
    </row>
    <row r="21" spans="1:7" ht="14.1" customHeight="1" x14ac:dyDescent="0.25">
      <c r="A21" s="245" t="s">
        <v>29</v>
      </c>
      <c r="B21" s="416">
        <v>133</v>
      </c>
      <c r="C21" s="85">
        <v>98</v>
      </c>
      <c r="D21" s="85">
        <v>35</v>
      </c>
      <c r="E21" s="144">
        <v>9.1199999999999992</v>
      </c>
      <c r="F21" s="144">
        <v>6.72</v>
      </c>
      <c r="G21" s="96">
        <v>2.42</v>
      </c>
    </row>
    <row r="22" spans="1:7" ht="14.1" customHeight="1" x14ac:dyDescent="0.25">
      <c r="A22" s="245" t="s">
        <v>30</v>
      </c>
      <c r="B22" s="416">
        <v>136</v>
      </c>
      <c r="C22" s="85">
        <v>101</v>
      </c>
      <c r="D22" s="85">
        <v>35</v>
      </c>
      <c r="E22" s="144">
        <v>8.85</v>
      </c>
      <c r="F22" s="144">
        <v>6.57</v>
      </c>
      <c r="G22" s="96">
        <v>2.29</v>
      </c>
    </row>
    <row r="23" spans="1:7" ht="14.1" customHeight="1" x14ac:dyDescent="0.25">
      <c r="A23" s="245" t="s">
        <v>31</v>
      </c>
      <c r="B23" s="416">
        <v>110</v>
      </c>
      <c r="C23" s="85">
        <v>83</v>
      </c>
      <c r="D23" s="85">
        <v>27</v>
      </c>
      <c r="E23" s="144">
        <v>7.14</v>
      </c>
      <c r="F23" s="144">
        <v>5.39</v>
      </c>
      <c r="G23" s="96">
        <v>1.76</v>
      </c>
    </row>
    <row r="24" spans="1:7" ht="14.1" customHeight="1" x14ac:dyDescent="0.25">
      <c r="A24" s="245" t="s">
        <v>32</v>
      </c>
      <c r="B24" s="416">
        <v>1006</v>
      </c>
      <c r="C24" s="85">
        <v>740</v>
      </c>
      <c r="D24" s="85">
        <v>266</v>
      </c>
      <c r="E24" s="144">
        <v>6.89</v>
      </c>
      <c r="F24" s="144">
        <v>5.07</v>
      </c>
      <c r="G24" s="96">
        <v>1.83</v>
      </c>
    </row>
    <row r="25" spans="1:7" ht="14.1" customHeight="1" x14ac:dyDescent="0.25">
      <c r="A25" s="247" t="s">
        <v>33</v>
      </c>
      <c r="B25" s="415">
        <v>1369</v>
      </c>
      <c r="C25" s="84">
        <v>1044</v>
      </c>
      <c r="D25" s="84">
        <v>325</v>
      </c>
      <c r="E25" s="23">
        <v>7.88</v>
      </c>
      <c r="F25" s="23">
        <v>6.01</v>
      </c>
      <c r="G25" s="143">
        <v>1.88</v>
      </c>
    </row>
    <row r="26" spans="1:7" ht="14.1" customHeight="1" x14ac:dyDescent="0.25">
      <c r="A26" s="245" t="s">
        <v>34</v>
      </c>
      <c r="B26" s="416">
        <v>59</v>
      </c>
      <c r="C26" s="85">
        <v>35</v>
      </c>
      <c r="D26" s="85">
        <v>24</v>
      </c>
      <c r="E26" s="144">
        <v>7.8</v>
      </c>
      <c r="F26" s="144">
        <v>4.63</v>
      </c>
      <c r="G26" s="96">
        <v>3.19</v>
      </c>
    </row>
    <row r="27" spans="1:7" ht="14.1" customHeight="1" x14ac:dyDescent="0.25">
      <c r="A27" s="245" t="s">
        <v>35</v>
      </c>
      <c r="B27" s="416">
        <v>81</v>
      </c>
      <c r="C27" s="85">
        <v>62</v>
      </c>
      <c r="D27" s="85">
        <v>19</v>
      </c>
      <c r="E27" s="144">
        <v>7.18</v>
      </c>
      <c r="F27" s="144">
        <v>5.5</v>
      </c>
      <c r="G27" s="96">
        <v>1.69</v>
      </c>
    </row>
    <row r="28" spans="1:7" ht="14.1" customHeight="1" x14ac:dyDescent="0.25">
      <c r="A28" s="245" t="s">
        <v>36</v>
      </c>
      <c r="B28" s="416">
        <v>127</v>
      </c>
      <c r="C28" s="85">
        <v>96</v>
      </c>
      <c r="D28" s="85">
        <v>31</v>
      </c>
      <c r="E28" s="144">
        <v>8.9600000000000009</v>
      </c>
      <c r="F28" s="144">
        <v>6.77</v>
      </c>
      <c r="G28" s="96">
        <v>2.2000000000000002</v>
      </c>
    </row>
    <row r="29" spans="1:7" ht="14.1" customHeight="1" x14ac:dyDescent="0.25">
      <c r="A29" s="245" t="s">
        <v>37</v>
      </c>
      <c r="B29" s="416">
        <v>4</v>
      </c>
      <c r="C29" s="85">
        <v>4</v>
      </c>
      <c r="D29" s="85">
        <v>0</v>
      </c>
      <c r="E29" s="144">
        <v>4.91</v>
      </c>
      <c r="F29" s="144">
        <v>4.91</v>
      </c>
      <c r="G29" s="96">
        <v>0</v>
      </c>
    </row>
    <row r="30" spans="1:7" ht="14.1" customHeight="1" x14ac:dyDescent="0.25">
      <c r="A30" s="248" t="s">
        <v>318</v>
      </c>
      <c r="B30" s="416">
        <v>123</v>
      </c>
      <c r="C30" s="85">
        <v>92</v>
      </c>
      <c r="D30" s="85">
        <v>31</v>
      </c>
      <c r="E30" s="144">
        <v>9.1999999999999993</v>
      </c>
      <c r="F30" s="144">
        <v>6.88</v>
      </c>
      <c r="G30" s="96">
        <v>2.34</v>
      </c>
    </row>
    <row r="31" spans="1:7" ht="14.1" customHeight="1" x14ac:dyDescent="0.25">
      <c r="A31" s="245" t="s">
        <v>38</v>
      </c>
      <c r="B31" s="416">
        <v>166</v>
      </c>
      <c r="C31" s="85">
        <v>115</v>
      </c>
      <c r="D31" s="85">
        <v>51</v>
      </c>
      <c r="E31" s="144">
        <v>10.48</v>
      </c>
      <c r="F31" s="144">
        <v>7.26</v>
      </c>
      <c r="G31" s="96">
        <v>3.24</v>
      </c>
    </row>
    <row r="32" spans="1:7" ht="14.1" customHeight="1" x14ac:dyDescent="0.25">
      <c r="A32" s="245" t="s">
        <v>39</v>
      </c>
      <c r="B32" s="416">
        <v>77</v>
      </c>
      <c r="C32" s="85">
        <v>57</v>
      </c>
      <c r="D32" s="85">
        <v>20</v>
      </c>
      <c r="E32" s="144">
        <v>6.29</v>
      </c>
      <c r="F32" s="144">
        <v>4.6500000000000004</v>
      </c>
      <c r="G32" s="96">
        <v>1.64</v>
      </c>
    </row>
    <row r="33" spans="1:7" ht="14.1" customHeight="1" x14ac:dyDescent="0.25">
      <c r="A33" s="245" t="s">
        <v>40</v>
      </c>
      <c r="B33" s="416">
        <v>131</v>
      </c>
      <c r="C33" s="85">
        <v>107</v>
      </c>
      <c r="D33" s="85">
        <v>24</v>
      </c>
      <c r="E33" s="144">
        <v>7.96</v>
      </c>
      <c r="F33" s="144">
        <v>6.5</v>
      </c>
      <c r="G33" s="96">
        <v>1.47</v>
      </c>
    </row>
    <row r="34" spans="1:7" ht="14.1" customHeight="1" x14ac:dyDescent="0.25">
      <c r="A34" s="245" t="s">
        <v>41</v>
      </c>
      <c r="B34" s="416">
        <v>51</v>
      </c>
      <c r="C34" s="85">
        <v>36</v>
      </c>
      <c r="D34" s="85">
        <v>15</v>
      </c>
      <c r="E34" s="144">
        <v>5.95</v>
      </c>
      <c r="F34" s="144">
        <v>4.2</v>
      </c>
      <c r="G34" s="96">
        <v>1.76</v>
      </c>
    </row>
    <row r="35" spans="1:7" ht="14.1" customHeight="1" x14ac:dyDescent="0.25">
      <c r="A35" s="245" t="s">
        <v>42</v>
      </c>
      <c r="B35" s="416">
        <v>52</v>
      </c>
      <c r="C35" s="85">
        <v>40</v>
      </c>
      <c r="D35" s="85">
        <v>12</v>
      </c>
      <c r="E35" s="144">
        <v>7.18</v>
      </c>
      <c r="F35" s="144">
        <v>5.52</v>
      </c>
      <c r="G35" s="96">
        <v>1.67</v>
      </c>
    </row>
    <row r="36" spans="1:7" ht="14.1" customHeight="1" x14ac:dyDescent="0.25">
      <c r="A36" s="245" t="s">
        <v>43</v>
      </c>
      <c r="B36" s="416">
        <v>57</v>
      </c>
      <c r="C36" s="85">
        <v>46</v>
      </c>
      <c r="D36" s="85">
        <v>11</v>
      </c>
      <c r="E36" s="144">
        <v>7.9</v>
      </c>
      <c r="F36" s="144">
        <v>6.37</v>
      </c>
      <c r="G36" s="96">
        <v>1.53</v>
      </c>
    </row>
    <row r="37" spans="1:7" ht="14.1" customHeight="1" x14ac:dyDescent="0.25">
      <c r="A37" s="245" t="s">
        <v>44</v>
      </c>
      <c r="B37" s="416">
        <v>568</v>
      </c>
      <c r="C37" s="85">
        <v>450</v>
      </c>
      <c r="D37" s="85">
        <v>118</v>
      </c>
      <c r="E37" s="144">
        <v>7.76</v>
      </c>
      <c r="F37" s="144">
        <v>6.15</v>
      </c>
      <c r="G37" s="96">
        <v>1.62</v>
      </c>
    </row>
    <row r="38" spans="1:7" ht="14.1" customHeight="1" x14ac:dyDescent="0.25">
      <c r="A38" s="249" t="s">
        <v>45</v>
      </c>
      <c r="B38" s="415">
        <v>1526</v>
      </c>
      <c r="C38" s="84">
        <v>1167</v>
      </c>
      <c r="D38" s="84">
        <v>359</v>
      </c>
      <c r="E38" s="23">
        <v>7.52</v>
      </c>
      <c r="F38" s="23">
        <v>5.75</v>
      </c>
      <c r="G38" s="143">
        <v>1.78</v>
      </c>
    </row>
    <row r="39" spans="1:7" ht="14.1" customHeight="1" x14ac:dyDescent="0.25">
      <c r="A39" s="245" t="s">
        <v>46</v>
      </c>
      <c r="B39" s="416">
        <v>27</v>
      </c>
      <c r="C39" s="85">
        <v>18</v>
      </c>
      <c r="D39" s="85">
        <v>9</v>
      </c>
      <c r="E39" s="144">
        <v>4.97</v>
      </c>
      <c r="F39" s="144">
        <v>3.32</v>
      </c>
      <c r="G39" s="96">
        <v>1.66</v>
      </c>
    </row>
    <row r="40" spans="1:7" ht="14.1" customHeight="1" x14ac:dyDescent="0.25">
      <c r="A40" s="245" t="s">
        <v>47</v>
      </c>
      <c r="B40" s="416">
        <v>28</v>
      </c>
      <c r="C40" s="85">
        <v>21</v>
      </c>
      <c r="D40" s="85">
        <v>7</v>
      </c>
      <c r="E40" s="144">
        <v>8.0299999999999994</v>
      </c>
      <c r="F40" s="144">
        <v>6.03</v>
      </c>
      <c r="G40" s="96">
        <v>2.02</v>
      </c>
    </row>
    <row r="41" spans="1:7" ht="14.1" customHeight="1" x14ac:dyDescent="0.25">
      <c r="A41" s="245" t="s">
        <v>211</v>
      </c>
      <c r="B41" s="416">
        <v>180</v>
      </c>
      <c r="C41" s="85">
        <v>139</v>
      </c>
      <c r="D41" s="85">
        <v>41</v>
      </c>
      <c r="E41" s="144">
        <v>7.8</v>
      </c>
      <c r="F41" s="144">
        <v>6.02</v>
      </c>
      <c r="G41" s="96">
        <v>1.79</v>
      </c>
    </row>
    <row r="42" spans="1:7" ht="14.1" customHeight="1" x14ac:dyDescent="0.25">
      <c r="A42" s="245" t="s">
        <v>48</v>
      </c>
      <c r="B42" s="416">
        <v>548</v>
      </c>
      <c r="C42" s="85">
        <v>418</v>
      </c>
      <c r="D42" s="85">
        <v>130</v>
      </c>
      <c r="E42" s="144">
        <v>7.47</v>
      </c>
      <c r="F42" s="144">
        <v>5.69</v>
      </c>
      <c r="G42" s="96">
        <v>1.78</v>
      </c>
    </row>
    <row r="43" spans="1:7" ht="14.1" customHeight="1" x14ac:dyDescent="0.25">
      <c r="A43" s="245" t="s">
        <v>49</v>
      </c>
      <c r="B43" s="416">
        <v>105</v>
      </c>
      <c r="C43" s="85">
        <v>83</v>
      </c>
      <c r="D43" s="85">
        <v>22</v>
      </c>
      <c r="E43" s="144">
        <v>7.33</v>
      </c>
      <c r="F43" s="144">
        <v>5.8</v>
      </c>
      <c r="G43" s="96">
        <v>1.55</v>
      </c>
    </row>
    <row r="44" spans="1:7" ht="14.1" customHeight="1" x14ac:dyDescent="0.25">
      <c r="A44" s="245" t="s">
        <v>50</v>
      </c>
      <c r="B44" s="416">
        <v>221</v>
      </c>
      <c r="C44" s="85">
        <v>170</v>
      </c>
      <c r="D44" s="85">
        <v>51</v>
      </c>
      <c r="E44" s="144">
        <v>7.73</v>
      </c>
      <c r="F44" s="144">
        <v>5.94</v>
      </c>
      <c r="G44" s="96">
        <v>1.79</v>
      </c>
    </row>
    <row r="45" spans="1:7" ht="14.1" customHeight="1" x14ac:dyDescent="0.25">
      <c r="A45" s="245" t="s">
        <v>51</v>
      </c>
      <c r="B45" s="416">
        <v>380</v>
      </c>
      <c r="C45" s="85">
        <v>288</v>
      </c>
      <c r="D45" s="85">
        <v>92</v>
      </c>
      <c r="E45" s="144">
        <v>7.7</v>
      </c>
      <c r="F45" s="144">
        <v>5.84</v>
      </c>
      <c r="G45" s="96">
        <v>1.88</v>
      </c>
    </row>
    <row r="46" spans="1:7" ht="14.1" customHeight="1" x14ac:dyDescent="0.25">
      <c r="A46" s="245" t="s">
        <v>213</v>
      </c>
      <c r="B46" s="416">
        <v>37</v>
      </c>
      <c r="C46" s="85">
        <v>30</v>
      </c>
      <c r="D46" s="85">
        <v>7</v>
      </c>
      <c r="E46" s="144">
        <v>6.88</v>
      </c>
      <c r="F46" s="144">
        <v>5.58</v>
      </c>
      <c r="G46" s="96">
        <v>1.31</v>
      </c>
    </row>
    <row r="47" spans="1:7" ht="14.1" customHeight="1" x14ac:dyDescent="0.25">
      <c r="A47" s="250" t="s">
        <v>52</v>
      </c>
      <c r="B47" s="415">
        <v>1354</v>
      </c>
      <c r="C47" s="84">
        <v>738</v>
      </c>
      <c r="D47" s="84">
        <v>616</v>
      </c>
      <c r="E47" s="23">
        <v>8.7200000000000006</v>
      </c>
      <c r="F47" s="23">
        <v>4.75</v>
      </c>
      <c r="G47" s="143">
        <v>3.99</v>
      </c>
    </row>
    <row r="48" spans="1:7" ht="14.1" customHeight="1" x14ac:dyDescent="0.25">
      <c r="A48" s="245" t="s">
        <v>53</v>
      </c>
      <c r="B48" s="416">
        <v>422</v>
      </c>
      <c r="C48" s="85">
        <v>186</v>
      </c>
      <c r="D48" s="85">
        <v>236</v>
      </c>
      <c r="E48" s="144">
        <v>7.95</v>
      </c>
      <c r="F48" s="144">
        <v>3.51</v>
      </c>
      <c r="G48" s="96">
        <v>4.46</v>
      </c>
    </row>
    <row r="49" spans="1:7" ht="14.1" customHeight="1" x14ac:dyDescent="0.25">
      <c r="A49" s="245" t="s">
        <v>54</v>
      </c>
      <c r="B49" s="416">
        <v>105</v>
      </c>
      <c r="C49" s="85">
        <v>67</v>
      </c>
      <c r="D49" s="85">
        <v>38</v>
      </c>
      <c r="E49" s="144">
        <v>13.43</v>
      </c>
      <c r="F49" s="144">
        <v>8.57</v>
      </c>
      <c r="G49" s="96">
        <v>4.9000000000000004</v>
      </c>
    </row>
    <row r="50" spans="1:7" ht="14.1" customHeight="1" x14ac:dyDescent="0.25">
      <c r="A50" s="245" t="s">
        <v>55</v>
      </c>
      <c r="B50" s="416">
        <v>74</v>
      </c>
      <c r="C50" s="85">
        <v>55</v>
      </c>
      <c r="D50" s="85">
        <v>19</v>
      </c>
      <c r="E50" s="144">
        <v>6.07</v>
      </c>
      <c r="F50" s="144">
        <v>4.51</v>
      </c>
      <c r="G50" s="96">
        <v>1.57</v>
      </c>
    </row>
    <row r="51" spans="1:7" ht="14.1" customHeight="1" x14ac:dyDescent="0.25">
      <c r="A51" s="245" t="s">
        <v>56</v>
      </c>
      <c r="B51" s="416">
        <v>46</v>
      </c>
      <c r="C51" s="85">
        <v>29</v>
      </c>
      <c r="D51" s="85">
        <v>17</v>
      </c>
      <c r="E51" s="144">
        <v>8.2200000000000006</v>
      </c>
      <c r="F51" s="144">
        <v>5.18</v>
      </c>
      <c r="G51" s="96">
        <v>3.05</v>
      </c>
    </row>
    <row r="52" spans="1:7" ht="14.1" customHeight="1" x14ac:dyDescent="0.25">
      <c r="A52" s="245" t="s">
        <v>57</v>
      </c>
      <c r="B52" s="416">
        <v>85</v>
      </c>
      <c r="C52" s="85">
        <v>53</v>
      </c>
      <c r="D52" s="85">
        <v>32</v>
      </c>
      <c r="E52" s="144">
        <v>8.5399999999999991</v>
      </c>
      <c r="F52" s="144">
        <v>5.32</v>
      </c>
      <c r="G52" s="96">
        <v>3.23</v>
      </c>
    </row>
    <row r="53" spans="1:7" ht="14.1" customHeight="1" x14ac:dyDescent="0.25">
      <c r="A53" s="245" t="s">
        <v>58</v>
      </c>
      <c r="B53" s="416">
        <v>285</v>
      </c>
      <c r="C53" s="85">
        <v>152</v>
      </c>
      <c r="D53" s="85">
        <v>133</v>
      </c>
      <c r="E53" s="144">
        <v>9.4600000000000009</v>
      </c>
      <c r="F53" s="144">
        <v>5.04</v>
      </c>
      <c r="G53" s="96">
        <v>4.4400000000000004</v>
      </c>
    </row>
    <row r="54" spans="1:7" ht="14.1" customHeight="1" x14ac:dyDescent="0.25">
      <c r="A54" s="245" t="s">
        <v>59</v>
      </c>
      <c r="B54" s="416">
        <v>337</v>
      </c>
      <c r="C54" s="85">
        <v>196</v>
      </c>
      <c r="D54" s="85">
        <v>141</v>
      </c>
      <c r="E54" s="144">
        <v>9.2200000000000006</v>
      </c>
      <c r="F54" s="144">
        <v>5.37</v>
      </c>
      <c r="G54" s="96">
        <v>3.88</v>
      </c>
    </row>
    <row r="55" spans="1:7" ht="14.1" customHeight="1" x14ac:dyDescent="0.25">
      <c r="A55" s="244" t="s">
        <v>60</v>
      </c>
      <c r="B55" s="415">
        <v>3324</v>
      </c>
      <c r="C55" s="84">
        <v>2483</v>
      </c>
      <c r="D55" s="84">
        <v>841</v>
      </c>
      <c r="E55" s="23">
        <v>8.68</v>
      </c>
      <c r="F55" s="23">
        <v>6.48</v>
      </c>
      <c r="G55" s="143">
        <v>2.21</v>
      </c>
    </row>
    <row r="56" spans="1:7" ht="14.1" customHeight="1" x14ac:dyDescent="0.25">
      <c r="A56" s="245" t="s">
        <v>61</v>
      </c>
      <c r="B56" s="416">
        <v>434</v>
      </c>
      <c r="C56" s="85">
        <v>320</v>
      </c>
      <c r="D56" s="85">
        <v>114</v>
      </c>
      <c r="E56" s="144">
        <v>7.76</v>
      </c>
      <c r="F56" s="144">
        <v>5.72</v>
      </c>
      <c r="G56" s="96">
        <v>2.0499999999999998</v>
      </c>
    </row>
    <row r="57" spans="1:7" ht="14.1" customHeight="1" x14ac:dyDescent="0.25">
      <c r="A57" s="245" t="s">
        <v>62</v>
      </c>
      <c r="B57" s="416">
        <v>83</v>
      </c>
      <c r="C57" s="85">
        <v>65</v>
      </c>
      <c r="D57" s="85">
        <v>18</v>
      </c>
      <c r="E57" s="144">
        <v>8.64</v>
      </c>
      <c r="F57" s="144">
        <v>6.77</v>
      </c>
      <c r="G57" s="96">
        <v>1.89</v>
      </c>
    </row>
    <row r="58" spans="1:7" ht="14.1" customHeight="1" x14ac:dyDescent="0.25">
      <c r="A58" s="245" t="s">
        <v>63</v>
      </c>
      <c r="B58" s="416">
        <v>43</v>
      </c>
      <c r="C58" s="85">
        <v>35</v>
      </c>
      <c r="D58" s="85">
        <v>8</v>
      </c>
      <c r="E58" s="144">
        <v>5.4</v>
      </c>
      <c r="F58" s="144">
        <v>4.3899999999999997</v>
      </c>
      <c r="G58" s="96">
        <v>1.01</v>
      </c>
    </row>
    <row r="59" spans="1:7" ht="14.1" customHeight="1" x14ac:dyDescent="0.25">
      <c r="A59" s="245" t="s">
        <v>64</v>
      </c>
      <c r="B59" s="416">
        <v>593</v>
      </c>
      <c r="C59" s="85">
        <v>445</v>
      </c>
      <c r="D59" s="85">
        <v>148</v>
      </c>
      <c r="E59" s="144">
        <v>10.58</v>
      </c>
      <c r="F59" s="144">
        <v>7.94</v>
      </c>
      <c r="G59" s="96">
        <v>2.66</v>
      </c>
    </row>
    <row r="60" spans="1:7" ht="14.1" customHeight="1" x14ac:dyDescent="0.25">
      <c r="A60" s="245" t="s">
        <v>65</v>
      </c>
      <c r="B60" s="416">
        <v>173</v>
      </c>
      <c r="C60" s="85">
        <v>135</v>
      </c>
      <c r="D60" s="85">
        <v>38</v>
      </c>
      <c r="E60" s="144">
        <v>8.19</v>
      </c>
      <c r="F60" s="144">
        <v>6.39</v>
      </c>
      <c r="G60" s="96">
        <v>1.81</v>
      </c>
    </row>
    <row r="61" spans="1:7" ht="14.1" customHeight="1" x14ac:dyDescent="0.25">
      <c r="A61" s="245" t="s">
        <v>66</v>
      </c>
      <c r="B61" s="416">
        <v>130</v>
      </c>
      <c r="C61" s="85">
        <v>111</v>
      </c>
      <c r="D61" s="85">
        <v>19</v>
      </c>
      <c r="E61" s="144">
        <v>7.89</v>
      </c>
      <c r="F61" s="144">
        <v>6.74</v>
      </c>
      <c r="G61" s="96">
        <v>1.1599999999999999</v>
      </c>
    </row>
    <row r="62" spans="1:7" ht="14.1" customHeight="1" x14ac:dyDescent="0.25">
      <c r="A62" s="245" t="s">
        <v>67</v>
      </c>
      <c r="B62" s="416">
        <v>286</v>
      </c>
      <c r="C62" s="85">
        <v>216</v>
      </c>
      <c r="D62" s="85">
        <v>70</v>
      </c>
      <c r="E62" s="144">
        <v>7.63</v>
      </c>
      <c r="F62" s="144">
        <v>5.76</v>
      </c>
      <c r="G62" s="96">
        <v>1.88</v>
      </c>
    </row>
    <row r="63" spans="1:7" ht="14.1" customHeight="1" x14ac:dyDescent="0.25">
      <c r="A63" s="245" t="s">
        <v>68</v>
      </c>
      <c r="B63" s="416">
        <v>155</v>
      </c>
      <c r="C63" s="85">
        <v>116</v>
      </c>
      <c r="D63" s="85">
        <v>39</v>
      </c>
      <c r="E63" s="144">
        <v>9.44</v>
      </c>
      <c r="F63" s="144">
        <v>7.07</v>
      </c>
      <c r="G63" s="96">
        <v>2.39</v>
      </c>
    </row>
    <row r="64" spans="1:7" ht="14.1" customHeight="1" x14ac:dyDescent="0.25">
      <c r="A64" s="245" t="s">
        <v>69</v>
      </c>
      <c r="B64" s="416">
        <v>347</v>
      </c>
      <c r="C64" s="85">
        <v>235</v>
      </c>
      <c r="D64" s="85">
        <v>112</v>
      </c>
      <c r="E64" s="144">
        <v>8.92</v>
      </c>
      <c r="F64" s="144">
        <v>6.04</v>
      </c>
      <c r="G64" s="96">
        <v>2.9</v>
      </c>
    </row>
    <row r="65" spans="1:7" ht="14.1" customHeight="1" x14ac:dyDescent="0.25">
      <c r="A65" s="245" t="s">
        <v>70</v>
      </c>
      <c r="B65" s="416">
        <v>218</v>
      </c>
      <c r="C65" s="85">
        <v>160</v>
      </c>
      <c r="D65" s="85">
        <v>58</v>
      </c>
      <c r="E65" s="144">
        <v>8.11</v>
      </c>
      <c r="F65" s="144">
        <v>5.96</v>
      </c>
      <c r="G65" s="96">
        <v>2.17</v>
      </c>
    </row>
    <row r="66" spans="1:7" ht="14.1" customHeight="1" x14ac:dyDescent="0.25">
      <c r="A66" s="245" t="s">
        <v>71</v>
      </c>
      <c r="B66" s="416">
        <v>116</v>
      </c>
      <c r="C66" s="85">
        <v>97</v>
      </c>
      <c r="D66" s="85">
        <v>19</v>
      </c>
      <c r="E66" s="144">
        <v>8.4</v>
      </c>
      <c r="F66" s="144">
        <v>7.03</v>
      </c>
      <c r="G66" s="96">
        <v>1.39</v>
      </c>
    </row>
    <row r="67" spans="1:7" ht="14.1" customHeight="1" x14ac:dyDescent="0.25">
      <c r="A67" s="245" t="s">
        <v>72</v>
      </c>
      <c r="B67" s="416">
        <v>386</v>
      </c>
      <c r="C67" s="85">
        <v>289</v>
      </c>
      <c r="D67" s="85">
        <v>97</v>
      </c>
      <c r="E67" s="144">
        <v>9.5500000000000007</v>
      </c>
      <c r="F67" s="144">
        <v>7.15</v>
      </c>
      <c r="G67" s="96">
        <v>2.42</v>
      </c>
    </row>
    <row r="68" spans="1:7" ht="14.1" customHeight="1" x14ac:dyDescent="0.25">
      <c r="A68" s="246" t="s">
        <v>73</v>
      </c>
      <c r="B68" s="416">
        <v>206</v>
      </c>
      <c r="C68" s="85">
        <v>150</v>
      </c>
      <c r="D68" s="85">
        <v>56</v>
      </c>
      <c r="E68" s="144">
        <v>7.55</v>
      </c>
      <c r="F68" s="144">
        <v>5.5</v>
      </c>
      <c r="G68" s="96">
        <v>2.06</v>
      </c>
    </row>
    <row r="69" spans="1:7" ht="14.1" customHeight="1" x14ac:dyDescent="0.25">
      <c r="A69" s="245" t="s">
        <v>74</v>
      </c>
      <c r="B69" s="416">
        <v>154</v>
      </c>
      <c r="C69" s="85">
        <v>109</v>
      </c>
      <c r="D69" s="85">
        <v>45</v>
      </c>
      <c r="E69" s="144">
        <v>10.51</v>
      </c>
      <c r="F69" s="144">
        <v>7.44</v>
      </c>
      <c r="G69" s="96">
        <v>3.09</v>
      </c>
    </row>
    <row r="70" spans="1:7" ht="14.1" customHeight="1" x14ac:dyDescent="0.25">
      <c r="A70" s="249" t="s">
        <v>75</v>
      </c>
      <c r="B70" s="415">
        <v>1271</v>
      </c>
      <c r="C70" s="84">
        <v>966</v>
      </c>
      <c r="D70" s="84">
        <v>305</v>
      </c>
      <c r="E70" s="23">
        <v>7.25</v>
      </c>
      <c r="F70" s="23">
        <v>5.51</v>
      </c>
      <c r="G70" s="143">
        <v>1.75</v>
      </c>
    </row>
    <row r="71" spans="1:7" ht="14.1" customHeight="1" x14ac:dyDescent="0.25">
      <c r="A71" s="245" t="s">
        <v>76</v>
      </c>
      <c r="B71" s="416">
        <v>82</v>
      </c>
      <c r="C71" s="85">
        <v>64</v>
      </c>
      <c r="D71" s="85">
        <v>18</v>
      </c>
      <c r="E71" s="144">
        <v>7.64</v>
      </c>
      <c r="F71" s="144">
        <v>5.96</v>
      </c>
      <c r="G71" s="96">
        <v>1.69</v>
      </c>
    </row>
    <row r="72" spans="1:7" ht="14.1" customHeight="1" x14ac:dyDescent="0.25">
      <c r="A72" s="245" t="s">
        <v>77</v>
      </c>
      <c r="B72" s="416">
        <v>457</v>
      </c>
      <c r="C72" s="85">
        <v>346</v>
      </c>
      <c r="D72" s="85">
        <v>111</v>
      </c>
      <c r="E72" s="144">
        <v>7.59</v>
      </c>
      <c r="F72" s="144">
        <v>5.75</v>
      </c>
      <c r="G72" s="96">
        <v>1.85</v>
      </c>
    </row>
    <row r="73" spans="1:7" ht="14.1" customHeight="1" x14ac:dyDescent="0.25">
      <c r="A73" s="245" t="s">
        <v>78</v>
      </c>
      <c r="B73" s="416">
        <v>317</v>
      </c>
      <c r="C73" s="85">
        <v>246</v>
      </c>
      <c r="D73" s="85">
        <v>71</v>
      </c>
      <c r="E73" s="144">
        <v>5.52</v>
      </c>
      <c r="F73" s="144">
        <v>4.29</v>
      </c>
      <c r="G73" s="96">
        <v>1.24</v>
      </c>
    </row>
    <row r="74" spans="1:7" ht="14.1" customHeight="1" x14ac:dyDescent="0.25">
      <c r="A74" s="245" t="s">
        <v>79</v>
      </c>
      <c r="B74" s="416">
        <v>139</v>
      </c>
      <c r="C74" s="85">
        <v>107</v>
      </c>
      <c r="D74" s="85">
        <v>32</v>
      </c>
      <c r="E74" s="144">
        <v>5.4</v>
      </c>
      <c r="F74" s="144">
        <v>4.16</v>
      </c>
      <c r="G74" s="96">
        <v>1.25</v>
      </c>
    </row>
    <row r="75" spans="1:7" ht="14.1" customHeight="1" x14ac:dyDescent="0.25">
      <c r="A75" s="245" t="s">
        <v>80</v>
      </c>
      <c r="B75" s="416">
        <v>45</v>
      </c>
      <c r="C75" s="85">
        <v>28</v>
      </c>
      <c r="D75" s="85">
        <v>17</v>
      </c>
      <c r="E75" s="144">
        <v>5.44</v>
      </c>
      <c r="F75" s="144">
        <v>3.38</v>
      </c>
      <c r="G75" s="96">
        <v>2.06</v>
      </c>
    </row>
    <row r="76" spans="1:7" ht="14.1" customHeight="1" x14ac:dyDescent="0.25">
      <c r="A76" s="248" t="s">
        <v>319</v>
      </c>
      <c r="B76" s="416">
        <v>133</v>
      </c>
      <c r="C76" s="85">
        <v>111</v>
      </c>
      <c r="D76" s="85">
        <v>22</v>
      </c>
      <c r="E76" s="144">
        <v>5.69</v>
      </c>
      <c r="F76" s="144">
        <v>4.75</v>
      </c>
      <c r="G76" s="96">
        <v>0.95</v>
      </c>
    </row>
    <row r="77" spans="1:7" ht="14.1" customHeight="1" x14ac:dyDescent="0.25">
      <c r="A77" s="245" t="s">
        <v>81</v>
      </c>
      <c r="B77" s="416">
        <v>415</v>
      </c>
      <c r="C77" s="85">
        <v>310</v>
      </c>
      <c r="D77" s="85">
        <v>105</v>
      </c>
      <c r="E77" s="144">
        <v>8.84</v>
      </c>
      <c r="F77" s="144">
        <v>6.6</v>
      </c>
      <c r="G77" s="96">
        <v>2.25</v>
      </c>
    </row>
    <row r="78" spans="1:7" ht="14.1" customHeight="1" x14ac:dyDescent="0.25">
      <c r="A78" s="244" t="s">
        <v>82</v>
      </c>
      <c r="B78" s="415">
        <v>2182</v>
      </c>
      <c r="C78" s="84">
        <v>1592</v>
      </c>
      <c r="D78" s="84">
        <v>590</v>
      </c>
      <c r="E78" s="23">
        <v>8.15</v>
      </c>
      <c r="F78" s="23">
        <v>5.94</v>
      </c>
      <c r="G78" s="143">
        <v>2.2200000000000002</v>
      </c>
    </row>
    <row r="79" spans="1:7" ht="14.1" customHeight="1" x14ac:dyDescent="0.25">
      <c r="A79" s="245" t="s">
        <v>83</v>
      </c>
      <c r="B79" s="416">
        <v>40</v>
      </c>
      <c r="C79" s="85">
        <v>22</v>
      </c>
      <c r="D79" s="85">
        <v>18</v>
      </c>
      <c r="E79" s="144">
        <v>10.210000000000001</v>
      </c>
      <c r="F79" s="144">
        <v>5.62</v>
      </c>
      <c r="G79" s="96">
        <v>4.62</v>
      </c>
    </row>
    <row r="80" spans="1:7" ht="14.1" customHeight="1" x14ac:dyDescent="0.25">
      <c r="A80" s="245" t="s">
        <v>84</v>
      </c>
      <c r="B80" s="416">
        <v>144</v>
      </c>
      <c r="C80" s="85">
        <v>121</v>
      </c>
      <c r="D80" s="85">
        <v>23</v>
      </c>
      <c r="E80" s="144">
        <v>8.8699999999999992</v>
      </c>
      <c r="F80" s="144">
        <v>7.46</v>
      </c>
      <c r="G80" s="96">
        <v>1.43</v>
      </c>
    </row>
    <row r="81" spans="1:7" ht="14.1" customHeight="1" x14ac:dyDescent="0.25">
      <c r="A81" s="245" t="s">
        <v>85</v>
      </c>
      <c r="B81" s="416">
        <v>62</v>
      </c>
      <c r="C81" s="85">
        <v>43</v>
      </c>
      <c r="D81" s="85">
        <v>19</v>
      </c>
      <c r="E81" s="144">
        <v>8.36</v>
      </c>
      <c r="F81" s="144">
        <v>5.8</v>
      </c>
      <c r="G81" s="96">
        <v>2.58</v>
      </c>
    </row>
    <row r="82" spans="1:7" ht="14.1" customHeight="1" x14ac:dyDescent="0.25">
      <c r="A82" s="245" t="s">
        <v>86</v>
      </c>
      <c r="B82" s="416">
        <v>47</v>
      </c>
      <c r="C82" s="85">
        <v>28</v>
      </c>
      <c r="D82" s="85">
        <v>19</v>
      </c>
      <c r="E82" s="144">
        <v>6.16</v>
      </c>
      <c r="F82" s="144">
        <v>3.67</v>
      </c>
      <c r="G82" s="96">
        <v>2.5</v>
      </c>
    </row>
    <row r="83" spans="1:7" ht="14.1" customHeight="1" x14ac:dyDescent="0.25">
      <c r="A83" s="245" t="s">
        <v>87</v>
      </c>
      <c r="B83" s="416">
        <v>277</v>
      </c>
      <c r="C83" s="85">
        <v>180</v>
      </c>
      <c r="D83" s="85">
        <v>97</v>
      </c>
      <c r="E83" s="144">
        <v>9.58</v>
      </c>
      <c r="F83" s="144">
        <v>6.23</v>
      </c>
      <c r="G83" s="96">
        <v>3.38</v>
      </c>
    </row>
    <row r="84" spans="1:7" ht="14.1" customHeight="1" x14ac:dyDescent="0.25">
      <c r="A84" s="245" t="s">
        <v>88</v>
      </c>
      <c r="B84" s="416">
        <v>167</v>
      </c>
      <c r="C84" s="85">
        <v>133</v>
      </c>
      <c r="D84" s="85">
        <v>34</v>
      </c>
      <c r="E84" s="144">
        <v>10.51</v>
      </c>
      <c r="F84" s="144">
        <v>8.3699999999999992</v>
      </c>
      <c r="G84" s="96">
        <v>2.16</v>
      </c>
    </row>
    <row r="85" spans="1:7" ht="14.1" customHeight="1" x14ac:dyDescent="0.25">
      <c r="A85" s="245" t="s">
        <v>89</v>
      </c>
      <c r="B85" s="416">
        <v>335</v>
      </c>
      <c r="C85" s="85">
        <v>252</v>
      </c>
      <c r="D85" s="85">
        <v>83</v>
      </c>
      <c r="E85" s="144">
        <v>8.36</v>
      </c>
      <c r="F85" s="144">
        <v>6.29</v>
      </c>
      <c r="G85" s="96">
        <v>2.08</v>
      </c>
    </row>
    <row r="86" spans="1:7" ht="14.1" customHeight="1" x14ac:dyDescent="0.25">
      <c r="A86" s="245" t="s">
        <v>90</v>
      </c>
      <c r="B86" s="416">
        <v>252</v>
      </c>
      <c r="C86" s="85">
        <v>184</v>
      </c>
      <c r="D86" s="85">
        <v>68</v>
      </c>
      <c r="E86" s="144">
        <v>7.05</v>
      </c>
      <c r="F86" s="144">
        <v>5.14</v>
      </c>
      <c r="G86" s="96">
        <v>1.91</v>
      </c>
    </row>
    <row r="87" spans="1:7" ht="14.1" customHeight="1" x14ac:dyDescent="0.25">
      <c r="A87" s="245" t="s">
        <v>91</v>
      </c>
      <c r="B87" s="416">
        <v>301</v>
      </c>
      <c r="C87" s="85">
        <v>230</v>
      </c>
      <c r="D87" s="85">
        <v>71</v>
      </c>
      <c r="E87" s="144">
        <v>9.14</v>
      </c>
      <c r="F87" s="144">
        <v>6.98</v>
      </c>
      <c r="G87" s="96">
        <v>2.17</v>
      </c>
    </row>
    <row r="88" spans="1:7" ht="14.1" customHeight="1" x14ac:dyDescent="0.25">
      <c r="A88" s="245" t="s">
        <v>92</v>
      </c>
      <c r="B88" s="416">
        <v>244</v>
      </c>
      <c r="C88" s="85">
        <v>174</v>
      </c>
      <c r="D88" s="85">
        <v>70</v>
      </c>
      <c r="E88" s="144">
        <v>6.36</v>
      </c>
      <c r="F88" s="144">
        <v>4.54</v>
      </c>
      <c r="G88" s="96">
        <v>1.83</v>
      </c>
    </row>
    <row r="89" spans="1:7" ht="14.1" customHeight="1" x14ac:dyDescent="0.25">
      <c r="A89" s="245" t="s">
        <v>93</v>
      </c>
      <c r="B89" s="416">
        <v>229</v>
      </c>
      <c r="C89" s="85">
        <v>160</v>
      </c>
      <c r="D89" s="85">
        <v>69</v>
      </c>
      <c r="E89" s="144">
        <v>8.65</v>
      </c>
      <c r="F89" s="144">
        <v>6.04</v>
      </c>
      <c r="G89" s="96">
        <v>2.62</v>
      </c>
    </row>
    <row r="90" spans="1:7" ht="14.1" customHeight="1" x14ac:dyDescent="0.25">
      <c r="A90" s="245" t="s">
        <v>94</v>
      </c>
      <c r="B90" s="416">
        <v>84</v>
      </c>
      <c r="C90" s="85">
        <v>65</v>
      </c>
      <c r="D90" s="85">
        <v>19</v>
      </c>
      <c r="E90" s="144">
        <v>5.89</v>
      </c>
      <c r="F90" s="144">
        <v>4.55</v>
      </c>
      <c r="G90" s="96">
        <v>1.34</v>
      </c>
    </row>
    <row r="91" spans="1:7" ht="14.1" customHeight="1" x14ac:dyDescent="0.25">
      <c r="A91" s="249" t="s">
        <v>95</v>
      </c>
      <c r="B91" s="415">
        <v>754</v>
      </c>
      <c r="C91" s="84">
        <v>560</v>
      </c>
      <c r="D91" s="84">
        <v>194</v>
      </c>
      <c r="E91" s="23">
        <v>9.07</v>
      </c>
      <c r="F91" s="23">
        <v>6.73</v>
      </c>
      <c r="G91" s="143">
        <v>2.35</v>
      </c>
    </row>
    <row r="92" spans="1:7" ht="14.1" customHeight="1" x14ac:dyDescent="0.25">
      <c r="A92" s="245" t="s">
        <v>96</v>
      </c>
      <c r="B92" s="416">
        <v>148</v>
      </c>
      <c r="C92" s="85">
        <v>110</v>
      </c>
      <c r="D92" s="85">
        <v>38</v>
      </c>
      <c r="E92" s="144">
        <v>9.57</v>
      </c>
      <c r="F92" s="144">
        <v>7.11</v>
      </c>
      <c r="G92" s="96">
        <v>2.48</v>
      </c>
    </row>
    <row r="93" spans="1:7" ht="14.1" customHeight="1" x14ac:dyDescent="0.25">
      <c r="A93" s="245" t="s">
        <v>97</v>
      </c>
      <c r="B93" s="416">
        <v>44</v>
      </c>
      <c r="C93" s="85">
        <v>24</v>
      </c>
      <c r="D93" s="85">
        <v>20</v>
      </c>
      <c r="E93" s="144">
        <v>10.78</v>
      </c>
      <c r="F93" s="144">
        <v>5.88</v>
      </c>
      <c r="G93" s="96">
        <v>4.93</v>
      </c>
    </row>
    <row r="94" spans="1:7" ht="14.1" customHeight="1" x14ac:dyDescent="0.25">
      <c r="A94" s="245" t="s">
        <v>98</v>
      </c>
      <c r="B94" s="416">
        <v>159</v>
      </c>
      <c r="C94" s="85">
        <v>101</v>
      </c>
      <c r="D94" s="85">
        <v>58</v>
      </c>
      <c r="E94" s="144">
        <v>6.72</v>
      </c>
      <c r="F94" s="144">
        <v>4.2699999999999996</v>
      </c>
      <c r="G94" s="96">
        <v>2.46</v>
      </c>
    </row>
    <row r="95" spans="1:7" ht="14.1" customHeight="1" x14ac:dyDescent="0.25">
      <c r="A95" s="245" t="s">
        <v>99</v>
      </c>
      <c r="B95" s="416">
        <v>202</v>
      </c>
      <c r="C95" s="85">
        <v>168</v>
      </c>
      <c r="D95" s="85">
        <v>34</v>
      </c>
      <c r="E95" s="144">
        <v>11.21</v>
      </c>
      <c r="F95" s="144">
        <v>9.33</v>
      </c>
      <c r="G95" s="96">
        <v>1.91</v>
      </c>
    </row>
    <row r="96" spans="1:7" ht="14.1" customHeight="1" x14ac:dyDescent="0.25">
      <c r="A96" s="245" t="s">
        <v>100</v>
      </c>
      <c r="B96" s="416">
        <v>86</v>
      </c>
      <c r="C96" s="85">
        <v>75</v>
      </c>
      <c r="D96" s="85">
        <v>11</v>
      </c>
      <c r="E96" s="144">
        <v>8.25</v>
      </c>
      <c r="F96" s="144">
        <v>7.19</v>
      </c>
      <c r="G96" s="96">
        <v>1.06</v>
      </c>
    </row>
    <row r="97" spans="1:7" ht="14.1" customHeight="1" x14ac:dyDescent="0.25">
      <c r="A97" s="245" t="s">
        <v>101</v>
      </c>
      <c r="B97" s="416">
        <v>8</v>
      </c>
      <c r="C97" s="85">
        <v>7</v>
      </c>
      <c r="D97" s="85">
        <v>1</v>
      </c>
      <c r="E97" s="144">
        <v>4.8899999999999997</v>
      </c>
      <c r="F97" s="144">
        <v>4.28</v>
      </c>
      <c r="G97" s="96">
        <v>0.61</v>
      </c>
    </row>
    <row r="98" spans="1:7" ht="14.1" customHeight="1" x14ac:dyDescent="0.25">
      <c r="A98" s="245" t="s">
        <v>102</v>
      </c>
      <c r="B98" s="416">
        <v>59</v>
      </c>
      <c r="C98" s="85">
        <v>48</v>
      </c>
      <c r="D98" s="85">
        <v>11</v>
      </c>
      <c r="E98" s="144">
        <v>8.4499999999999993</v>
      </c>
      <c r="F98" s="144">
        <v>6.87</v>
      </c>
      <c r="G98" s="96">
        <v>1.59</v>
      </c>
    </row>
    <row r="99" spans="1:7" ht="14.1" customHeight="1" x14ac:dyDescent="0.25">
      <c r="A99" s="245" t="s">
        <v>103</v>
      </c>
      <c r="B99" s="416">
        <v>39</v>
      </c>
      <c r="C99" s="85">
        <v>22</v>
      </c>
      <c r="D99" s="85">
        <v>17</v>
      </c>
      <c r="E99" s="144">
        <v>17.5</v>
      </c>
      <c r="F99" s="144">
        <v>9.8699999999999992</v>
      </c>
      <c r="G99" s="96">
        <v>7.7</v>
      </c>
    </row>
    <row r="100" spans="1:7" ht="14.1" customHeight="1" x14ac:dyDescent="0.25">
      <c r="A100" s="320" t="s">
        <v>104</v>
      </c>
      <c r="B100" s="417">
        <v>9</v>
      </c>
      <c r="C100" s="332">
        <v>5</v>
      </c>
      <c r="D100" s="332">
        <v>4</v>
      </c>
      <c r="E100" s="337">
        <v>13.16</v>
      </c>
      <c r="F100" s="337">
        <v>7.31</v>
      </c>
      <c r="G100" s="338">
        <v>5.89</v>
      </c>
    </row>
    <row r="103" spans="1:7" x14ac:dyDescent="0.25">
      <c r="B103" s="95"/>
    </row>
    <row r="104" spans="1:7" x14ac:dyDescent="0.25">
      <c r="B104" s="95"/>
    </row>
    <row r="105" spans="1:7" x14ac:dyDescent="0.25">
      <c r="B105" s="95"/>
    </row>
  </sheetData>
  <mergeCells count="5">
    <mergeCell ref="A1:G1"/>
    <mergeCell ref="B3:D3"/>
    <mergeCell ref="A3:A4"/>
    <mergeCell ref="E3:F3"/>
    <mergeCell ref="A2:G2"/>
  </mergeCells>
  <phoneticPr fontId="49" type="noConversion"/>
  <printOptions horizontalCentered="1"/>
  <pageMargins left="0.70866141732283472" right="0.70866141732283472" top="0.62992125984251968" bottom="0.35433070866141736" header="0.31496062992125984" footer="0.31496062992125984"/>
  <pageSetup paperSize="9" firstPageNumber="38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J205"/>
  <sheetViews>
    <sheetView topLeftCell="A73" zoomScaleNormal="100" zoomScaleSheetLayoutView="80" workbookViewId="0">
      <selection activeCell="G5" sqref="G5"/>
    </sheetView>
  </sheetViews>
  <sheetFormatPr defaultColWidth="10.28515625" defaultRowHeight="14.25" x14ac:dyDescent="0.2"/>
  <cols>
    <col min="1" max="1" width="41.7109375" style="5" customWidth="1"/>
    <col min="2" max="4" width="16.7109375" style="5" customWidth="1"/>
    <col min="5" max="6" width="20.140625" style="5" customWidth="1"/>
    <col min="7" max="7" width="10.28515625" style="9"/>
    <col min="8" max="9" width="11.85546875" style="195" customWidth="1"/>
    <col min="10" max="16384" width="10.28515625" style="9"/>
  </cols>
  <sheetData>
    <row r="1" spans="1:10" s="8" customFormat="1" ht="15" customHeight="1" x14ac:dyDescent="0.25">
      <c r="A1" s="560" t="s">
        <v>306</v>
      </c>
      <c r="B1" s="560"/>
      <c r="C1" s="560"/>
      <c r="D1" s="560"/>
      <c r="E1" s="560"/>
      <c r="F1" s="560"/>
      <c r="H1" s="194"/>
      <c r="I1" s="194"/>
    </row>
    <row r="2" spans="1:10" ht="14.25" customHeight="1" x14ac:dyDescent="0.2">
      <c r="A2" s="561"/>
      <c r="B2" s="562"/>
      <c r="C2" s="562"/>
      <c r="D2" s="562"/>
      <c r="E2" s="562"/>
      <c r="F2" s="562"/>
    </row>
    <row r="3" spans="1:10" x14ac:dyDescent="0.2">
      <c r="A3" s="563"/>
      <c r="B3" s="554" t="s">
        <v>216</v>
      </c>
      <c r="C3" s="555"/>
      <c r="D3" s="555"/>
      <c r="E3" s="554" t="s">
        <v>294</v>
      </c>
      <c r="F3" s="558"/>
      <c r="I3" s="553"/>
      <c r="J3" s="553"/>
    </row>
    <row r="4" spans="1:10" x14ac:dyDescent="0.2">
      <c r="A4" s="563"/>
      <c r="B4" s="556"/>
      <c r="C4" s="557"/>
      <c r="D4" s="557"/>
      <c r="E4" s="556"/>
      <c r="F4" s="559"/>
      <c r="I4" s="293"/>
      <c r="J4" s="293"/>
    </row>
    <row r="5" spans="1:10" ht="25.5" x14ac:dyDescent="0.2">
      <c r="A5" s="563"/>
      <c r="B5" s="291" t="s">
        <v>234</v>
      </c>
      <c r="C5" s="291" t="s">
        <v>230</v>
      </c>
      <c r="D5" s="291" t="s">
        <v>361</v>
      </c>
      <c r="E5" s="291" t="s">
        <v>234</v>
      </c>
      <c r="F5" s="291" t="s">
        <v>230</v>
      </c>
      <c r="H5" s="292"/>
    </row>
    <row r="6" spans="1:10" s="8" customFormat="1" ht="18.75" customHeight="1" x14ac:dyDescent="0.25">
      <c r="A6" s="243" t="s">
        <v>13</v>
      </c>
      <c r="B6" s="97">
        <v>11428</v>
      </c>
      <c r="C6" s="97">
        <v>12664</v>
      </c>
      <c r="D6" s="421">
        <f>B6-C6</f>
        <v>-1236</v>
      </c>
      <c r="E6" s="98">
        <v>6.0220000000000002</v>
      </c>
      <c r="F6" s="98">
        <v>6.5</v>
      </c>
      <c r="I6" s="191"/>
      <c r="J6" s="196"/>
    </row>
    <row r="7" spans="1:10" s="8" customFormat="1" ht="12.75" customHeight="1" x14ac:dyDescent="0.25">
      <c r="A7" s="244" t="s">
        <v>14</v>
      </c>
      <c r="B7" s="97">
        <v>2572</v>
      </c>
      <c r="C7" s="97">
        <v>2718</v>
      </c>
      <c r="D7" s="422">
        <f t="shared" ref="D7:D70" si="0">B7-C7</f>
        <v>-146</v>
      </c>
      <c r="E7" s="98">
        <v>5.64</v>
      </c>
      <c r="F7" s="98">
        <v>6</v>
      </c>
      <c r="H7" s="191"/>
      <c r="I7" s="191"/>
      <c r="J7" s="196"/>
    </row>
    <row r="8" spans="1:10" ht="12.75" customHeight="1" x14ac:dyDescent="0.2">
      <c r="A8" s="245" t="s">
        <v>15</v>
      </c>
      <c r="B8" s="99">
        <v>108</v>
      </c>
      <c r="C8" s="99">
        <v>110</v>
      </c>
      <c r="D8" s="420">
        <f t="shared" si="0"/>
        <v>-2</v>
      </c>
      <c r="E8" s="100">
        <v>5.9740000000000002</v>
      </c>
      <c r="F8" s="100">
        <v>6.2</v>
      </c>
      <c r="H8" s="192"/>
      <c r="I8" s="192"/>
      <c r="J8" s="196"/>
    </row>
    <row r="9" spans="1:10" ht="12.75" customHeight="1" x14ac:dyDescent="0.2">
      <c r="A9" s="245" t="s">
        <v>16</v>
      </c>
      <c r="B9" s="99">
        <v>103</v>
      </c>
      <c r="C9" s="99">
        <v>111</v>
      </c>
      <c r="D9" s="420">
        <f t="shared" si="0"/>
        <v>-8</v>
      </c>
      <c r="E9" s="100">
        <v>7.64</v>
      </c>
      <c r="F9" s="100">
        <v>7.9</v>
      </c>
      <c r="H9" s="192"/>
      <c r="I9" s="192"/>
      <c r="J9" s="196"/>
    </row>
    <row r="10" spans="1:10" ht="12.75" customHeight="1" x14ac:dyDescent="0.2">
      <c r="A10" s="245" t="s">
        <v>17</v>
      </c>
      <c r="B10" s="99">
        <v>100</v>
      </c>
      <c r="C10" s="99">
        <v>107</v>
      </c>
      <c r="D10" s="420">
        <f t="shared" si="0"/>
        <v>-7</v>
      </c>
      <c r="E10" s="100">
        <v>6.3659999999999997</v>
      </c>
      <c r="F10" s="100">
        <v>6.6</v>
      </c>
      <c r="H10" s="192"/>
      <c r="I10" s="192"/>
      <c r="J10" s="196"/>
    </row>
    <row r="11" spans="1:10" ht="12.75" customHeight="1" x14ac:dyDescent="0.2">
      <c r="A11" s="245" t="s">
        <v>18</v>
      </c>
      <c r="B11" s="99">
        <v>120</v>
      </c>
      <c r="C11" s="99">
        <v>126</v>
      </c>
      <c r="D11" s="420">
        <f t="shared" si="0"/>
        <v>-6</v>
      </c>
      <c r="E11" s="100">
        <v>4.79</v>
      </c>
      <c r="F11" s="100">
        <v>4.9000000000000004</v>
      </c>
      <c r="H11" s="192"/>
      <c r="I11" s="192"/>
      <c r="J11" s="196"/>
    </row>
    <row r="12" spans="1:10" ht="12.75" customHeight="1" x14ac:dyDescent="0.2">
      <c r="A12" s="245" t="s">
        <v>19</v>
      </c>
      <c r="B12" s="99">
        <v>66</v>
      </c>
      <c r="C12" s="99">
        <v>64</v>
      </c>
      <c r="D12" s="420">
        <f t="shared" si="0"/>
        <v>2</v>
      </c>
      <c r="E12" s="100">
        <v>5.87</v>
      </c>
      <c r="F12" s="100">
        <v>5.5</v>
      </c>
      <c r="H12" s="192"/>
      <c r="I12" s="192"/>
      <c r="J12" s="196"/>
    </row>
    <row r="13" spans="1:10" ht="12.75" customHeight="1" x14ac:dyDescent="0.2">
      <c r="A13" s="245" t="s">
        <v>20</v>
      </c>
      <c r="B13" s="99">
        <v>87</v>
      </c>
      <c r="C13" s="99">
        <v>111</v>
      </c>
      <c r="D13" s="420">
        <f t="shared" si="0"/>
        <v>-24</v>
      </c>
      <c r="E13" s="100">
        <v>7.0709999999999997</v>
      </c>
      <c r="F13" s="100">
        <v>8.8000000000000007</v>
      </c>
      <c r="H13" s="192"/>
      <c r="I13" s="192"/>
      <c r="J13" s="196"/>
    </row>
    <row r="14" spans="1:10" ht="12.75" customHeight="1" x14ac:dyDescent="0.2">
      <c r="A14" s="246" t="s">
        <v>21</v>
      </c>
      <c r="B14" s="99">
        <v>59</v>
      </c>
      <c r="C14" s="99">
        <v>58</v>
      </c>
      <c r="D14" s="420">
        <f t="shared" si="0"/>
        <v>1</v>
      </c>
      <c r="E14" s="100">
        <v>7.4960000000000004</v>
      </c>
      <c r="F14" s="100">
        <v>7.1</v>
      </c>
      <c r="H14" s="192"/>
      <c r="I14" s="192"/>
      <c r="J14" s="196"/>
    </row>
    <row r="15" spans="1:10" ht="12.75" customHeight="1" x14ac:dyDescent="0.2">
      <c r="A15" s="245" t="s">
        <v>22</v>
      </c>
      <c r="B15" s="99">
        <v>75</v>
      </c>
      <c r="C15" s="99">
        <v>61</v>
      </c>
      <c r="D15" s="420">
        <f t="shared" si="0"/>
        <v>14</v>
      </c>
      <c r="E15" s="100">
        <v>5.9569999999999999</v>
      </c>
      <c r="F15" s="100">
        <v>4.7</v>
      </c>
      <c r="H15" s="192"/>
      <c r="I15" s="192"/>
      <c r="J15" s="196"/>
    </row>
    <row r="16" spans="1:10" ht="12.75" customHeight="1" x14ac:dyDescent="0.2">
      <c r="A16" s="245" t="s">
        <v>23</v>
      </c>
      <c r="B16" s="99">
        <v>96</v>
      </c>
      <c r="C16" s="99">
        <v>102</v>
      </c>
      <c r="D16" s="420">
        <f t="shared" si="0"/>
        <v>-6</v>
      </c>
      <c r="E16" s="100">
        <v>7.2910000000000004</v>
      </c>
      <c r="F16" s="100">
        <v>7.6</v>
      </c>
      <c r="H16" s="192"/>
      <c r="I16" s="192"/>
      <c r="J16" s="196"/>
    </row>
    <row r="17" spans="1:10" ht="12.75" customHeight="1" x14ac:dyDescent="0.2">
      <c r="A17" s="245" t="s">
        <v>24</v>
      </c>
      <c r="B17" s="99">
        <v>437</v>
      </c>
      <c r="C17" s="99">
        <v>452</v>
      </c>
      <c r="D17" s="420">
        <f t="shared" si="0"/>
        <v>-15</v>
      </c>
      <c r="E17" s="100">
        <v>4.5369999999999999</v>
      </c>
      <c r="F17" s="100">
        <v>4.8</v>
      </c>
      <c r="H17" s="192"/>
      <c r="I17" s="192"/>
      <c r="J17" s="196"/>
    </row>
    <row r="18" spans="1:10" ht="12.75" customHeight="1" x14ac:dyDescent="0.2">
      <c r="A18" s="245" t="s">
        <v>25</v>
      </c>
      <c r="B18" s="99">
        <v>54</v>
      </c>
      <c r="C18" s="99">
        <v>77</v>
      </c>
      <c r="D18" s="420">
        <f t="shared" si="0"/>
        <v>-23</v>
      </c>
      <c r="E18" s="100">
        <v>6.4749999999999996</v>
      </c>
      <c r="F18" s="100">
        <v>9</v>
      </c>
      <c r="H18" s="192"/>
      <c r="I18" s="192"/>
      <c r="J18" s="196"/>
    </row>
    <row r="19" spans="1:10" ht="12.75" customHeight="1" x14ac:dyDescent="0.2">
      <c r="A19" s="246" t="s">
        <v>26</v>
      </c>
      <c r="B19" s="99">
        <v>56</v>
      </c>
      <c r="C19" s="99">
        <v>79</v>
      </c>
      <c r="D19" s="420">
        <f t="shared" si="0"/>
        <v>-23</v>
      </c>
      <c r="E19" s="100">
        <v>4.3940000000000001</v>
      </c>
      <c r="F19" s="100">
        <v>6.3</v>
      </c>
      <c r="H19" s="192"/>
      <c r="I19" s="192"/>
      <c r="J19" s="196"/>
    </row>
    <row r="20" spans="1:10" ht="12.75" customHeight="1" x14ac:dyDescent="0.2">
      <c r="A20" s="245" t="s">
        <v>27</v>
      </c>
      <c r="B20" s="99">
        <v>64</v>
      </c>
      <c r="C20" s="99">
        <v>78</v>
      </c>
      <c r="D20" s="420">
        <f t="shared" si="0"/>
        <v>-14</v>
      </c>
      <c r="E20" s="100">
        <v>6.4720000000000004</v>
      </c>
      <c r="F20" s="100">
        <v>7.7</v>
      </c>
      <c r="H20" s="192"/>
      <c r="I20" s="192"/>
      <c r="J20" s="196"/>
    </row>
    <row r="21" spans="1:10" ht="12.75" customHeight="1" x14ac:dyDescent="0.2">
      <c r="A21" s="245" t="s">
        <v>28</v>
      </c>
      <c r="B21" s="99">
        <v>38</v>
      </c>
      <c r="C21" s="99">
        <v>38</v>
      </c>
      <c r="D21" s="423">
        <f t="shared" si="0"/>
        <v>0</v>
      </c>
      <c r="E21" s="100">
        <v>3.77</v>
      </c>
      <c r="F21" s="100">
        <v>3.7</v>
      </c>
      <c r="H21" s="192"/>
      <c r="I21" s="192"/>
      <c r="J21" s="196"/>
    </row>
    <row r="22" spans="1:10" ht="12.75" customHeight="1" x14ac:dyDescent="0.2">
      <c r="A22" s="245" t="s">
        <v>29</v>
      </c>
      <c r="B22" s="99">
        <v>106</v>
      </c>
      <c r="C22" s="99">
        <v>97</v>
      </c>
      <c r="D22" s="420">
        <f t="shared" si="0"/>
        <v>9</v>
      </c>
      <c r="E22" s="100">
        <v>7.29</v>
      </c>
      <c r="F22" s="100">
        <v>6.6</v>
      </c>
      <c r="H22" s="192"/>
      <c r="I22" s="192"/>
      <c r="J22" s="196"/>
    </row>
    <row r="23" spans="1:10" ht="12.75" customHeight="1" x14ac:dyDescent="0.2">
      <c r="A23" s="245" t="s">
        <v>30</v>
      </c>
      <c r="B23" s="99">
        <v>101</v>
      </c>
      <c r="C23" s="99">
        <v>106</v>
      </c>
      <c r="D23" s="420">
        <f t="shared" si="0"/>
        <v>-5</v>
      </c>
      <c r="E23" s="100">
        <v>6.5960000000000001</v>
      </c>
      <c r="F23" s="100">
        <v>6.8</v>
      </c>
      <c r="H23" s="192"/>
      <c r="I23" s="192"/>
      <c r="J23" s="196"/>
    </row>
    <row r="24" spans="1:10" ht="12.75" customHeight="1" x14ac:dyDescent="0.2">
      <c r="A24" s="245" t="s">
        <v>31</v>
      </c>
      <c r="B24" s="99">
        <v>80</v>
      </c>
      <c r="C24" s="99">
        <v>90</v>
      </c>
      <c r="D24" s="420">
        <f t="shared" si="0"/>
        <v>-10</v>
      </c>
      <c r="E24" s="100">
        <v>5.2119999999999997</v>
      </c>
      <c r="F24" s="100">
        <v>5.8</v>
      </c>
      <c r="H24" s="192"/>
      <c r="I24" s="192"/>
      <c r="J24" s="196"/>
    </row>
    <row r="25" spans="1:10" ht="12.75" customHeight="1" x14ac:dyDescent="0.2">
      <c r="A25" s="245" t="s">
        <v>32</v>
      </c>
      <c r="B25" s="99">
        <v>822</v>
      </c>
      <c r="C25" s="99">
        <v>851</v>
      </c>
      <c r="D25" s="420">
        <f t="shared" si="0"/>
        <v>-29</v>
      </c>
      <c r="E25" s="100">
        <v>5.6779999999999999</v>
      </c>
      <c r="F25" s="100">
        <v>6</v>
      </c>
      <c r="H25" s="192"/>
      <c r="I25" s="192"/>
      <c r="J25" s="196"/>
    </row>
    <row r="26" spans="1:10" s="8" customFormat="1" ht="12.75" customHeight="1" x14ac:dyDescent="0.25">
      <c r="A26" s="247" t="s">
        <v>33</v>
      </c>
      <c r="B26" s="101">
        <v>830</v>
      </c>
      <c r="C26" s="101">
        <v>917</v>
      </c>
      <c r="D26" s="422">
        <f t="shared" si="0"/>
        <v>-87</v>
      </c>
      <c r="E26" s="102">
        <v>4.8029999999999999</v>
      </c>
      <c r="F26" s="102">
        <v>5.3</v>
      </c>
      <c r="H26" s="193"/>
      <c r="I26" s="193"/>
      <c r="J26" s="196"/>
    </row>
    <row r="27" spans="1:10" ht="12.75" customHeight="1" x14ac:dyDescent="0.2">
      <c r="A27" s="245" t="s">
        <v>34</v>
      </c>
      <c r="B27" s="99">
        <v>53</v>
      </c>
      <c r="C27" s="99">
        <v>44</v>
      </c>
      <c r="D27" s="420">
        <f t="shared" si="0"/>
        <v>9</v>
      </c>
      <c r="E27" s="100">
        <v>7.0170000000000003</v>
      </c>
      <c r="F27" s="100">
        <v>5.7</v>
      </c>
      <c r="H27" s="192"/>
      <c r="I27" s="192"/>
      <c r="J27" s="196"/>
    </row>
    <row r="28" spans="1:10" ht="12.75" customHeight="1" x14ac:dyDescent="0.2">
      <c r="A28" s="245" t="s">
        <v>35</v>
      </c>
      <c r="B28" s="99">
        <v>61</v>
      </c>
      <c r="C28" s="99">
        <v>55</v>
      </c>
      <c r="D28" s="420">
        <f t="shared" si="0"/>
        <v>6</v>
      </c>
      <c r="E28" s="100">
        <v>5.4020000000000001</v>
      </c>
      <c r="F28" s="100">
        <v>4.5999999999999996</v>
      </c>
      <c r="H28" s="192"/>
      <c r="I28" s="192"/>
      <c r="J28" s="196"/>
    </row>
    <row r="29" spans="1:10" ht="12.75" customHeight="1" x14ac:dyDescent="0.2">
      <c r="A29" s="245" t="s">
        <v>36</v>
      </c>
      <c r="B29" s="99">
        <v>81</v>
      </c>
      <c r="C29" s="99">
        <v>88</v>
      </c>
      <c r="D29" s="420">
        <f t="shared" si="0"/>
        <v>-7</v>
      </c>
      <c r="E29" s="100">
        <v>5.7229999999999999</v>
      </c>
      <c r="F29" s="100">
        <v>6</v>
      </c>
      <c r="H29" s="192"/>
      <c r="I29" s="192"/>
      <c r="J29" s="196"/>
    </row>
    <row r="30" spans="1:10" ht="12.75" customHeight="1" x14ac:dyDescent="0.2">
      <c r="A30" s="245" t="s">
        <v>37</v>
      </c>
      <c r="B30" s="99">
        <v>2</v>
      </c>
      <c r="C30" s="99">
        <v>4</v>
      </c>
      <c r="D30" s="420">
        <f t="shared" si="0"/>
        <v>-2</v>
      </c>
      <c r="E30" s="100">
        <v>2.4689999999999999</v>
      </c>
      <c r="F30" s="100">
        <v>5.3</v>
      </c>
      <c r="H30" s="192"/>
      <c r="I30" s="192"/>
      <c r="J30" s="196"/>
    </row>
    <row r="31" spans="1:10" ht="12.75" customHeight="1" x14ac:dyDescent="0.2">
      <c r="A31" s="248" t="s">
        <v>318</v>
      </c>
      <c r="B31" s="99">
        <v>79</v>
      </c>
      <c r="C31" s="99">
        <v>84</v>
      </c>
      <c r="D31" s="420">
        <f t="shared" si="0"/>
        <v>-5</v>
      </c>
      <c r="E31" s="100">
        <v>5.9169999999999998</v>
      </c>
      <c r="F31" s="100">
        <v>6</v>
      </c>
      <c r="H31" s="192"/>
      <c r="I31" s="192"/>
      <c r="J31" s="196"/>
    </row>
    <row r="32" spans="1:10" ht="12.75" customHeight="1" x14ac:dyDescent="0.2">
      <c r="A32" s="245" t="s">
        <v>38</v>
      </c>
      <c r="B32" s="99">
        <v>104</v>
      </c>
      <c r="C32" s="99">
        <v>95</v>
      </c>
      <c r="D32" s="420">
        <f t="shared" si="0"/>
        <v>9</v>
      </c>
      <c r="E32" s="100">
        <v>6.5869999999999997</v>
      </c>
      <c r="F32" s="100">
        <v>5.8</v>
      </c>
      <c r="H32" s="192"/>
      <c r="I32" s="192"/>
      <c r="J32" s="196"/>
    </row>
    <row r="33" spans="1:10" ht="12.75" customHeight="1" x14ac:dyDescent="0.2">
      <c r="A33" s="245" t="s">
        <v>39</v>
      </c>
      <c r="B33" s="99">
        <v>55</v>
      </c>
      <c r="C33" s="99">
        <v>75</v>
      </c>
      <c r="D33" s="420">
        <f t="shared" si="0"/>
        <v>-20</v>
      </c>
      <c r="E33" s="100">
        <v>4.5030000000000001</v>
      </c>
      <c r="F33" s="100">
        <v>6.1</v>
      </c>
      <c r="H33" s="192"/>
      <c r="I33" s="192"/>
      <c r="J33" s="196"/>
    </row>
    <row r="34" spans="1:10" ht="12.75" customHeight="1" x14ac:dyDescent="0.2">
      <c r="A34" s="245" t="s">
        <v>40</v>
      </c>
      <c r="B34" s="99">
        <v>70</v>
      </c>
      <c r="C34" s="99">
        <v>97</v>
      </c>
      <c r="D34" s="420">
        <f t="shared" si="0"/>
        <v>-27</v>
      </c>
      <c r="E34" s="100">
        <v>4.2949999999999999</v>
      </c>
      <c r="F34" s="100">
        <v>6</v>
      </c>
      <c r="H34" s="192"/>
      <c r="I34" s="192"/>
      <c r="J34" s="196"/>
    </row>
    <row r="35" spans="1:10" ht="12.75" customHeight="1" x14ac:dyDescent="0.25">
      <c r="A35" s="245" t="s">
        <v>41</v>
      </c>
      <c r="B35" s="99">
        <v>33</v>
      </c>
      <c r="C35" s="99">
        <v>54</v>
      </c>
      <c r="D35" s="420">
        <f t="shared" si="0"/>
        <v>-21</v>
      </c>
      <c r="E35" s="100">
        <v>3.8090000000000002</v>
      </c>
      <c r="F35" s="100">
        <v>5.9</v>
      </c>
      <c r="H35"/>
      <c r="I35" s="192"/>
      <c r="J35" s="196"/>
    </row>
    <row r="36" spans="1:10" ht="12.75" customHeight="1" x14ac:dyDescent="0.25">
      <c r="A36" s="245" t="s">
        <v>42</v>
      </c>
      <c r="B36" s="99">
        <v>32</v>
      </c>
      <c r="C36" s="99">
        <v>44</v>
      </c>
      <c r="D36" s="420">
        <f t="shared" si="0"/>
        <v>-12</v>
      </c>
      <c r="E36" s="100">
        <v>4.4260000000000002</v>
      </c>
      <c r="F36" s="100">
        <v>6</v>
      </c>
      <c r="H36"/>
      <c r="I36" s="192"/>
      <c r="J36" s="196"/>
    </row>
    <row r="37" spans="1:10" ht="12.75" customHeight="1" x14ac:dyDescent="0.2">
      <c r="A37" s="245" t="s">
        <v>43</v>
      </c>
      <c r="B37" s="99">
        <v>54</v>
      </c>
      <c r="C37" s="99">
        <v>55</v>
      </c>
      <c r="D37" s="420">
        <f t="shared" si="0"/>
        <v>-1</v>
      </c>
      <c r="E37" s="100">
        <v>7.5350000000000001</v>
      </c>
      <c r="F37" s="100">
        <v>7.7</v>
      </c>
      <c r="H37" s="192"/>
      <c r="I37" s="192"/>
      <c r="J37" s="196"/>
    </row>
    <row r="38" spans="1:10" s="8" customFormat="1" ht="12.75" customHeight="1" x14ac:dyDescent="0.25">
      <c r="A38" s="245" t="s">
        <v>44</v>
      </c>
      <c r="B38" s="99">
        <v>287</v>
      </c>
      <c r="C38" s="99">
        <v>310</v>
      </c>
      <c r="D38" s="420">
        <f t="shared" si="0"/>
        <v>-23</v>
      </c>
      <c r="E38" s="100">
        <v>3.9620000000000002</v>
      </c>
      <c r="F38" s="100">
        <v>4.4000000000000004</v>
      </c>
      <c r="H38" s="192"/>
      <c r="I38" s="192"/>
      <c r="J38" s="196"/>
    </row>
    <row r="39" spans="1:10" ht="12.75" customHeight="1" x14ac:dyDescent="0.2">
      <c r="A39" s="249" t="s">
        <v>45</v>
      </c>
      <c r="B39" s="418">
        <v>1133</v>
      </c>
      <c r="C39" s="418">
        <v>1298</v>
      </c>
      <c r="D39" s="422">
        <f t="shared" si="0"/>
        <v>-165</v>
      </c>
      <c r="E39" s="419">
        <v>4.4779999999999998</v>
      </c>
      <c r="F39" s="419">
        <v>6.2</v>
      </c>
      <c r="H39" s="9"/>
      <c r="I39" s="193"/>
      <c r="J39" s="196"/>
    </row>
    <row r="40" spans="1:10" ht="12.75" customHeight="1" x14ac:dyDescent="0.2">
      <c r="A40" s="245" t="s">
        <v>46</v>
      </c>
      <c r="B40" s="99">
        <v>24</v>
      </c>
      <c r="C40" s="99">
        <v>44</v>
      </c>
      <c r="D40" s="420">
        <f t="shared" si="0"/>
        <v>-20</v>
      </c>
      <c r="E40" s="100">
        <v>4.3929999999999998</v>
      </c>
      <c r="F40" s="100">
        <v>7.8</v>
      </c>
      <c r="H40" s="192"/>
      <c r="I40" s="192"/>
      <c r="J40" s="196"/>
    </row>
    <row r="41" spans="1:10" ht="12.75" customHeight="1" x14ac:dyDescent="0.2">
      <c r="A41" s="245" t="s">
        <v>47</v>
      </c>
      <c r="B41" s="99">
        <v>23</v>
      </c>
      <c r="C41" s="99">
        <v>33</v>
      </c>
      <c r="D41" s="420">
        <f t="shared" si="0"/>
        <v>-10</v>
      </c>
      <c r="E41" s="100">
        <v>6.5380000000000003</v>
      </c>
      <c r="F41" s="100">
        <v>8.6</v>
      </c>
      <c r="H41" s="192"/>
      <c r="I41" s="192"/>
      <c r="J41" s="196"/>
    </row>
    <row r="42" spans="1:10" ht="12.75" customHeight="1" x14ac:dyDescent="0.2">
      <c r="A42" s="245" t="s">
        <v>211</v>
      </c>
      <c r="B42" s="99">
        <v>121</v>
      </c>
      <c r="C42" s="99">
        <v>150</v>
      </c>
      <c r="D42" s="420">
        <f t="shared" si="0"/>
        <v>-29</v>
      </c>
      <c r="E42" s="100">
        <v>5.2240000000000002</v>
      </c>
      <c r="F42" s="100">
        <v>6.2</v>
      </c>
      <c r="H42" s="192"/>
      <c r="I42" s="192"/>
      <c r="J42" s="196"/>
    </row>
    <row r="43" spans="1:10" ht="12.75" customHeight="1" x14ac:dyDescent="0.2">
      <c r="A43" s="245" t="s">
        <v>48</v>
      </c>
      <c r="B43" s="99">
        <v>366</v>
      </c>
      <c r="C43" s="99">
        <v>398</v>
      </c>
      <c r="D43" s="420">
        <f t="shared" si="0"/>
        <v>-32</v>
      </c>
      <c r="E43" s="100">
        <v>4.9989999999999997</v>
      </c>
      <c r="F43" s="100">
        <v>5.4</v>
      </c>
      <c r="H43" s="192"/>
      <c r="I43" s="192"/>
      <c r="J43" s="196"/>
    </row>
    <row r="44" spans="1:10" ht="12.75" customHeight="1" x14ac:dyDescent="0.2">
      <c r="A44" s="245" t="s">
        <v>49</v>
      </c>
      <c r="B44" s="99">
        <v>82</v>
      </c>
      <c r="C44" s="99">
        <v>119</v>
      </c>
      <c r="D44" s="420">
        <f t="shared" si="0"/>
        <v>-37</v>
      </c>
      <c r="E44" s="100">
        <v>5.7110000000000003</v>
      </c>
      <c r="F44" s="100">
        <v>8</v>
      </c>
      <c r="H44" s="192"/>
      <c r="I44" s="192"/>
      <c r="J44" s="196"/>
    </row>
    <row r="45" spans="1:10" ht="12.75" customHeight="1" x14ac:dyDescent="0.2">
      <c r="A45" s="245" t="s">
        <v>50</v>
      </c>
      <c r="B45" s="99">
        <v>165</v>
      </c>
      <c r="C45" s="99">
        <v>193</v>
      </c>
      <c r="D45" s="420">
        <f t="shared" si="0"/>
        <v>-28</v>
      </c>
      <c r="E45" s="100">
        <v>5.7619999999999996</v>
      </c>
      <c r="F45" s="100">
        <v>6.6</v>
      </c>
      <c r="H45" s="192"/>
      <c r="I45" s="192"/>
      <c r="J45" s="196"/>
    </row>
    <row r="46" spans="1:10" ht="12.75" customHeight="1" x14ac:dyDescent="0.2">
      <c r="A46" s="245" t="s">
        <v>51</v>
      </c>
      <c r="B46" s="99">
        <v>326</v>
      </c>
      <c r="C46" s="99">
        <v>335</v>
      </c>
      <c r="D46" s="420">
        <f t="shared" si="0"/>
        <v>-9</v>
      </c>
      <c r="E46" s="100">
        <v>6.601</v>
      </c>
      <c r="F46" s="100">
        <v>6.6</v>
      </c>
      <c r="H46" s="9"/>
      <c r="I46" s="192"/>
      <c r="J46" s="196"/>
    </row>
    <row r="47" spans="1:10" ht="12.75" customHeight="1" x14ac:dyDescent="0.2">
      <c r="A47" s="245" t="s">
        <v>213</v>
      </c>
      <c r="B47" s="99">
        <v>26</v>
      </c>
      <c r="C47" s="99">
        <v>26</v>
      </c>
      <c r="D47" s="423">
        <f t="shared" si="0"/>
        <v>0</v>
      </c>
      <c r="E47" s="100">
        <v>4.8339999999999996</v>
      </c>
      <c r="F47" s="100">
        <v>4.9000000000000004</v>
      </c>
      <c r="H47" s="192"/>
      <c r="I47" s="192"/>
      <c r="J47" s="196"/>
    </row>
    <row r="48" spans="1:10" ht="12.75" customHeight="1" x14ac:dyDescent="0.2">
      <c r="A48" s="250" t="s">
        <v>52</v>
      </c>
      <c r="B48" s="101">
        <v>1437</v>
      </c>
      <c r="C48" s="101">
        <v>1667</v>
      </c>
      <c r="D48" s="422">
        <f t="shared" si="0"/>
        <v>-230</v>
      </c>
      <c r="E48" s="102">
        <v>9.2390000000000008</v>
      </c>
      <c r="F48" s="102">
        <v>10.3</v>
      </c>
      <c r="H48" s="193"/>
      <c r="I48" s="193"/>
      <c r="J48" s="196"/>
    </row>
    <row r="49" spans="1:10" ht="12.75" customHeight="1" x14ac:dyDescent="0.2">
      <c r="A49" s="245" t="s">
        <v>53</v>
      </c>
      <c r="B49" s="99">
        <v>539</v>
      </c>
      <c r="C49" s="99">
        <v>661</v>
      </c>
      <c r="D49" s="420">
        <f t="shared" si="0"/>
        <v>-122</v>
      </c>
      <c r="E49" s="100">
        <v>10.125</v>
      </c>
      <c r="F49" s="100">
        <v>12</v>
      </c>
      <c r="H49" s="192"/>
      <c r="I49" s="192"/>
      <c r="J49" s="196"/>
    </row>
    <row r="50" spans="1:10" ht="12.75" customHeight="1" x14ac:dyDescent="0.2">
      <c r="A50" s="245" t="s">
        <v>54</v>
      </c>
      <c r="B50" s="99">
        <v>86</v>
      </c>
      <c r="C50" s="99">
        <v>99</v>
      </c>
      <c r="D50" s="420">
        <f t="shared" si="0"/>
        <v>-13</v>
      </c>
      <c r="E50" s="100">
        <v>10.882</v>
      </c>
      <c r="F50" s="100">
        <v>11.2</v>
      </c>
      <c r="H50" s="192"/>
      <c r="I50" s="192"/>
      <c r="J50" s="196"/>
    </row>
    <row r="51" spans="1:10" ht="12.75" customHeight="1" x14ac:dyDescent="0.2">
      <c r="A51" s="245" t="s">
        <v>55</v>
      </c>
      <c r="B51" s="99">
        <v>82</v>
      </c>
      <c r="C51" s="99">
        <v>85</v>
      </c>
      <c r="D51" s="420">
        <f t="shared" si="0"/>
        <v>-3</v>
      </c>
      <c r="E51" s="100">
        <v>6.6779999999999999</v>
      </c>
      <c r="F51" s="100">
        <v>6.7</v>
      </c>
      <c r="H51" s="192"/>
      <c r="I51" s="192"/>
      <c r="J51" s="196"/>
    </row>
    <row r="52" spans="1:10" ht="12.75" customHeight="1" x14ac:dyDescent="0.2">
      <c r="A52" s="245" t="s">
        <v>56</v>
      </c>
      <c r="B52" s="99">
        <v>50</v>
      </c>
      <c r="C52" s="99">
        <v>50</v>
      </c>
      <c r="D52" s="423">
        <f t="shared" si="0"/>
        <v>0</v>
      </c>
      <c r="E52" s="100">
        <v>8.9190000000000005</v>
      </c>
      <c r="F52" s="100">
        <v>8.5</v>
      </c>
      <c r="H52" s="192"/>
      <c r="I52" s="192"/>
      <c r="J52" s="196"/>
    </row>
    <row r="53" spans="1:10" ht="12.75" customHeight="1" x14ac:dyDescent="0.2">
      <c r="A53" s="245" t="s">
        <v>57</v>
      </c>
      <c r="B53" s="99">
        <v>68</v>
      </c>
      <c r="C53" s="99">
        <v>92</v>
      </c>
      <c r="D53" s="420">
        <f t="shared" si="0"/>
        <v>-24</v>
      </c>
      <c r="E53" s="100">
        <v>6.843</v>
      </c>
      <c r="F53" s="100">
        <v>8.9</v>
      </c>
      <c r="H53" s="192"/>
      <c r="I53" s="192"/>
      <c r="J53" s="196"/>
    </row>
    <row r="54" spans="1:10" ht="12.75" customHeight="1" x14ac:dyDescent="0.2">
      <c r="A54" s="245" t="s">
        <v>58</v>
      </c>
      <c r="B54" s="99">
        <v>304</v>
      </c>
      <c r="C54" s="99">
        <v>385</v>
      </c>
      <c r="D54" s="420">
        <f t="shared" si="0"/>
        <v>-81</v>
      </c>
      <c r="E54" s="100">
        <v>9.9870000000000001</v>
      </c>
      <c r="F54" s="100">
        <v>12</v>
      </c>
      <c r="H54" s="192"/>
      <c r="I54" s="192"/>
      <c r="J54" s="196"/>
    </row>
    <row r="55" spans="1:10" s="8" customFormat="1" ht="12.75" customHeight="1" x14ac:dyDescent="0.25">
      <c r="A55" s="245" t="s">
        <v>59</v>
      </c>
      <c r="B55" s="99">
        <v>308</v>
      </c>
      <c r="C55" s="99">
        <v>295</v>
      </c>
      <c r="D55" s="420">
        <f t="shared" si="0"/>
        <v>13</v>
      </c>
      <c r="E55" s="100">
        <v>8.4730000000000008</v>
      </c>
      <c r="F55" s="100">
        <v>8.1</v>
      </c>
      <c r="H55" s="192"/>
      <c r="I55" s="192"/>
      <c r="J55" s="196"/>
    </row>
    <row r="56" spans="1:10" ht="12.75" customHeight="1" x14ac:dyDescent="0.2">
      <c r="A56" s="244" t="s">
        <v>60</v>
      </c>
      <c r="B56" s="101">
        <v>2173</v>
      </c>
      <c r="C56" s="101">
        <v>2420</v>
      </c>
      <c r="D56" s="422">
        <f t="shared" si="0"/>
        <v>-247</v>
      </c>
      <c r="E56" s="102">
        <v>5.6749999999999998</v>
      </c>
      <c r="F56" s="102">
        <v>6.1</v>
      </c>
      <c r="H56" s="193"/>
      <c r="I56" s="193"/>
      <c r="J56" s="196"/>
    </row>
    <row r="57" spans="1:10" ht="12.75" customHeight="1" x14ac:dyDescent="0.2">
      <c r="A57" s="245" t="s">
        <v>61</v>
      </c>
      <c r="B57" s="99">
        <v>337</v>
      </c>
      <c r="C57" s="99">
        <v>438</v>
      </c>
      <c r="D57" s="420">
        <f t="shared" si="0"/>
        <v>-101</v>
      </c>
      <c r="E57" s="100">
        <v>5.9969999999999999</v>
      </c>
      <c r="F57" s="100">
        <v>7.4</v>
      </c>
      <c r="H57" s="192"/>
      <c r="I57" s="192"/>
      <c r="J57" s="196"/>
    </row>
    <row r="58" spans="1:10" ht="12.75" customHeight="1" x14ac:dyDescent="0.2">
      <c r="A58" s="245" t="s">
        <v>62</v>
      </c>
      <c r="B58" s="99">
        <v>50</v>
      </c>
      <c r="C58" s="99">
        <v>75</v>
      </c>
      <c r="D58" s="420">
        <f t="shared" si="0"/>
        <v>-25</v>
      </c>
      <c r="E58" s="100">
        <v>5.1909999999999998</v>
      </c>
      <c r="F58" s="100">
        <v>7.5</v>
      </c>
      <c r="H58" s="192"/>
      <c r="I58" s="192"/>
      <c r="J58" s="196"/>
    </row>
    <row r="59" spans="1:10" ht="12.75" customHeight="1" x14ac:dyDescent="0.2">
      <c r="A59" s="245" t="s">
        <v>63</v>
      </c>
      <c r="B59" s="99">
        <v>36</v>
      </c>
      <c r="C59" s="99">
        <v>35</v>
      </c>
      <c r="D59" s="420">
        <f t="shared" si="0"/>
        <v>1</v>
      </c>
      <c r="E59" s="100">
        <v>4.5439999999999996</v>
      </c>
      <c r="F59" s="100">
        <v>4.4000000000000004</v>
      </c>
      <c r="H59" s="192"/>
      <c r="I59" s="192"/>
      <c r="J59" s="196"/>
    </row>
    <row r="60" spans="1:10" ht="12.75" customHeight="1" x14ac:dyDescent="0.2">
      <c r="A60" s="245" t="s">
        <v>64</v>
      </c>
      <c r="B60" s="99">
        <v>299</v>
      </c>
      <c r="C60" s="99">
        <v>343</v>
      </c>
      <c r="D60" s="420">
        <f t="shared" si="0"/>
        <v>-44</v>
      </c>
      <c r="E60" s="100">
        <v>5.3639999999999999</v>
      </c>
      <c r="F60" s="100">
        <v>6.1</v>
      </c>
      <c r="H60" s="192"/>
      <c r="I60" s="192"/>
      <c r="J60" s="196"/>
    </row>
    <row r="61" spans="1:10" ht="12.75" customHeight="1" x14ac:dyDescent="0.2">
      <c r="A61" s="245" t="s">
        <v>65</v>
      </c>
      <c r="B61" s="99">
        <v>111</v>
      </c>
      <c r="C61" s="99">
        <v>124</v>
      </c>
      <c r="D61" s="420">
        <f t="shared" si="0"/>
        <v>-13</v>
      </c>
      <c r="E61" s="100">
        <v>5.2469999999999999</v>
      </c>
      <c r="F61" s="100">
        <v>5.6</v>
      </c>
      <c r="H61" s="192"/>
      <c r="I61" s="192"/>
      <c r="J61" s="196"/>
    </row>
    <row r="62" spans="1:10" ht="12.75" customHeight="1" x14ac:dyDescent="0.2">
      <c r="A62" s="245" t="s">
        <v>66</v>
      </c>
      <c r="B62" s="99">
        <v>53</v>
      </c>
      <c r="C62" s="99">
        <v>56</v>
      </c>
      <c r="D62" s="420">
        <f t="shared" si="0"/>
        <v>-3</v>
      </c>
      <c r="E62" s="100">
        <v>3.218</v>
      </c>
      <c r="F62" s="100">
        <v>3.3</v>
      </c>
      <c r="H62" s="192"/>
      <c r="I62" s="192"/>
      <c r="J62" s="196"/>
    </row>
    <row r="63" spans="1:10" ht="12.75" customHeight="1" x14ac:dyDescent="0.2">
      <c r="A63" s="245" t="s">
        <v>67</v>
      </c>
      <c r="B63" s="99">
        <v>217</v>
      </c>
      <c r="C63" s="99">
        <v>227</v>
      </c>
      <c r="D63" s="420">
        <f t="shared" si="0"/>
        <v>-10</v>
      </c>
      <c r="E63" s="100">
        <v>5.782</v>
      </c>
      <c r="F63" s="100">
        <v>5.9</v>
      </c>
      <c r="H63" s="192"/>
      <c r="I63" s="192"/>
      <c r="J63" s="196"/>
    </row>
    <row r="64" spans="1:10" ht="12.75" customHeight="1" x14ac:dyDescent="0.2">
      <c r="A64" s="245" t="s">
        <v>68</v>
      </c>
      <c r="B64" s="99">
        <v>81</v>
      </c>
      <c r="C64" s="99">
        <v>69</v>
      </c>
      <c r="D64" s="420">
        <f t="shared" si="0"/>
        <v>12</v>
      </c>
      <c r="E64" s="100">
        <v>4.9560000000000004</v>
      </c>
      <c r="F64" s="100">
        <v>4.2</v>
      </c>
      <c r="H64" s="192"/>
      <c r="I64" s="192"/>
      <c r="J64" s="196"/>
    </row>
    <row r="65" spans="1:10" ht="12.75" customHeight="1" x14ac:dyDescent="0.2">
      <c r="A65" s="245" t="s">
        <v>69</v>
      </c>
      <c r="B65" s="99">
        <v>252</v>
      </c>
      <c r="C65" s="99">
        <v>275</v>
      </c>
      <c r="D65" s="420">
        <f t="shared" si="0"/>
        <v>-23</v>
      </c>
      <c r="E65" s="100">
        <v>6.4790000000000001</v>
      </c>
      <c r="F65" s="100">
        <v>6.9</v>
      </c>
      <c r="H65" s="192"/>
      <c r="I65" s="192"/>
      <c r="J65" s="196"/>
    </row>
    <row r="66" spans="1:10" ht="12.75" customHeight="1" x14ac:dyDescent="0.2">
      <c r="A66" s="245" t="s">
        <v>70</v>
      </c>
      <c r="B66" s="99">
        <v>175</v>
      </c>
      <c r="C66" s="99">
        <v>194</v>
      </c>
      <c r="D66" s="420">
        <f t="shared" si="0"/>
        <v>-19</v>
      </c>
      <c r="E66" s="100">
        <v>6.4939999999999998</v>
      </c>
      <c r="F66" s="100">
        <v>6.8</v>
      </c>
      <c r="H66" s="192"/>
      <c r="I66" s="192"/>
      <c r="J66" s="196"/>
    </row>
    <row r="67" spans="1:10" ht="12.75" customHeight="1" x14ac:dyDescent="0.2">
      <c r="A67" s="245" t="s">
        <v>71</v>
      </c>
      <c r="B67" s="99">
        <v>78</v>
      </c>
      <c r="C67" s="99">
        <v>63</v>
      </c>
      <c r="D67" s="420">
        <f t="shared" si="0"/>
        <v>15</v>
      </c>
      <c r="E67" s="100">
        <v>5.633</v>
      </c>
      <c r="F67" s="100">
        <v>4.3</v>
      </c>
      <c r="H67" s="192"/>
      <c r="I67" s="192"/>
      <c r="J67" s="196"/>
    </row>
    <row r="68" spans="1:10" ht="12.75" customHeight="1" x14ac:dyDescent="0.2">
      <c r="A68" s="245" t="s">
        <v>72</v>
      </c>
      <c r="B68" s="99">
        <v>206</v>
      </c>
      <c r="C68" s="99">
        <v>227</v>
      </c>
      <c r="D68" s="420">
        <f t="shared" si="0"/>
        <v>-21</v>
      </c>
      <c r="E68" s="100">
        <v>5.1180000000000003</v>
      </c>
      <c r="F68" s="100">
        <v>5.6</v>
      </c>
      <c r="H68" s="192"/>
      <c r="I68" s="192"/>
      <c r="J68" s="196"/>
    </row>
    <row r="69" spans="1:10" ht="12.75" customHeight="1" x14ac:dyDescent="0.2">
      <c r="A69" s="246" t="s">
        <v>73</v>
      </c>
      <c r="B69" s="99">
        <v>178</v>
      </c>
      <c r="C69" s="99">
        <v>197</v>
      </c>
      <c r="D69" s="420">
        <f t="shared" si="0"/>
        <v>-19</v>
      </c>
      <c r="E69" s="100">
        <v>6.5030000000000001</v>
      </c>
      <c r="F69" s="100">
        <v>6.9</v>
      </c>
      <c r="H69" s="192"/>
      <c r="I69" s="192"/>
      <c r="J69" s="196"/>
    </row>
    <row r="70" spans="1:10" s="8" customFormat="1" ht="13.5" customHeight="1" x14ac:dyDescent="0.25">
      <c r="A70" s="245" t="s">
        <v>74</v>
      </c>
      <c r="B70" s="99">
        <v>100</v>
      </c>
      <c r="C70" s="99">
        <v>97</v>
      </c>
      <c r="D70" s="420">
        <f t="shared" si="0"/>
        <v>3</v>
      </c>
      <c r="E70" s="100">
        <v>6.8529999999999998</v>
      </c>
      <c r="F70" s="100">
        <v>6.5</v>
      </c>
      <c r="H70" s="192"/>
      <c r="I70" s="192"/>
      <c r="J70" s="196"/>
    </row>
    <row r="71" spans="1:10" ht="12.75" customHeight="1" x14ac:dyDescent="0.2">
      <c r="A71" s="249" t="s">
        <v>75</v>
      </c>
      <c r="B71" s="101">
        <v>960</v>
      </c>
      <c r="C71" s="101">
        <v>1068</v>
      </c>
      <c r="D71" s="422">
        <f t="shared" ref="D71:D101" si="1">B71-C71</f>
        <v>-108</v>
      </c>
      <c r="E71" s="102">
        <v>5.4560000000000004</v>
      </c>
      <c r="F71" s="102">
        <v>5.8</v>
      </c>
      <c r="H71" s="193"/>
      <c r="I71" s="193"/>
      <c r="J71" s="196"/>
    </row>
    <row r="72" spans="1:10" ht="12.75" customHeight="1" x14ac:dyDescent="0.2">
      <c r="A72" s="245" t="s">
        <v>76</v>
      </c>
      <c r="B72" s="99">
        <v>73</v>
      </c>
      <c r="C72" s="99">
        <v>66</v>
      </c>
      <c r="D72" s="420">
        <f t="shared" si="1"/>
        <v>7</v>
      </c>
      <c r="E72" s="100">
        <v>6.7709999999999999</v>
      </c>
      <c r="F72" s="100">
        <v>5.7</v>
      </c>
      <c r="H72" s="192"/>
      <c r="I72" s="192"/>
      <c r="J72" s="196"/>
    </row>
    <row r="73" spans="1:10" ht="12.75" customHeight="1" x14ac:dyDescent="0.2">
      <c r="A73" s="245" t="s">
        <v>77</v>
      </c>
      <c r="B73" s="99">
        <v>350</v>
      </c>
      <c r="C73" s="99">
        <v>341</v>
      </c>
      <c r="D73" s="420">
        <f t="shared" si="1"/>
        <v>9</v>
      </c>
      <c r="E73" s="100">
        <v>5.7919999999999998</v>
      </c>
      <c r="F73" s="100">
        <v>5.5</v>
      </c>
      <c r="H73" s="192"/>
      <c r="I73" s="192"/>
      <c r="J73" s="196"/>
    </row>
    <row r="74" spans="1:10" ht="12.75" customHeight="1" x14ac:dyDescent="0.2">
      <c r="A74" s="245" t="s">
        <v>78</v>
      </c>
      <c r="B74" s="99">
        <v>263</v>
      </c>
      <c r="C74" s="99">
        <v>344</v>
      </c>
      <c r="D74" s="420">
        <f t="shared" si="1"/>
        <v>-81</v>
      </c>
      <c r="E74" s="100">
        <v>4.5460000000000003</v>
      </c>
      <c r="F74" s="100">
        <v>5.7</v>
      </c>
      <c r="H74" s="192"/>
      <c r="I74" s="192"/>
      <c r="J74" s="196"/>
    </row>
    <row r="75" spans="1:10" ht="12.75" customHeight="1" x14ac:dyDescent="0.2">
      <c r="A75" s="245" t="s">
        <v>79</v>
      </c>
      <c r="B75" s="99">
        <v>105</v>
      </c>
      <c r="C75" s="99">
        <v>134</v>
      </c>
      <c r="D75" s="420">
        <f t="shared" si="1"/>
        <v>-29</v>
      </c>
      <c r="E75" s="100">
        <v>4.056</v>
      </c>
      <c r="F75" s="100">
        <v>5</v>
      </c>
      <c r="H75" s="192"/>
      <c r="I75" s="192"/>
      <c r="J75" s="196"/>
    </row>
    <row r="76" spans="1:10" ht="12.75" customHeight="1" x14ac:dyDescent="0.2">
      <c r="A76" s="245" t="s">
        <v>80</v>
      </c>
      <c r="B76" s="99">
        <v>44</v>
      </c>
      <c r="C76" s="99">
        <v>65</v>
      </c>
      <c r="D76" s="420">
        <f t="shared" si="1"/>
        <v>-21</v>
      </c>
      <c r="E76" s="100">
        <v>5.234</v>
      </c>
      <c r="F76" s="100">
        <v>7.3</v>
      </c>
      <c r="H76" s="192"/>
      <c r="I76" s="192"/>
      <c r="J76" s="196"/>
    </row>
    <row r="77" spans="1:10" s="8" customFormat="1" ht="15" x14ac:dyDescent="0.25">
      <c r="A77" s="248" t="s">
        <v>319</v>
      </c>
      <c r="B77" s="99">
        <v>114</v>
      </c>
      <c r="C77" s="99">
        <v>145</v>
      </c>
      <c r="D77" s="420">
        <f t="shared" si="1"/>
        <v>-31</v>
      </c>
      <c r="E77" s="100">
        <v>4.8449999999999998</v>
      </c>
      <c r="F77" s="100">
        <v>6</v>
      </c>
      <c r="H77" s="192"/>
      <c r="I77" s="192"/>
      <c r="J77" s="196"/>
    </row>
    <row r="78" spans="1:10" ht="12.75" customHeight="1" x14ac:dyDescent="0.2">
      <c r="A78" s="245" t="s">
        <v>81</v>
      </c>
      <c r="B78" s="99">
        <v>274</v>
      </c>
      <c r="C78" s="99">
        <v>317</v>
      </c>
      <c r="D78" s="420">
        <f t="shared" si="1"/>
        <v>-43</v>
      </c>
      <c r="E78" s="100">
        <v>5.8330000000000002</v>
      </c>
      <c r="F78" s="100">
        <v>6.5</v>
      </c>
      <c r="H78" s="192"/>
      <c r="I78" s="192"/>
      <c r="J78" s="196"/>
    </row>
    <row r="79" spans="1:10" ht="12.75" customHeight="1" x14ac:dyDescent="0.2">
      <c r="A79" s="244" t="s">
        <v>82</v>
      </c>
      <c r="B79" s="101">
        <v>1779</v>
      </c>
      <c r="C79" s="101">
        <v>1929</v>
      </c>
      <c r="D79" s="422">
        <f t="shared" si="1"/>
        <v>-150</v>
      </c>
      <c r="E79" s="102">
        <v>6.6280000000000001</v>
      </c>
      <c r="F79" s="102">
        <v>6.9</v>
      </c>
      <c r="H79" s="193"/>
      <c r="I79" s="193"/>
      <c r="J79" s="196"/>
    </row>
    <row r="80" spans="1:10" ht="12.75" customHeight="1" x14ac:dyDescent="0.2">
      <c r="A80" s="245" t="s">
        <v>83</v>
      </c>
      <c r="B80" s="99">
        <v>40</v>
      </c>
      <c r="C80" s="99">
        <v>41</v>
      </c>
      <c r="D80" s="420">
        <f t="shared" si="1"/>
        <v>-1</v>
      </c>
      <c r="E80" s="100">
        <v>10.204000000000001</v>
      </c>
      <c r="F80" s="100">
        <v>10</v>
      </c>
      <c r="H80" s="192"/>
      <c r="I80" s="192"/>
      <c r="J80" s="196"/>
    </row>
    <row r="81" spans="1:10" ht="12.75" customHeight="1" x14ac:dyDescent="0.2">
      <c r="A81" s="245" t="s">
        <v>84</v>
      </c>
      <c r="B81" s="99">
        <v>107</v>
      </c>
      <c r="C81" s="99">
        <v>118</v>
      </c>
      <c r="D81" s="420">
        <f t="shared" si="1"/>
        <v>-11</v>
      </c>
      <c r="E81" s="100">
        <v>6.56</v>
      </c>
      <c r="F81" s="100">
        <v>7</v>
      </c>
      <c r="H81" s="192"/>
      <c r="I81" s="192"/>
      <c r="J81" s="196"/>
    </row>
    <row r="82" spans="1:10" ht="12.75" customHeight="1" x14ac:dyDescent="0.2">
      <c r="A82" s="245" t="s">
        <v>85</v>
      </c>
      <c r="B82" s="99">
        <v>83</v>
      </c>
      <c r="C82" s="99">
        <v>110</v>
      </c>
      <c r="D82" s="420">
        <f t="shared" si="1"/>
        <v>-27</v>
      </c>
      <c r="E82" s="100">
        <v>11.22</v>
      </c>
      <c r="F82" s="100">
        <v>14.5</v>
      </c>
      <c r="H82" s="192"/>
      <c r="I82" s="192"/>
      <c r="J82" s="196"/>
    </row>
    <row r="83" spans="1:10" s="8" customFormat="1" ht="12.75" customHeight="1" x14ac:dyDescent="0.25">
      <c r="A83" s="245" t="s">
        <v>86</v>
      </c>
      <c r="B83" s="99">
        <v>67</v>
      </c>
      <c r="C83" s="99">
        <v>70</v>
      </c>
      <c r="D83" s="420">
        <f t="shared" si="1"/>
        <v>-3</v>
      </c>
      <c r="E83" s="100">
        <v>8.7550000000000008</v>
      </c>
      <c r="F83" s="100">
        <v>8.8000000000000007</v>
      </c>
      <c r="H83" s="192"/>
      <c r="I83" s="192"/>
      <c r="J83" s="196"/>
    </row>
    <row r="84" spans="1:10" ht="12.75" customHeight="1" x14ac:dyDescent="0.2">
      <c r="A84" s="245" t="s">
        <v>87</v>
      </c>
      <c r="B84" s="99">
        <v>211</v>
      </c>
      <c r="C84" s="99">
        <v>222</v>
      </c>
      <c r="D84" s="420">
        <f t="shared" si="1"/>
        <v>-11</v>
      </c>
      <c r="E84" s="100">
        <v>7.298</v>
      </c>
      <c r="F84" s="100">
        <v>7.3</v>
      </c>
      <c r="H84" s="192"/>
      <c r="I84" s="192"/>
      <c r="J84" s="196"/>
    </row>
    <row r="85" spans="1:10" ht="12.75" customHeight="1" x14ac:dyDescent="0.2">
      <c r="A85" s="245" t="s">
        <v>88</v>
      </c>
      <c r="B85" s="99">
        <v>95</v>
      </c>
      <c r="C85" s="99">
        <v>134</v>
      </c>
      <c r="D85" s="420">
        <f t="shared" si="1"/>
        <v>-39</v>
      </c>
      <c r="E85" s="100">
        <v>5.9749999999999996</v>
      </c>
      <c r="F85" s="100">
        <v>7.9</v>
      </c>
      <c r="H85" s="192"/>
      <c r="I85" s="192"/>
      <c r="J85" s="196"/>
    </row>
    <row r="86" spans="1:10" ht="12.75" customHeight="1" x14ac:dyDescent="0.2">
      <c r="A86" s="245" t="s">
        <v>89</v>
      </c>
      <c r="B86" s="99">
        <v>238</v>
      </c>
      <c r="C86" s="99">
        <v>255</v>
      </c>
      <c r="D86" s="420">
        <f t="shared" si="1"/>
        <v>-17</v>
      </c>
      <c r="E86" s="100">
        <v>5.9359999999999999</v>
      </c>
      <c r="F86" s="100">
        <v>6.2</v>
      </c>
      <c r="H86" s="192"/>
      <c r="I86" s="192"/>
      <c r="J86" s="196"/>
    </row>
    <row r="87" spans="1:10" ht="12.75" customHeight="1" x14ac:dyDescent="0.2">
      <c r="A87" s="245" t="s">
        <v>90</v>
      </c>
      <c r="B87" s="99">
        <v>224</v>
      </c>
      <c r="C87" s="99">
        <v>258</v>
      </c>
      <c r="D87" s="420">
        <f t="shared" si="1"/>
        <v>-34</v>
      </c>
      <c r="E87" s="100">
        <v>6.2370000000000001</v>
      </c>
      <c r="F87" s="100">
        <v>7</v>
      </c>
      <c r="H87" s="192"/>
      <c r="I87" s="192"/>
      <c r="J87" s="196"/>
    </row>
    <row r="88" spans="1:10" ht="12.75" customHeight="1" x14ac:dyDescent="0.2">
      <c r="A88" s="245" t="s">
        <v>91</v>
      </c>
      <c r="B88" s="99">
        <v>240</v>
      </c>
      <c r="C88" s="99">
        <v>230</v>
      </c>
      <c r="D88" s="420">
        <f t="shared" si="1"/>
        <v>10</v>
      </c>
      <c r="E88" s="100">
        <v>7.2779999999999996</v>
      </c>
      <c r="F88" s="100">
        <v>6.7</v>
      </c>
      <c r="H88" s="192"/>
      <c r="I88" s="192"/>
      <c r="J88" s="196"/>
    </row>
    <row r="89" spans="1:10" ht="12.75" customHeight="1" x14ac:dyDescent="0.2">
      <c r="A89" s="245" t="s">
        <v>92</v>
      </c>
      <c r="B89" s="99">
        <v>239</v>
      </c>
      <c r="C89" s="99">
        <v>234</v>
      </c>
      <c r="D89" s="420">
        <f t="shared" si="1"/>
        <v>5</v>
      </c>
      <c r="E89" s="100">
        <v>6.2309999999999999</v>
      </c>
      <c r="F89" s="100">
        <v>6</v>
      </c>
      <c r="H89" s="192"/>
      <c r="I89" s="192"/>
      <c r="J89" s="196"/>
    </row>
    <row r="90" spans="1:10" ht="12.75" customHeight="1" x14ac:dyDescent="0.2">
      <c r="A90" s="245" t="s">
        <v>93</v>
      </c>
      <c r="B90" s="99">
        <v>166</v>
      </c>
      <c r="C90" s="99">
        <v>189</v>
      </c>
      <c r="D90" s="420">
        <f t="shared" si="1"/>
        <v>-23</v>
      </c>
      <c r="E90" s="100">
        <v>6.242</v>
      </c>
      <c r="F90" s="100">
        <v>6.6</v>
      </c>
      <c r="H90" s="192"/>
      <c r="I90" s="192"/>
      <c r="J90" s="196"/>
    </row>
    <row r="91" spans="1:10" ht="12.75" customHeight="1" x14ac:dyDescent="0.2">
      <c r="A91" s="245" t="s">
        <v>94</v>
      </c>
      <c r="B91" s="99">
        <v>69</v>
      </c>
      <c r="C91" s="99">
        <v>68</v>
      </c>
      <c r="D91" s="420">
        <f t="shared" si="1"/>
        <v>1</v>
      </c>
      <c r="E91" s="100">
        <v>4.8339999999999996</v>
      </c>
      <c r="F91" s="100">
        <v>4.7</v>
      </c>
      <c r="H91" s="192"/>
      <c r="I91" s="192"/>
      <c r="J91" s="196"/>
    </row>
    <row r="92" spans="1:10" ht="12.75" customHeight="1" x14ac:dyDescent="0.2">
      <c r="A92" s="249" t="s">
        <v>95</v>
      </c>
      <c r="B92" s="101">
        <v>544</v>
      </c>
      <c r="C92" s="101">
        <v>647</v>
      </c>
      <c r="D92" s="422">
        <f t="shared" si="1"/>
        <v>-103</v>
      </c>
      <c r="E92" s="102">
        <v>6.5330000000000004</v>
      </c>
      <c r="F92" s="102">
        <v>7.5</v>
      </c>
      <c r="H92" s="193"/>
      <c r="I92" s="193"/>
      <c r="J92" s="196"/>
    </row>
    <row r="93" spans="1:10" ht="12.75" customHeight="1" x14ac:dyDescent="0.2">
      <c r="A93" s="245" t="s">
        <v>96</v>
      </c>
      <c r="B93" s="99">
        <v>112</v>
      </c>
      <c r="C93" s="99">
        <v>125</v>
      </c>
      <c r="D93" s="420">
        <f t="shared" si="1"/>
        <v>-13</v>
      </c>
      <c r="E93" s="100">
        <v>7.2279999999999998</v>
      </c>
      <c r="F93" s="100">
        <v>7.6</v>
      </c>
      <c r="H93" s="192"/>
      <c r="I93" s="192"/>
      <c r="J93" s="196"/>
    </row>
    <row r="94" spans="1:10" ht="12.75" customHeight="1" x14ac:dyDescent="0.2">
      <c r="A94" s="245" t="s">
        <v>97</v>
      </c>
      <c r="B94" s="99">
        <v>37</v>
      </c>
      <c r="C94" s="99">
        <v>38</v>
      </c>
      <c r="D94" s="420">
        <f t="shared" si="1"/>
        <v>-1</v>
      </c>
      <c r="E94" s="100">
        <v>9.1199999999999992</v>
      </c>
      <c r="F94" s="100">
        <v>9.1</v>
      </c>
      <c r="H94" s="192"/>
      <c r="I94" s="192"/>
      <c r="J94" s="196"/>
    </row>
    <row r="95" spans="1:10" ht="12.75" customHeight="1" x14ac:dyDescent="0.2">
      <c r="A95" s="245" t="s">
        <v>98</v>
      </c>
      <c r="B95" s="99">
        <v>156</v>
      </c>
      <c r="C95" s="99">
        <v>190</v>
      </c>
      <c r="D95" s="420">
        <f t="shared" si="1"/>
        <v>-34</v>
      </c>
      <c r="E95" s="100">
        <v>6.5830000000000002</v>
      </c>
      <c r="F95" s="100">
        <v>7.7</v>
      </c>
      <c r="H95" s="192"/>
      <c r="I95" s="192"/>
      <c r="J95" s="196"/>
    </row>
    <row r="96" spans="1:10" ht="12.75" customHeight="1" x14ac:dyDescent="0.2">
      <c r="A96" s="245" t="s">
        <v>99</v>
      </c>
      <c r="B96" s="99">
        <v>108</v>
      </c>
      <c r="C96" s="99">
        <v>119</v>
      </c>
      <c r="D96" s="420">
        <f t="shared" si="1"/>
        <v>-11</v>
      </c>
      <c r="E96" s="100">
        <v>5.9829999999999997</v>
      </c>
      <c r="F96" s="100">
        <v>6.3</v>
      </c>
      <c r="H96" s="192"/>
      <c r="I96" s="192"/>
      <c r="J96" s="196"/>
    </row>
    <row r="97" spans="1:10" ht="12.75" customHeight="1" x14ac:dyDescent="0.2">
      <c r="A97" s="245" t="s">
        <v>100</v>
      </c>
      <c r="B97" s="99">
        <v>53</v>
      </c>
      <c r="C97" s="99">
        <v>83</v>
      </c>
      <c r="D97" s="420">
        <f t="shared" si="1"/>
        <v>-30</v>
      </c>
      <c r="E97" s="100">
        <v>5.0519999999999996</v>
      </c>
      <c r="F97" s="100">
        <v>7.7</v>
      </c>
      <c r="H97" s="192"/>
      <c r="I97" s="192"/>
      <c r="J97" s="196"/>
    </row>
    <row r="98" spans="1:10" ht="12.75" customHeight="1" x14ac:dyDescent="0.2">
      <c r="A98" s="245" t="s">
        <v>101</v>
      </c>
      <c r="B98" s="99">
        <v>6</v>
      </c>
      <c r="C98" s="99">
        <v>9</v>
      </c>
      <c r="D98" s="420">
        <f t="shared" si="1"/>
        <v>-3</v>
      </c>
      <c r="E98" s="100">
        <v>3.5990000000000002</v>
      </c>
      <c r="F98" s="100">
        <v>5.0999999999999996</v>
      </c>
      <c r="H98" s="192"/>
      <c r="I98" s="192"/>
      <c r="J98" s="196"/>
    </row>
    <row r="99" spans="1:10" ht="12.75" customHeight="1" x14ac:dyDescent="0.2">
      <c r="A99" s="245" t="s">
        <v>102</v>
      </c>
      <c r="B99" s="99">
        <v>26</v>
      </c>
      <c r="C99" s="99">
        <v>41</v>
      </c>
      <c r="D99" s="420">
        <f t="shared" si="1"/>
        <v>-15</v>
      </c>
      <c r="E99" s="100">
        <v>3.7490000000000001</v>
      </c>
      <c r="F99" s="100">
        <v>6.1</v>
      </c>
      <c r="H99" s="192"/>
      <c r="I99" s="192"/>
      <c r="J99" s="196"/>
    </row>
    <row r="100" spans="1:10" ht="12.75" customHeight="1" x14ac:dyDescent="0.2">
      <c r="A100" s="245" t="s">
        <v>103</v>
      </c>
      <c r="B100" s="99">
        <v>35</v>
      </c>
      <c r="C100" s="99">
        <v>31</v>
      </c>
      <c r="D100" s="420">
        <f t="shared" si="1"/>
        <v>4</v>
      </c>
      <c r="E100" s="100">
        <v>15.675000000000001</v>
      </c>
      <c r="F100" s="100">
        <v>13.2</v>
      </c>
      <c r="H100" s="192"/>
      <c r="I100" s="192"/>
      <c r="J100" s="196"/>
    </row>
    <row r="101" spans="1:10" ht="12.75" customHeight="1" x14ac:dyDescent="0.2">
      <c r="A101" s="320" t="s">
        <v>104</v>
      </c>
      <c r="B101" s="339">
        <v>11</v>
      </c>
      <c r="C101" s="339">
        <v>11</v>
      </c>
      <c r="D101" s="424">
        <f t="shared" si="1"/>
        <v>0</v>
      </c>
      <c r="E101" s="340">
        <v>16.149999999999999</v>
      </c>
      <c r="F101" s="340">
        <v>16</v>
      </c>
      <c r="H101" s="192"/>
      <c r="I101" s="192"/>
      <c r="J101" s="196"/>
    </row>
    <row r="104" spans="1:10" x14ac:dyDescent="0.2">
      <c r="B104" s="103"/>
      <c r="C104" s="103"/>
      <c r="D104" s="103"/>
    </row>
    <row r="105" spans="1:10" x14ac:dyDescent="0.2">
      <c r="B105" s="103"/>
      <c r="C105" s="103"/>
      <c r="D105" s="103"/>
    </row>
    <row r="106" spans="1:10" x14ac:dyDescent="0.2">
      <c r="B106" s="103"/>
      <c r="C106" s="103"/>
      <c r="D106" s="103"/>
    </row>
    <row r="107" spans="1:10" x14ac:dyDescent="0.2">
      <c r="B107" s="103"/>
      <c r="C107" s="103"/>
      <c r="D107" s="103"/>
    </row>
    <row r="108" spans="1:10" x14ac:dyDescent="0.2">
      <c r="B108" s="103"/>
      <c r="C108" s="103"/>
      <c r="D108" s="103"/>
    </row>
    <row r="109" spans="1:10" x14ac:dyDescent="0.2">
      <c r="B109" s="103"/>
      <c r="C109" s="103"/>
      <c r="D109" s="103"/>
    </row>
    <row r="110" spans="1:10" x14ac:dyDescent="0.2">
      <c r="B110" s="103"/>
      <c r="C110" s="103"/>
      <c r="D110" s="103"/>
    </row>
    <row r="111" spans="1:10" x14ac:dyDescent="0.2">
      <c r="A111" s="9"/>
      <c r="B111" s="103"/>
      <c r="C111" s="103"/>
      <c r="D111" s="103"/>
    </row>
    <row r="112" spans="1:10" x14ac:dyDescent="0.2">
      <c r="A112" s="9"/>
      <c r="B112" s="103"/>
      <c r="C112" s="103"/>
      <c r="D112" s="103"/>
    </row>
    <row r="113" spans="1:6" x14ac:dyDescent="0.2">
      <c r="A113" s="9"/>
      <c r="B113" s="103"/>
      <c r="C113" s="103"/>
      <c r="D113" s="103"/>
      <c r="E113" s="9"/>
      <c r="F113" s="9"/>
    </row>
    <row r="114" spans="1:6" x14ac:dyDescent="0.2">
      <c r="A114" s="9"/>
      <c r="B114" s="103"/>
      <c r="C114" s="103"/>
      <c r="D114" s="103"/>
      <c r="E114" s="9"/>
      <c r="F114" s="9"/>
    </row>
    <row r="115" spans="1:6" x14ac:dyDescent="0.2">
      <c r="A115" s="9"/>
      <c r="B115" s="103"/>
      <c r="C115" s="103"/>
      <c r="D115" s="103"/>
      <c r="E115" s="9"/>
      <c r="F115" s="9"/>
    </row>
    <row r="116" spans="1:6" x14ac:dyDescent="0.2">
      <c r="A116" s="9"/>
      <c r="B116" s="103"/>
      <c r="C116" s="103"/>
      <c r="D116" s="103"/>
      <c r="E116" s="9"/>
      <c r="F116" s="9"/>
    </row>
    <row r="117" spans="1:6" x14ac:dyDescent="0.2">
      <c r="A117" s="9"/>
      <c r="B117" s="103"/>
      <c r="C117" s="103"/>
      <c r="D117" s="103"/>
      <c r="E117" s="9"/>
      <c r="F117" s="9"/>
    </row>
    <row r="118" spans="1:6" x14ac:dyDescent="0.2">
      <c r="A118" s="9"/>
      <c r="B118" s="103"/>
      <c r="C118" s="103"/>
      <c r="D118" s="103"/>
      <c r="E118" s="9"/>
      <c r="F118" s="9"/>
    </row>
    <row r="119" spans="1:6" x14ac:dyDescent="0.2">
      <c r="A119" s="9"/>
      <c r="B119" s="103"/>
      <c r="C119" s="103"/>
      <c r="D119" s="103"/>
      <c r="E119" s="9"/>
      <c r="F119" s="9"/>
    </row>
    <row r="120" spans="1:6" x14ac:dyDescent="0.2">
      <c r="A120" s="9"/>
      <c r="E120" s="9"/>
      <c r="F120" s="9"/>
    </row>
    <row r="121" spans="1:6" x14ac:dyDescent="0.2">
      <c r="A121" s="9"/>
      <c r="E121" s="9"/>
      <c r="F121" s="9"/>
    </row>
    <row r="122" spans="1:6" x14ac:dyDescent="0.2">
      <c r="A122" s="9"/>
      <c r="E122" s="9"/>
      <c r="F122" s="9"/>
    </row>
    <row r="123" spans="1:6" x14ac:dyDescent="0.2">
      <c r="A123" s="9"/>
      <c r="E123" s="9"/>
      <c r="F123" s="9"/>
    </row>
    <row r="124" spans="1:6" x14ac:dyDescent="0.2">
      <c r="A124" s="9"/>
      <c r="E124" s="9"/>
      <c r="F124" s="9"/>
    </row>
    <row r="125" spans="1:6" x14ac:dyDescent="0.2">
      <c r="A125" s="9"/>
      <c r="E125" s="9"/>
      <c r="F125" s="9"/>
    </row>
    <row r="126" spans="1:6" x14ac:dyDescent="0.2">
      <c r="A126" s="9"/>
      <c r="E126" s="9"/>
      <c r="F126" s="9"/>
    </row>
    <row r="127" spans="1:6" x14ac:dyDescent="0.2">
      <c r="A127" s="9"/>
      <c r="B127" s="9"/>
      <c r="C127" s="9"/>
      <c r="D127" s="9"/>
      <c r="E127" s="9"/>
      <c r="F127" s="9"/>
    </row>
    <row r="128" spans="1:6" x14ac:dyDescent="0.2">
      <c r="A128" s="9"/>
      <c r="B128" s="9"/>
      <c r="C128" s="9"/>
      <c r="D128" s="9"/>
      <c r="E128" s="9"/>
      <c r="F128" s="9"/>
    </row>
    <row r="129" spans="1:6" x14ac:dyDescent="0.2">
      <c r="A129" s="9"/>
      <c r="B129" s="9"/>
      <c r="C129" s="9"/>
      <c r="D129" s="9"/>
      <c r="E129" s="9"/>
      <c r="F129" s="9"/>
    </row>
    <row r="130" spans="1:6" x14ac:dyDescent="0.2">
      <c r="A130" s="9"/>
      <c r="B130" s="9"/>
      <c r="C130" s="9"/>
      <c r="D130" s="9"/>
      <c r="E130" s="9"/>
      <c r="F130" s="9"/>
    </row>
    <row r="131" spans="1:6" x14ac:dyDescent="0.2">
      <c r="A131" s="9"/>
      <c r="B131" s="9"/>
      <c r="C131" s="9"/>
      <c r="D131" s="9"/>
      <c r="E131" s="9"/>
      <c r="F131" s="9"/>
    </row>
    <row r="132" spans="1:6" x14ac:dyDescent="0.2">
      <c r="A132" s="9"/>
      <c r="B132" s="9"/>
      <c r="C132" s="9"/>
      <c r="D132" s="9"/>
      <c r="E132" s="9"/>
      <c r="F132" s="9"/>
    </row>
    <row r="133" spans="1:6" x14ac:dyDescent="0.2">
      <c r="A133" s="9"/>
      <c r="B133" s="9"/>
      <c r="C133" s="9"/>
      <c r="D133" s="9"/>
      <c r="E133" s="9"/>
      <c r="F133" s="9"/>
    </row>
    <row r="134" spans="1:6" x14ac:dyDescent="0.2">
      <c r="A134" s="9"/>
      <c r="B134" s="9"/>
      <c r="C134" s="9"/>
      <c r="D134" s="9"/>
      <c r="E134" s="9"/>
      <c r="F134" s="9"/>
    </row>
    <row r="135" spans="1:6" x14ac:dyDescent="0.2">
      <c r="A135" s="9"/>
      <c r="B135" s="9"/>
      <c r="C135" s="9"/>
      <c r="D135" s="9"/>
      <c r="E135" s="9"/>
      <c r="F135" s="9"/>
    </row>
    <row r="136" spans="1:6" x14ac:dyDescent="0.2">
      <c r="A136" s="9"/>
      <c r="B136" s="9"/>
      <c r="C136" s="9"/>
      <c r="D136" s="9"/>
      <c r="E136" s="9"/>
      <c r="F136" s="9"/>
    </row>
    <row r="137" spans="1:6" x14ac:dyDescent="0.2">
      <c r="A137" s="9"/>
      <c r="B137" s="9"/>
      <c r="C137" s="9"/>
      <c r="D137" s="9"/>
      <c r="E137" s="9"/>
      <c r="F137" s="9"/>
    </row>
    <row r="138" spans="1:6" x14ac:dyDescent="0.2">
      <c r="A138" s="9"/>
      <c r="B138" s="9"/>
      <c r="C138" s="9"/>
      <c r="D138" s="9"/>
      <c r="E138" s="9"/>
      <c r="F138" s="9"/>
    </row>
    <row r="139" spans="1:6" x14ac:dyDescent="0.2">
      <c r="A139" s="9"/>
      <c r="B139" s="9"/>
      <c r="C139" s="9"/>
      <c r="D139" s="9"/>
      <c r="E139" s="9"/>
      <c r="F139" s="9"/>
    </row>
    <row r="140" spans="1:6" x14ac:dyDescent="0.2">
      <c r="A140" s="9"/>
      <c r="B140" s="9"/>
      <c r="C140" s="9"/>
      <c r="D140" s="9"/>
      <c r="E140" s="9"/>
      <c r="F140" s="9"/>
    </row>
    <row r="141" spans="1:6" x14ac:dyDescent="0.2">
      <c r="A141" s="9"/>
      <c r="B141" s="9"/>
      <c r="C141" s="9"/>
      <c r="D141" s="9"/>
      <c r="E141" s="9"/>
      <c r="F141" s="9"/>
    </row>
    <row r="142" spans="1:6" x14ac:dyDescent="0.2">
      <c r="A142" s="9"/>
      <c r="B142" s="9"/>
      <c r="C142" s="9"/>
      <c r="D142" s="9"/>
      <c r="E142" s="9"/>
      <c r="F142" s="9"/>
    </row>
    <row r="143" spans="1:6" x14ac:dyDescent="0.2">
      <c r="A143" s="9"/>
      <c r="B143" s="9"/>
      <c r="C143" s="9"/>
      <c r="D143" s="9"/>
      <c r="E143" s="9"/>
      <c r="F143" s="9"/>
    </row>
    <row r="144" spans="1:6" x14ac:dyDescent="0.2">
      <c r="A144" s="9"/>
      <c r="B144" s="9"/>
      <c r="C144" s="9"/>
      <c r="D144" s="9"/>
      <c r="E144" s="9"/>
      <c r="F144" s="9"/>
    </row>
    <row r="145" spans="1:6" x14ac:dyDescent="0.2">
      <c r="A145" s="9"/>
      <c r="B145" s="9"/>
      <c r="C145" s="9"/>
      <c r="D145" s="9"/>
      <c r="E145" s="9"/>
      <c r="F145" s="9"/>
    </row>
    <row r="146" spans="1:6" x14ac:dyDescent="0.2">
      <c r="A146" s="9"/>
      <c r="B146" s="9"/>
      <c r="C146" s="9"/>
      <c r="D146" s="9"/>
      <c r="E146" s="9"/>
      <c r="F146" s="9"/>
    </row>
    <row r="147" spans="1:6" x14ac:dyDescent="0.2">
      <c r="A147" s="9"/>
      <c r="B147" s="9"/>
      <c r="C147" s="9"/>
      <c r="D147" s="9"/>
      <c r="E147" s="9"/>
      <c r="F147" s="9"/>
    </row>
    <row r="148" spans="1:6" x14ac:dyDescent="0.2">
      <c r="A148" s="9"/>
      <c r="B148" s="9"/>
      <c r="C148" s="9"/>
      <c r="D148" s="9"/>
      <c r="E148" s="9"/>
      <c r="F148" s="9"/>
    </row>
    <row r="149" spans="1:6" x14ac:dyDescent="0.2">
      <c r="A149" s="9"/>
      <c r="B149" s="9"/>
      <c r="C149" s="9"/>
      <c r="D149" s="9"/>
      <c r="E149" s="9"/>
      <c r="F149" s="9"/>
    </row>
    <row r="150" spans="1:6" x14ac:dyDescent="0.2">
      <c r="A150" s="9"/>
      <c r="B150" s="9"/>
      <c r="C150" s="9"/>
      <c r="D150" s="9"/>
      <c r="E150" s="9"/>
      <c r="F150" s="9"/>
    </row>
    <row r="151" spans="1:6" x14ac:dyDescent="0.2">
      <c r="A151" s="9"/>
      <c r="B151" s="9"/>
      <c r="C151" s="9"/>
      <c r="D151" s="9"/>
      <c r="E151" s="9"/>
      <c r="F151" s="9"/>
    </row>
    <row r="152" spans="1:6" x14ac:dyDescent="0.2">
      <c r="A152" s="9"/>
      <c r="B152" s="9"/>
      <c r="C152" s="9"/>
      <c r="D152" s="9"/>
      <c r="E152" s="9"/>
      <c r="F152" s="9"/>
    </row>
    <row r="153" spans="1:6" x14ac:dyDescent="0.2">
      <c r="A153" s="9"/>
      <c r="B153" s="9"/>
      <c r="C153" s="9"/>
      <c r="D153" s="9"/>
      <c r="E153" s="9"/>
      <c r="F153" s="9"/>
    </row>
    <row r="154" spans="1:6" x14ac:dyDescent="0.2">
      <c r="A154" s="9"/>
      <c r="B154" s="9"/>
      <c r="C154" s="9"/>
      <c r="D154" s="9"/>
      <c r="E154" s="9"/>
      <c r="F154" s="9"/>
    </row>
    <row r="155" spans="1:6" x14ac:dyDescent="0.2">
      <c r="A155" s="9"/>
      <c r="B155" s="9"/>
      <c r="C155" s="9"/>
      <c r="D155" s="9"/>
      <c r="E155" s="9"/>
      <c r="F155" s="9"/>
    </row>
    <row r="156" spans="1:6" x14ac:dyDescent="0.2">
      <c r="A156" s="9"/>
      <c r="B156" s="9"/>
      <c r="C156" s="9"/>
      <c r="D156" s="9"/>
      <c r="E156" s="9"/>
      <c r="F156" s="9"/>
    </row>
    <row r="157" spans="1:6" x14ac:dyDescent="0.2">
      <c r="A157" s="9"/>
      <c r="B157" s="9"/>
      <c r="C157" s="9"/>
      <c r="D157" s="9"/>
      <c r="E157" s="9"/>
      <c r="F157" s="9"/>
    </row>
    <row r="158" spans="1:6" x14ac:dyDescent="0.2">
      <c r="A158" s="9"/>
      <c r="B158" s="9"/>
      <c r="C158" s="9"/>
      <c r="D158" s="9"/>
      <c r="E158" s="9"/>
      <c r="F158" s="9"/>
    </row>
    <row r="159" spans="1:6" x14ac:dyDescent="0.2">
      <c r="A159" s="9"/>
      <c r="B159" s="9"/>
      <c r="C159" s="9"/>
      <c r="D159" s="9"/>
      <c r="E159" s="9"/>
      <c r="F159" s="9"/>
    </row>
    <row r="160" spans="1:6" x14ac:dyDescent="0.2">
      <c r="A160" s="9"/>
      <c r="B160" s="9"/>
      <c r="C160" s="9"/>
      <c r="D160" s="9"/>
      <c r="E160" s="9"/>
      <c r="F160" s="9"/>
    </row>
    <row r="161" spans="1:6" x14ac:dyDescent="0.2">
      <c r="A161" s="9"/>
      <c r="B161" s="9"/>
      <c r="C161" s="9"/>
      <c r="D161" s="9"/>
      <c r="E161" s="9"/>
      <c r="F161" s="9"/>
    </row>
    <row r="162" spans="1:6" x14ac:dyDescent="0.2">
      <c r="A162" s="9"/>
      <c r="B162" s="9"/>
      <c r="C162" s="9"/>
      <c r="D162" s="9"/>
      <c r="E162" s="9"/>
      <c r="F162" s="9"/>
    </row>
    <row r="163" spans="1:6" x14ac:dyDescent="0.2">
      <c r="A163" s="9"/>
      <c r="B163" s="9"/>
      <c r="C163" s="9"/>
      <c r="D163" s="9"/>
      <c r="E163" s="9"/>
      <c r="F163" s="9"/>
    </row>
    <row r="164" spans="1:6" x14ac:dyDescent="0.2">
      <c r="A164" s="9"/>
      <c r="B164" s="9"/>
      <c r="C164" s="9"/>
      <c r="D164" s="9"/>
      <c r="E164" s="9"/>
      <c r="F164" s="9"/>
    </row>
    <row r="165" spans="1:6" x14ac:dyDescent="0.2">
      <c r="A165" s="9"/>
      <c r="B165" s="9"/>
      <c r="C165" s="9"/>
      <c r="D165" s="9"/>
      <c r="E165" s="9"/>
      <c r="F165" s="9"/>
    </row>
    <row r="166" spans="1:6" x14ac:dyDescent="0.2">
      <c r="A166" s="9"/>
      <c r="B166" s="9"/>
      <c r="C166" s="9"/>
      <c r="D166" s="9"/>
      <c r="E166" s="9"/>
      <c r="F166" s="9"/>
    </row>
    <row r="167" spans="1:6" x14ac:dyDescent="0.2">
      <c r="A167" s="9"/>
      <c r="B167" s="9"/>
      <c r="C167" s="9"/>
      <c r="D167" s="9"/>
      <c r="E167" s="9"/>
      <c r="F167" s="9"/>
    </row>
    <row r="168" spans="1:6" x14ac:dyDescent="0.2">
      <c r="A168" s="9"/>
      <c r="B168" s="9"/>
      <c r="C168" s="9"/>
      <c r="D168" s="9"/>
      <c r="E168" s="9"/>
      <c r="F168" s="9"/>
    </row>
    <row r="169" spans="1:6" x14ac:dyDescent="0.2">
      <c r="A169" s="9"/>
      <c r="B169" s="9"/>
      <c r="C169" s="9"/>
      <c r="D169" s="9"/>
      <c r="E169" s="9"/>
      <c r="F169" s="9"/>
    </row>
    <row r="170" spans="1:6" x14ac:dyDescent="0.2">
      <c r="A170" s="9"/>
      <c r="B170" s="9"/>
      <c r="C170" s="9"/>
      <c r="D170" s="9"/>
      <c r="E170" s="9"/>
      <c r="F170" s="9"/>
    </row>
    <row r="171" spans="1:6" x14ac:dyDescent="0.2">
      <c r="A171" s="9"/>
      <c r="B171" s="9"/>
      <c r="C171" s="9"/>
      <c r="D171" s="9"/>
      <c r="E171" s="9"/>
      <c r="F171" s="9"/>
    </row>
    <row r="172" spans="1:6" x14ac:dyDescent="0.2">
      <c r="A172" s="9"/>
      <c r="B172" s="9"/>
      <c r="C172" s="9"/>
      <c r="D172" s="9"/>
      <c r="E172" s="9"/>
      <c r="F172" s="9"/>
    </row>
    <row r="173" spans="1:6" x14ac:dyDescent="0.2">
      <c r="A173" s="9"/>
      <c r="B173" s="9"/>
      <c r="C173" s="9"/>
      <c r="D173" s="9"/>
      <c r="E173" s="9"/>
      <c r="F173" s="9"/>
    </row>
    <row r="174" spans="1:6" x14ac:dyDescent="0.2">
      <c r="A174" s="9"/>
      <c r="B174" s="9"/>
      <c r="C174" s="9"/>
      <c r="D174" s="9"/>
      <c r="E174" s="9"/>
      <c r="F174" s="9"/>
    </row>
    <row r="175" spans="1:6" x14ac:dyDescent="0.2">
      <c r="A175" s="9"/>
      <c r="B175" s="9"/>
      <c r="C175" s="9"/>
      <c r="D175" s="9"/>
      <c r="E175" s="9"/>
      <c r="F175" s="9"/>
    </row>
    <row r="176" spans="1:6" x14ac:dyDescent="0.2">
      <c r="A176" s="9"/>
      <c r="B176" s="9"/>
      <c r="C176" s="9"/>
      <c r="D176" s="9"/>
      <c r="E176" s="9"/>
      <c r="F176" s="9"/>
    </row>
    <row r="177" spans="1:6" x14ac:dyDescent="0.2">
      <c r="A177" s="9"/>
      <c r="B177" s="9"/>
      <c r="C177" s="9"/>
      <c r="D177" s="9"/>
      <c r="E177" s="9"/>
      <c r="F177" s="9"/>
    </row>
    <row r="178" spans="1:6" x14ac:dyDescent="0.2">
      <c r="A178" s="9"/>
      <c r="B178" s="9"/>
      <c r="C178" s="9"/>
      <c r="D178" s="9"/>
      <c r="E178" s="9"/>
      <c r="F178" s="9"/>
    </row>
    <row r="179" spans="1:6" x14ac:dyDescent="0.2">
      <c r="A179" s="9"/>
      <c r="B179" s="9"/>
      <c r="C179" s="9"/>
      <c r="D179" s="9"/>
      <c r="E179" s="9"/>
      <c r="F179" s="9"/>
    </row>
    <row r="180" spans="1:6" x14ac:dyDescent="0.2">
      <c r="A180" s="9"/>
      <c r="B180" s="9"/>
      <c r="C180" s="9"/>
      <c r="D180" s="9"/>
      <c r="E180" s="9"/>
      <c r="F180" s="9"/>
    </row>
    <row r="181" spans="1:6" x14ac:dyDescent="0.2">
      <c r="A181" s="9"/>
      <c r="B181" s="9"/>
      <c r="C181" s="9"/>
      <c r="D181" s="9"/>
      <c r="E181" s="9"/>
      <c r="F181" s="9"/>
    </row>
    <row r="182" spans="1:6" x14ac:dyDescent="0.2">
      <c r="A182" s="9"/>
      <c r="B182" s="9"/>
      <c r="C182" s="9"/>
      <c r="D182" s="9"/>
      <c r="E182" s="9"/>
      <c r="F182" s="9"/>
    </row>
    <row r="183" spans="1:6" x14ac:dyDescent="0.2">
      <c r="A183" s="9"/>
      <c r="B183" s="9"/>
      <c r="C183" s="9"/>
      <c r="D183" s="9"/>
      <c r="E183" s="9"/>
      <c r="F183" s="9"/>
    </row>
    <row r="184" spans="1:6" x14ac:dyDescent="0.2">
      <c r="A184" s="9"/>
      <c r="B184" s="9"/>
      <c r="C184" s="9"/>
      <c r="D184" s="9"/>
      <c r="E184" s="9"/>
      <c r="F184" s="9"/>
    </row>
    <row r="185" spans="1:6" x14ac:dyDescent="0.2">
      <c r="A185" s="9"/>
      <c r="B185" s="9"/>
      <c r="C185" s="9"/>
      <c r="D185" s="9"/>
      <c r="E185" s="9"/>
      <c r="F185" s="9"/>
    </row>
    <row r="186" spans="1:6" x14ac:dyDescent="0.2">
      <c r="A186" s="9"/>
      <c r="B186" s="9"/>
      <c r="C186" s="9"/>
      <c r="D186" s="9"/>
      <c r="E186" s="9"/>
      <c r="F186" s="9"/>
    </row>
    <row r="187" spans="1:6" x14ac:dyDescent="0.2">
      <c r="A187" s="9"/>
      <c r="B187" s="9"/>
      <c r="C187" s="9"/>
      <c r="D187" s="9"/>
      <c r="E187" s="9"/>
      <c r="F187" s="9"/>
    </row>
    <row r="188" spans="1:6" x14ac:dyDescent="0.2">
      <c r="A188" s="9"/>
      <c r="B188" s="9"/>
      <c r="C188" s="9"/>
      <c r="D188" s="9"/>
      <c r="E188" s="9"/>
      <c r="F188" s="9"/>
    </row>
    <row r="189" spans="1:6" x14ac:dyDescent="0.2">
      <c r="A189" s="9"/>
      <c r="B189" s="9"/>
      <c r="C189" s="9"/>
      <c r="D189" s="9"/>
      <c r="E189" s="9"/>
      <c r="F189" s="9"/>
    </row>
    <row r="190" spans="1:6" x14ac:dyDescent="0.2">
      <c r="A190" s="9"/>
      <c r="B190" s="9"/>
      <c r="C190" s="9"/>
      <c r="D190" s="9"/>
      <c r="E190" s="9"/>
      <c r="F190" s="9"/>
    </row>
    <row r="191" spans="1:6" x14ac:dyDescent="0.2">
      <c r="A191" s="9"/>
      <c r="B191" s="9"/>
      <c r="C191" s="9"/>
      <c r="D191" s="9"/>
      <c r="E191" s="9"/>
      <c r="F191" s="9"/>
    </row>
    <row r="192" spans="1:6" x14ac:dyDescent="0.2">
      <c r="A192" s="9"/>
      <c r="B192" s="9"/>
      <c r="C192" s="9"/>
      <c r="D192" s="9"/>
      <c r="E192" s="9"/>
      <c r="F192" s="9"/>
    </row>
    <row r="193" spans="1:6" x14ac:dyDescent="0.2">
      <c r="A193" s="9"/>
      <c r="B193" s="9"/>
      <c r="C193" s="9"/>
      <c r="D193" s="9"/>
      <c r="E193" s="9"/>
      <c r="F193" s="9"/>
    </row>
    <row r="194" spans="1:6" x14ac:dyDescent="0.2">
      <c r="A194" s="9"/>
      <c r="B194" s="9"/>
      <c r="C194" s="9"/>
      <c r="D194" s="9"/>
      <c r="E194" s="9"/>
      <c r="F194" s="9"/>
    </row>
    <row r="195" spans="1:6" x14ac:dyDescent="0.2">
      <c r="A195" s="9"/>
      <c r="B195" s="9"/>
      <c r="C195" s="9"/>
      <c r="D195" s="9"/>
      <c r="E195" s="9"/>
      <c r="F195" s="9"/>
    </row>
    <row r="196" spans="1:6" x14ac:dyDescent="0.2">
      <c r="A196" s="9"/>
      <c r="B196" s="9"/>
      <c r="C196" s="9"/>
      <c r="D196" s="9"/>
      <c r="E196" s="9"/>
      <c r="F196" s="9"/>
    </row>
    <row r="197" spans="1:6" x14ac:dyDescent="0.2">
      <c r="A197" s="9"/>
      <c r="B197" s="9"/>
      <c r="C197" s="9"/>
      <c r="D197" s="9"/>
      <c r="E197" s="9"/>
      <c r="F197" s="9"/>
    </row>
    <row r="198" spans="1:6" x14ac:dyDescent="0.2">
      <c r="A198" s="9"/>
      <c r="B198" s="9"/>
      <c r="C198" s="9"/>
      <c r="D198" s="9"/>
      <c r="E198" s="9"/>
      <c r="F198" s="9"/>
    </row>
    <row r="199" spans="1:6" x14ac:dyDescent="0.2">
      <c r="A199" s="9"/>
      <c r="B199" s="9"/>
      <c r="C199" s="9"/>
      <c r="D199" s="9"/>
      <c r="E199" s="9"/>
      <c r="F199" s="9"/>
    </row>
    <row r="200" spans="1:6" x14ac:dyDescent="0.2">
      <c r="A200" s="9"/>
      <c r="B200" s="9"/>
      <c r="C200" s="9"/>
      <c r="D200" s="9"/>
      <c r="E200" s="9"/>
      <c r="F200" s="9"/>
    </row>
    <row r="201" spans="1:6" x14ac:dyDescent="0.2">
      <c r="A201" s="9"/>
      <c r="B201" s="9"/>
      <c r="C201" s="9"/>
      <c r="D201" s="9"/>
      <c r="E201" s="9"/>
      <c r="F201" s="9"/>
    </row>
    <row r="202" spans="1:6" x14ac:dyDescent="0.2">
      <c r="A202" s="9"/>
      <c r="B202" s="9"/>
      <c r="C202" s="9"/>
      <c r="D202" s="9"/>
      <c r="E202" s="9"/>
      <c r="F202" s="9"/>
    </row>
    <row r="203" spans="1:6" x14ac:dyDescent="0.2">
      <c r="A203" s="9"/>
      <c r="B203" s="9"/>
      <c r="C203" s="9"/>
      <c r="D203" s="9"/>
      <c r="E203" s="9"/>
      <c r="F203" s="9"/>
    </row>
    <row r="204" spans="1:6" x14ac:dyDescent="0.2">
      <c r="E204" s="9"/>
      <c r="F204" s="9"/>
    </row>
    <row r="205" spans="1:6" x14ac:dyDescent="0.2">
      <c r="E205" s="9"/>
      <c r="F205" s="9"/>
    </row>
  </sheetData>
  <mergeCells count="6">
    <mergeCell ref="I3:J3"/>
    <mergeCell ref="B3:D4"/>
    <mergeCell ref="E3:F4"/>
    <mergeCell ref="A1:F1"/>
    <mergeCell ref="A2:F2"/>
    <mergeCell ref="A3:A5"/>
  </mergeCells>
  <phoneticPr fontId="49" type="noConversion"/>
  <printOptions horizontalCentered="1"/>
  <pageMargins left="0.59055118110236227" right="0.59055118110236227" top="0.70866141732283472" bottom="0.19685039370078741" header="0.31496062992125984" footer="0.51181102362204722"/>
  <pageSetup paperSize="9" firstPageNumber="41" orientation="landscape" useFirstPageNumber="1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I109"/>
  <sheetViews>
    <sheetView zoomScaleNormal="100" zoomScaleSheetLayoutView="100" workbookViewId="0">
      <selection sqref="A1:F1"/>
    </sheetView>
  </sheetViews>
  <sheetFormatPr defaultRowHeight="14.25" x14ac:dyDescent="0.2"/>
  <cols>
    <col min="1" max="1" width="50.28515625" style="5" customWidth="1"/>
    <col min="2" max="3" width="14.7109375" style="5" customWidth="1"/>
    <col min="4" max="4" width="15.42578125" style="5" customWidth="1"/>
    <col min="5" max="6" width="19.7109375" style="5" customWidth="1"/>
    <col min="7" max="7" width="14.85546875" style="9" customWidth="1"/>
    <col min="8" max="16384" width="9.140625" style="9"/>
  </cols>
  <sheetData>
    <row r="1" spans="1:9" ht="16.5" customHeight="1" x14ac:dyDescent="0.2">
      <c r="A1" s="564" t="s">
        <v>295</v>
      </c>
      <c r="B1" s="564"/>
      <c r="C1" s="564"/>
      <c r="D1" s="564"/>
      <c r="E1" s="564"/>
      <c r="F1" s="564"/>
    </row>
    <row r="2" spans="1:9" ht="12.75" customHeight="1" x14ac:dyDescent="0.2">
      <c r="A2" s="104"/>
      <c r="B2" s="104"/>
      <c r="C2" s="104"/>
      <c r="D2" s="104"/>
      <c r="E2" s="104"/>
      <c r="F2" s="104"/>
    </row>
    <row r="3" spans="1:9" ht="15" customHeight="1" x14ac:dyDescent="0.2">
      <c r="A3" s="565"/>
      <c r="B3" s="566" t="s">
        <v>217</v>
      </c>
      <c r="C3" s="566"/>
      <c r="D3" s="566"/>
      <c r="E3" s="566" t="s">
        <v>324</v>
      </c>
      <c r="F3" s="566"/>
    </row>
    <row r="4" spans="1:9" ht="15" customHeight="1" x14ac:dyDescent="0.2">
      <c r="A4" s="565"/>
      <c r="B4" s="566"/>
      <c r="C4" s="566"/>
      <c r="D4" s="566"/>
      <c r="E4" s="566"/>
      <c r="F4" s="566"/>
    </row>
    <row r="5" spans="1:9" ht="39.75" customHeight="1" x14ac:dyDescent="0.2">
      <c r="A5" s="565"/>
      <c r="B5" s="295" t="s">
        <v>234</v>
      </c>
      <c r="C5" s="295" t="s">
        <v>230</v>
      </c>
      <c r="D5" s="298" t="s">
        <v>297</v>
      </c>
      <c r="E5" s="295" t="s">
        <v>234</v>
      </c>
      <c r="F5" s="295" t="s">
        <v>230</v>
      </c>
    </row>
    <row r="6" spans="1:9" s="8" customFormat="1" ht="15" x14ac:dyDescent="0.25">
      <c r="A6" s="300" t="s">
        <v>180</v>
      </c>
      <c r="B6" s="208">
        <v>11428</v>
      </c>
      <c r="C6" s="208">
        <v>12664</v>
      </c>
      <c r="D6" s="163">
        <f>ROUND(B6/$B$6*100,1)</f>
        <v>100</v>
      </c>
      <c r="E6" s="214">
        <v>60.2</v>
      </c>
      <c r="F6" s="214">
        <v>65.2</v>
      </c>
      <c r="G6" s="162"/>
      <c r="H6" s="190"/>
    </row>
    <row r="7" spans="1:9" s="8" customFormat="1" ht="15" x14ac:dyDescent="0.25">
      <c r="A7" s="272" t="s">
        <v>181</v>
      </c>
      <c r="B7" s="209"/>
      <c r="C7" s="209"/>
      <c r="D7" s="163"/>
      <c r="E7" s="215"/>
      <c r="F7" s="215"/>
      <c r="H7" s="190"/>
    </row>
    <row r="8" spans="1:9" ht="15" x14ac:dyDescent="0.25">
      <c r="A8" s="269" t="s">
        <v>305</v>
      </c>
      <c r="B8" s="210">
        <v>433</v>
      </c>
      <c r="C8" s="210">
        <v>484</v>
      </c>
      <c r="D8" s="164">
        <f t="shared" ref="D8:D29" si="0">ROUND(B8/$B$6*100,1)</f>
        <v>3.8</v>
      </c>
      <c r="E8" s="213">
        <v>2.2999999999999998</v>
      </c>
      <c r="F8" s="213">
        <v>2.5</v>
      </c>
      <c r="H8" s="190"/>
      <c r="I8" s="8"/>
    </row>
    <row r="9" spans="1:9" ht="15" x14ac:dyDescent="0.25">
      <c r="A9" s="270" t="s">
        <v>182</v>
      </c>
      <c r="B9" s="211"/>
      <c r="C9" s="211"/>
      <c r="D9" s="164"/>
      <c r="E9" s="216"/>
      <c r="F9" s="216"/>
      <c r="G9" s="107"/>
      <c r="H9" s="190"/>
      <c r="I9" s="8"/>
    </row>
    <row r="10" spans="1:9" ht="15" x14ac:dyDescent="0.25">
      <c r="A10" s="301" t="s">
        <v>302</v>
      </c>
      <c r="B10" s="210">
        <v>73</v>
      </c>
      <c r="C10" s="210">
        <v>83</v>
      </c>
      <c r="D10" s="164">
        <f t="shared" si="0"/>
        <v>0.6</v>
      </c>
      <c r="E10" s="213">
        <v>0.4</v>
      </c>
      <c r="F10" s="213">
        <v>0.4</v>
      </c>
      <c r="G10" s="107"/>
      <c r="H10" s="190"/>
      <c r="I10" s="8"/>
    </row>
    <row r="11" spans="1:9" ht="15" x14ac:dyDescent="0.25">
      <c r="A11" s="301" t="s">
        <v>301</v>
      </c>
      <c r="B11" s="212">
        <v>88</v>
      </c>
      <c r="C11" s="212">
        <v>105</v>
      </c>
      <c r="D11" s="164">
        <f t="shared" si="0"/>
        <v>0.8</v>
      </c>
      <c r="E11" s="217">
        <v>0.5</v>
      </c>
      <c r="F11" s="217">
        <v>0.5</v>
      </c>
      <c r="G11" s="107"/>
      <c r="H11" s="190"/>
      <c r="I11" s="8"/>
    </row>
    <row r="12" spans="1:9" ht="26.25" x14ac:dyDescent="0.25">
      <c r="A12" s="269" t="s">
        <v>298</v>
      </c>
      <c r="B12" s="210">
        <v>66</v>
      </c>
      <c r="C12" s="210">
        <v>65</v>
      </c>
      <c r="D12" s="164">
        <f t="shared" si="0"/>
        <v>0.6</v>
      </c>
      <c r="E12" s="213">
        <v>0.3</v>
      </c>
      <c r="F12" s="213">
        <v>0.3</v>
      </c>
      <c r="G12" s="107"/>
      <c r="H12" s="190"/>
      <c r="I12" s="8"/>
    </row>
    <row r="13" spans="1:9" ht="15" x14ac:dyDescent="0.25">
      <c r="A13" s="269" t="s">
        <v>299</v>
      </c>
      <c r="B13" s="210">
        <v>387</v>
      </c>
      <c r="C13" s="210">
        <v>354</v>
      </c>
      <c r="D13" s="164">
        <f t="shared" si="0"/>
        <v>3.4</v>
      </c>
      <c r="E13" s="425">
        <v>2</v>
      </c>
      <c r="F13" s="213">
        <v>1.8</v>
      </c>
      <c r="G13" s="107"/>
      <c r="H13" s="190"/>
      <c r="I13" s="8"/>
    </row>
    <row r="14" spans="1:9" ht="26.25" x14ac:dyDescent="0.25">
      <c r="A14" s="302" t="s">
        <v>300</v>
      </c>
      <c r="B14" s="212">
        <v>55</v>
      </c>
      <c r="C14" s="212">
        <v>43</v>
      </c>
      <c r="D14" s="164">
        <f t="shared" si="0"/>
        <v>0.5</v>
      </c>
      <c r="E14" s="217">
        <v>0.3</v>
      </c>
      <c r="F14" s="217">
        <v>0.2</v>
      </c>
      <c r="G14" s="107"/>
      <c r="H14" s="190"/>
      <c r="I14" s="8"/>
    </row>
    <row r="15" spans="1:9" ht="15" x14ac:dyDescent="0.25">
      <c r="A15" s="269" t="s">
        <v>256</v>
      </c>
      <c r="B15" s="210">
        <v>534</v>
      </c>
      <c r="C15" s="210">
        <v>601</v>
      </c>
      <c r="D15" s="164">
        <f t="shared" si="0"/>
        <v>4.7</v>
      </c>
      <c r="E15" s="213">
        <v>2.8</v>
      </c>
      <c r="F15" s="213">
        <v>3.1</v>
      </c>
      <c r="G15" s="107"/>
      <c r="H15" s="190"/>
      <c r="I15" s="8"/>
    </row>
    <row r="16" spans="1:9" ht="15" x14ac:dyDescent="0.25">
      <c r="A16" s="270" t="s">
        <v>183</v>
      </c>
      <c r="B16" s="211"/>
      <c r="C16" s="211"/>
      <c r="D16" s="164"/>
      <c r="E16" s="216"/>
      <c r="F16" s="216"/>
      <c r="G16" s="107"/>
      <c r="H16" s="190"/>
      <c r="I16" s="8"/>
    </row>
    <row r="17" spans="1:9" ht="15" x14ac:dyDescent="0.25">
      <c r="A17" s="270" t="s">
        <v>184</v>
      </c>
      <c r="B17" s="210">
        <v>346</v>
      </c>
      <c r="C17" s="210">
        <v>401</v>
      </c>
      <c r="D17" s="164">
        <f t="shared" si="0"/>
        <v>3</v>
      </c>
      <c r="E17" s="213">
        <v>1.8</v>
      </c>
      <c r="F17" s="213">
        <v>2.1</v>
      </c>
      <c r="G17" s="107"/>
      <c r="H17" s="190"/>
      <c r="I17" s="8"/>
    </row>
    <row r="18" spans="1:9" ht="15" x14ac:dyDescent="0.25">
      <c r="A18" s="270" t="s">
        <v>185</v>
      </c>
      <c r="B18" s="211">
        <v>134</v>
      </c>
      <c r="C18" s="211">
        <v>146</v>
      </c>
      <c r="D18" s="164">
        <f t="shared" si="0"/>
        <v>1.2</v>
      </c>
      <c r="E18" s="216">
        <v>0.7</v>
      </c>
      <c r="F18" s="216">
        <v>0.7</v>
      </c>
      <c r="G18" s="107"/>
      <c r="H18" s="190"/>
      <c r="I18" s="8"/>
    </row>
    <row r="19" spans="1:9" ht="15" x14ac:dyDescent="0.25">
      <c r="A19" s="269" t="s">
        <v>257</v>
      </c>
      <c r="B19" s="210">
        <v>70</v>
      </c>
      <c r="C19" s="210">
        <v>86</v>
      </c>
      <c r="D19" s="164">
        <f t="shared" si="0"/>
        <v>0.6</v>
      </c>
      <c r="E19" s="213">
        <v>0.4</v>
      </c>
      <c r="F19" s="213">
        <v>0.4</v>
      </c>
      <c r="G19" s="107"/>
      <c r="H19" s="190"/>
      <c r="I19" s="8"/>
    </row>
    <row r="20" spans="1:9" ht="26.25" x14ac:dyDescent="0.25">
      <c r="A20" s="269" t="s">
        <v>303</v>
      </c>
      <c r="B20" s="210">
        <v>2550</v>
      </c>
      <c r="C20" s="210">
        <v>2707</v>
      </c>
      <c r="D20" s="164">
        <f t="shared" si="0"/>
        <v>22.3</v>
      </c>
      <c r="E20" s="213">
        <v>13.4</v>
      </c>
      <c r="F20" s="213">
        <v>13.9</v>
      </c>
      <c r="G20" s="107"/>
      <c r="H20" s="190"/>
      <c r="I20" s="8"/>
    </row>
    <row r="21" spans="1:9" ht="15" x14ac:dyDescent="0.25">
      <c r="A21" s="303" t="s">
        <v>186</v>
      </c>
      <c r="B21" s="211"/>
      <c r="C21" s="211"/>
      <c r="D21" s="164"/>
      <c r="E21" s="216"/>
      <c r="F21" s="216"/>
      <c r="G21" s="107"/>
      <c r="H21" s="190"/>
      <c r="I21" s="8"/>
    </row>
    <row r="22" spans="1:9" ht="15" x14ac:dyDescent="0.25">
      <c r="A22" s="304" t="s">
        <v>187</v>
      </c>
      <c r="B22" s="212">
        <v>73</v>
      </c>
      <c r="C22" s="212">
        <v>107</v>
      </c>
      <c r="D22" s="164">
        <f t="shared" si="0"/>
        <v>0.6</v>
      </c>
      <c r="E22" s="217">
        <v>0.4</v>
      </c>
      <c r="F22" s="217">
        <v>0.6</v>
      </c>
      <c r="G22" s="107"/>
      <c r="H22" s="190"/>
      <c r="I22" s="8"/>
    </row>
    <row r="23" spans="1:9" ht="15" x14ac:dyDescent="0.25">
      <c r="A23" s="303" t="s">
        <v>188</v>
      </c>
      <c r="B23" s="210">
        <v>1118</v>
      </c>
      <c r="C23" s="210">
        <v>1235</v>
      </c>
      <c r="D23" s="164">
        <f t="shared" si="0"/>
        <v>9.8000000000000007</v>
      </c>
      <c r="E23" s="213">
        <v>5.9</v>
      </c>
      <c r="F23" s="213">
        <v>6.4</v>
      </c>
      <c r="G23" s="107"/>
      <c r="H23" s="190"/>
      <c r="I23" s="8"/>
    </row>
    <row r="24" spans="1:9" ht="26.25" x14ac:dyDescent="0.25">
      <c r="A24" s="305" t="s">
        <v>304</v>
      </c>
      <c r="B24" s="210">
        <v>5942</v>
      </c>
      <c r="C24" s="210">
        <v>6718</v>
      </c>
      <c r="D24" s="164">
        <f t="shared" si="0"/>
        <v>52</v>
      </c>
      <c r="E24" s="213">
        <v>31.3</v>
      </c>
      <c r="F24" s="213">
        <v>34.6</v>
      </c>
      <c r="G24" s="107"/>
      <c r="H24" s="190"/>
      <c r="I24" s="8"/>
    </row>
    <row r="25" spans="1:9" ht="15" x14ac:dyDescent="0.25">
      <c r="A25" s="304" t="s">
        <v>186</v>
      </c>
      <c r="B25" s="211"/>
      <c r="C25" s="211"/>
      <c r="D25" s="164"/>
      <c r="E25" s="216"/>
      <c r="F25" s="216"/>
      <c r="G25" s="107"/>
      <c r="H25" s="190"/>
      <c r="I25" s="8"/>
    </row>
    <row r="26" spans="1:9" ht="15" x14ac:dyDescent="0.25">
      <c r="A26" s="304" t="s">
        <v>189</v>
      </c>
      <c r="B26" s="212">
        <v>91</v>
      </c>
      <c r="C26" s="212">
        <v>109</v>
      </c>
      <c r="D26" s="164">
        <f t="shared" si="0"/>
        <v>0.8</v>
      </c>
      <c r="E26" s="217">
        <v>0.5</v>
      </c>
      <c r="F26" s="217">
        <v>0.6</v>
      </c>
      <c r="G26" s="107"/>
      <c r="H26" s="90"/>
      <c r="I26" s="8"/>
    </row>
    <row r="27" spans="1:9" ht="15" x14ac:dyDescent="0.25">
      <c r="A27" s="303" t="s">
        <v>190</v>
      </c>
      <c r="B27" s="212">
        <v>456</v>
      </c>
      <c r="C27" s="212">
        <v>532</v>
      </c>
      <c r="D27" s="164">
        <f t="shared" si="0"/>
        <v>4</v>
      </c>
      <c r="E27" s="217">
        <v>2.4</v>
      </c>
      <c r="F27" s="217">
        <v>2.7</v>
      </c>
      <c r="G27" s="107"/>
      <c r="H27" s="190"/>
      <c r="I27" s="8"/>
    </row>
    <row r="28" spans="1:9" ht="15" x14ac:dyDescent="0.25">
      <c r="A28" s="306" t="s">
        <v>191</v>
      </c>
      <c r="B28" s="212">
        <v>827</v>
      </c>
      <c r="C28" s="212">
        <v>1057</v>
      </c>
      <c r="D28" s="164">
        <f t="shared" si="0"/>
        <v>7.2</v>
      </c>
      <c r="E28" s="217">
        <v>4.4000000000000004</v>
      </c>
      <c r="F28" s="217">
        <v>5.4</v>
      </c>
      <c r="G28" s="107"/>
      <c r="H28" s="190"/>
      <c r="I28" s="8"/>
    </row>
    <row r="29" spans="1:9" ht="15" x14ac:dyDescent="0.25">
      <c r="A29" s="341" t="s">
        <v>255</v>
      </c>
      <c r="B29" s="342">
        <v>618</v>
      </c>
      <c r="C29" s="342">
        <v>713</v>
      </c>
      <c r="D29" s="343">
        <f t="shared" si="0"/>
        <v>5.4</v>
      </c>
      <c r="E29" s="344">
        <v>3.3</v>
      </c>
      <c r="F29" s="344">
        <v>3.7</v>
      </c>
      <c r="G29" s="107"/>
      <c r="H29" s="190"/>
      <c r="I29" s="8"/>
    </row>
    <row r="30" spans="1:9" ht="12.75" customHeight="1" x14ac:dyDescent="0.25">
      <c r="A30" s="159"/>
      <c r="B30" s="108"/>
      <c r="C30" s="99"/>
      <c r="D30" s="109"/>
      <c r="E30" s="181"/>
      <c r="F30" s="18"/>
      <c r="H30" s="190"/>
      <c r="I30" s="8"/>
    </row>
    <row r="31" spans="1:9" ht="12.75" customHeight="1" x14ac:dyDescent="0.25">
      <c r="A31" s="150"/>
      <c r="B31" s="108"/>
      <c r="C31" s="99"/>
      <c r="E31" s="106"/>
      <c r="H31" s="190"/>
      <c r="I31" s="8"/>
    </row>
    <row r="32" spans="1:9" ht="12.75" customHeight="1" x14ac:dyDescent="0.25">
      <c r="A32" s="61"/>
      <c r="B32" s="108"/>
      <c r="C32" s="99"/>
      <c r="E32" s="106"/>
      <c r="H32" s="90"/>
      <c r="I32" s="8"/>
    </row>
    <row r="33" spans="1:9" ht="12.75" customHeight="1" x14ac:dyDescent="0.25">
      <c r="C33" s="99"/>
      <c r="E33" s="105"/>
      <c r="H33" s="190"/>
      <c r="I33" s="8"/>
    </row>
    <row r="34" spans="1:9" ht="12.75" customHeight="1" x14ac:dyDescent="0.25">
      <c r="B34" s="108"/>
      <c r="C34" s="101"/>
      <c r="E34" s="106"/>
      <c r="H34" s="190"/>
      <c r="I34" s="8"/>
    </row>
    <row r="35" spans="1:9" ht="12.75" customHeight="1" x14ac:dyDescent="0.25">
      <c r="B35" s="108"/>
      <c r="C35" s="99"/>
      <c r="E35" s="105"/>
      <c r="H35" s="190"/>
      <c r="I35" s="8"/>
    </row>
    <row r="36" spans="1:9" ht="12.75" customHeight="1" x14ac:dyDescent="0.25">
      <c r="B36" s="108"/>
      <c r="C36" s="99"/>
      <c r="E36" s="106"/>
      <c r="H36" s="190"/>
      <c r="I36" s="8"/>
    </row>
    <row r="37" spans="1:9" ht="12.75" customHeight="1" x14ac:dyDescent="0.25">
      <c r="B37" s="108"/>
      <c r="C37" s="99"/>
      <c r="E37" s="106"/>
      <c r="H37" s="190"/>
      <c r="I37" s="8"/>
    </row>
    <row r="38" spans="1:9" ht="12.75" customHeight="1" x14ac:dyDescent="0.25">
      <c r="B38" s="18"/>
      <c r="C38" s="99"/>
      <c r="E38" s="106"/>
      <c r="H38" s="190"/>
      <c r="I38" s="8"/>
    </row>
    <row r="39" spans="1:9" ht="12.75" customHeight="1" x14ac:dyDescent="0.25">
      <c r="C39" s="99"/>
      <c r="E39" s="106"/>
      <c r="H39" s="190"/>
      <c r="I39" s="8"/>
    </row>
    <row r="40" spans="1:9" ht="12.75" customHeight="1" x14ac:dyDescent="0.25">
      <c r="C40" s="99"/>
      <c r="E40" s="18"/>
      <c r="H40" s="190"/>
      <c r="I40" s="8"/>
    </row>
    <row r="41" spans="1:9" ht="12.75" customHeight="1" x14ac:dyDescent="0.25">
      <c r="A41" s="9"/>
      <c r="C41" s="101"/>
      <c r="D41" s="9"/>
      <c r="F41" s="9"/>
      <c r="H41" s="190"/>
      <c r="I41" s="8"/>
    </row>
    <row r="42" spans="1:9" ht="12.75" customHeight="1" x14ac:dyDescent="0.25">
      <c r="A42" s="9"/>
      <c r="C42" s="99"/>
      <c r="D42" s="9"/>
      <c r="F42" s="9"/>
      <c r="H42" s="190"/>
      <c r="I42" s="8"/>
    </row>
    <row r="43" spans="1:9" ht="12.75" customHeight="1" x14ac:dyDescent="0.25">
      <c r="A43" s="9"/>
      <c r="C43" s="99"/>
      <c r="D43" s="9"/>
      <c r="F43" s="9"/>
      <c r="H43" s="190"/>
      <c r="I43" s="8"/>
    </row>
    <row r="44" spans="1:9" ht="12.75" customHeight="1" x14ac:dyDescent="0.25">
      <c r="A44" s="9"/>
      <c r="C44" s="99"/>
      <c r="D44" s="9"/>
      <c r="F44" s="9"/>
      <c r="H44" s="190"/>
      <c r="I44" s="8"/>
    </row>
    <row r="45" spans="1:9" ht="12.75" customHeight="1" x14ac:dyDescent="0.25">
      <c r="A45" s="9"/>
      <c r="C45" s="99"/>
      <c r="D45" s="9"/>
      <c r="F45" s="9"/>
      <c r="H45" s="190"/>
      <c r="I45" s="8"/>
    </row>
    <row r="46" spans="1:9" ht="12.75" customHeight="1" x14ac:dyDescent="0.25">
      <c r="A46" s="9"/>
      <c r="C46" s="99"/>
      <c r="D46" s="9"/>
      <c r="F46" s="9"/>
      <c r="H46" s="190"/>
      <c r="I46" s="8"/>
    </row>
    <row r="47" spans="1:9" ht="12.75" customHeight="1" x14ac:dyDescent="0.25">
      <c r="A47" s="9"/>
      <c r="C47" s="99"/>
      <c r="D47" s="9"/>
      <c r="F47" s="9"/>
      <c r="H47" s="190"/>
      <c r="I47" s="8"/>
    </row>
    <row r="48" spans="1:9" ht="12.75" customHeight="1" x14ac:dyDescent="0.25">
      <c r="A48" s="9"/>
      <c r="C48" s="99"/>
      <c r="D48" s="9"/>
      <c r="F48" s="9"/>
      <c r="H48" s="190"/>
      <c r="I48" s="8"/>
    </row>
    <row r="49" spans="1:9" ht="12.75" customHeight="1" x14ac:dyDescent="0.25">
      <c r="A49" s="9"/>
      <c r="B49" s="9"/>
      <c r="C49" s="101"/>
      <c r="D49" s="9"/>
      <c r="F49" s="9"/>
      <c r="H49" s="190"/>
      <c r="I49" s="8"/>
    </row>
    <row r="50" spans="1:9" ht="12.75" customHeight="1" x14ac:dyDescent="0.25">
      <c r="A50" s="9"/>
      <c r="B50" s="9"/>
      <c r="C50" s="99"/>
      <c r="D50" s="9"/>
      <c r="F50" s="9"/>
      <c r="H50" s="190"/>
      <c r="I50" s="8"/>
    </row>
    <row r="51" spans="1:9" ht="12.75" customHeight="1" x14ac:dyDescent="0.25">
      <c r="A51" s="9"/>
      <c r="B51" s="9"/>
      <c r="C51" s="99"/>
      <c r="D51" s="9"/>
      <c r="E51" s="9"/>
      <c r="F51" s="9"/>
      <c r="H51" s="190"/>
      <c r="I51" s="8"/>
    </row>
    <row r="52" spans="1:9" ht="12.75" customHeight="1" x14ac:dyDescent="0.25">
      <c r="A52" s="9"/>
      <c r="B52" s="9"/>
      <c r="C52" s="99"/>
      <c r="D52" s="9"/>
      <c r="E52" s="9"/>
      <c r="F52" s="9"/>
      <c r="H52" s="190"/>
      <c r="I52" s="8"/>
    </row>
    <row r="53" spans="1:9" ht="12.75" customHeight="1" x14ac:dyDescent="0.25">
      <c r="A53" s="9"/>
      <c r="B53" s="9"/>
      <c r="C53" s="99"/>
      <c r="D53" s="9"/>
      <c r="E53" s="9"/>
      <c r="F53" s="9"/>
      <c r="H53" s="190"/>
      <c r="I53" s="8"/>
    </row>
    <row r="54" spans="1:9" ht="12.75" customHeight="1" x14ac:dyDescent="0.25">
      <c r="A54" s="9"/>
      <c r="B54" s="9"/>
      <c r="C54" s="99"/>
      <c r="D54" s="9"/>
      <c r="E54" s="9"/>
      <c r="F54" s="9"/>
      <c r="H54" s="190"/>
      <c r="I54" s="8"/>
    </row>
    <row r="55" spans="1:9" ht="12.75" customHeight="1" x14ac:dyDescent="0.25">
      <c r="A55" s="9"/>
      <c r="B55" s="9"/>
      <c r="C55" s="99"/>
      <c r="D55" s="9"/>
      <c r="E55" s="9"/>
      <c r="F55" s="9"/>
      <c r="H55" s="190"/>
      <c r="I55" s="8"/>
    </row>
    <row r="56" spans="1:9" ht="12.75" customHeight="1" x14ac:dyDescent="0.25">
      <c r="A56" s="9"/>
      <c r="B56" s="9"/>
      <c r="C56" s="99"/>
      <c r="D56" s="9"/>
      <c r="E56" s="9"/>
      <c r="F56" s="9"/>
      <c r="H56" s="190"/>
      <c r="I56" s="8"/>
    </row>
    <row r="57" spans="1:9" ht="12.75" customHeight="1" x14ac:dyDescent="0.25">
      <c r="A57" s="9"/>
      <c r="B57" s="9"/>
      <c r="C57" s="99"/>
      <c r="D57" s="9"/>
      <c r="E57" s="9"/>
      <c r="F57" s="9"/>
      <c r="H57" s="190"/>
      <c r="I57" s="8"/>
    </row>
    <row r="58" spans="1:9" ht="12.75" customHeight="1" x14ac:dyDescent="0.25">
      <c r="A58" s="9"/>
      <c r="B58" s="9"/>
      <c r="C58" s="99"/>
      <c r="D58" s="9"/>
      <c r="E58" s="9"/>
      <c r="F58" s="9"/>
      <c r="H58" s="190"/>
      <c r="I58" s="8"/>
    </row>
    <row r="59" spans="1:9" ht="12.75" customHeight="1" x14ac:dyDescent="0.25">
      <c r="A59" s="9"/>
      <c r="B59" s="9"/>
      <c r="C59" s="99"/>
      <c r="D59" s="9"/>
      <c r="E59" s="9"/>
      <c r="F59" s="9"/>
      <c r="H59" s="190"/>
      <c r="I59" s="8"/>
    </row>
    <row r="60" spans="1:9" ht="12.75" customHeight="1" x14ac:dyDescent="0.25">
      <c r="A60" s="9"/>
      <c r="B60" s="9"/>
      <c r="C60" s="99"/>
      <c r="D60" s="9"/>
      <c r="E60" s="9"/>
      <c r="F60" s="9"/>
      <c r="H60" s="190"/>
      <c r="I60" s="8"/>
    </row>
    <row r="61" spans="1:9" ht="12.75" customHeight="1" x14ac:dyDescent="0.25">
      <c r="A61" s="9"/>
      <c r="B61" s="9"/>
      <c r="C61" s="99"/>
      <c r="D61" s="9"/>
      <c r="E61" s="9"/>
      <c r="F61" s="9"/>
      <c r="H61" s="190"/>
      <c r="I61" s="8"/>
    </row>
    <row r="62" spans="1:9" ht="12.75" customHeight="1" x14ac:dyDescent="0.25">
      <c r="A62" s="9"/>
      <c r="B62" s="9"/>
      <c r="C62" s="99"/>
      <c r="D62" s="9"/>
      <c r="E62" s="9"/>
      <c r="F62" s="9"/>
      <c r="H62" s="190"/>
      <c r="I62" s="8"/>
    </row>
    <row r="63" spans="1:9" ht="12.75" customHeight="1" x14ac:dyDescent="0.25">
      <c r="A63" s="9"/>
      <c r="B63" s="9"/>
      <c r="C63" s="99"/>
      <c r="D63" s="9"/>
      <c r="E63" s="9"/>
      <c r="F63" s="9"/>
      <c r="H63" s="190"/>
      <c r="I63" s="8"/>
    </row>
    <row r="64" spans="1:9" ht="12.75" customHeight="1" x14ac:dyDescent="0.25">
      <c r="A64" s="9"/>
      <c r="B64" s="9"/>
      <c r="C64" s="101"/>
      <c r="D64" s="9"/>
      <c r="E64" s="9"/>
      <c r="F64" s="9"/>
      <c r="H64" s="190"/>
      <c r="I64" s="8"/>
    </row>
    <row r="65" spans="1:9" ht="12.75" customHeight="1" x14ac:dyDescent="0.25">
      <c r="A65" s="9"/>
      <c r="B65" s="9"/>
      <c r="C65" s="99"/>
      <c r="D65" s="9"/>
      <c r="E65" s="9"/>
      <c r="F65" s="9"/>
      <c r="H65" s="190"/>
      <c r="I65" s="8"/>
    </row>
    <row r="66" spans="1:9" ht="12.75" customHeight="1" x14ac:dyDescent="0.25">
      <c r="A66" s="9"/>
      <c r="B66" s="9"/>
      <c r="C66" s="99"/>
      <c r="D66" s="9"/>
      <c r="E66" s="9"/>
      <c r="F66" s="9"/>
      <c r="H66" s="190"/>
      <c r="I66" s="8"/>
    </row>
    <row r="67" spans="1:9" ht="12.75" customHeight="1" x14ac:dyDescent="0.25">
      <c r="A67" s="9"/>
      <c r="B67" s="9"/>
      <c r="C67" s="99"/>
      <c r="D67" s="9"/>
      <c r="E67" s="9"/>
      <c r="F67" s="9"/>
      <c r="H67" s="190"/>
      <c r="I67" s="8"/>
    </row>
    <row r="68" spans="1:9" ht="12.75" customHeight="1" x14ac:dyDescent="0.25">
      <c r="A68" s="9"/>
      <c r="B68" s="9"/>
      <c r="C68" s="99"/>
      <c r="D68" s="9"/>
      <c r="E68" s="9"/>
      <c r="F68" s="9"/>
      <c r="H68" s="190"/>
      <c r="I68" s="8"/>
    </row>
    <row r="69" spans="1:9" ht="12.75" customHeight="1" x14ac:dyDescent="0.25">
      <c r="A69" s="9"/>
      <c r="B69" s="9"/>
      <c r="C69" s="99"/>
      <c r="D69" s="9"/>
      <c r="E69" s="9"/>
      <c r="F69" s="9"/>
      <c r="H69" s="190"/>
      <c r="I69" s="8"/>
    </row>
    <row r="70" spans="1:9" ht="12.75" customHeight="1" x14ac:dyDescent="0.25">
      <c r="A70" s="9"/>
      <c r="B70" s="9"/>
      <c r="C70" s="99"/>
      <c r="D70" s="9"/>
      <c r="E70" s="9"/>
      <c r="F70" s="9"/>
      <c r="H70" s="190"/>
      <c r="I70" s="8"/>
    </row>
    <row r="71" spans="1:9" ht="12.75" customHeight="1" x14ac:dyDescent="0.25">
      <c r="A71" s="9"/>
      <c r="B71" s="9"/>
      <c r="C71" s="99"/>
      <c r="D71" s="9"/>
      <c r="E71" s="9"/>
      <c r="F71" s="9"/>
      <c r="H71" s="190"/>
      <c r="I71" s="8"/>
    </row>
    <row r="72" spans="1:9" ht="12.75" customHeight="1" x14ac:dyDescent="0.25">
      <c r="A72" s="9"/>
      <c r="B72" s="9"/>
      <c r="C72" s="101"/>
      <c r="D72" s="9"/>
      <c r="E72" s="9"/>
      <c r="F72" s="9"/>
      <c r="H72" s="190"/>
      <c r="I72" s="8"/>
    </row>
    <row r="73" spans="1:9" ht="12.75" customHeight="1" x14ac:dyDescent="0.25">
      <c r="A73" s="9"/>
      <c r="B73" s="9"/>
      <c r="C73" s="99"/>
      <c r="D73" s="9"/>
      <c r="E73" s="9"/>
      <c r="F73" s="9"/>
      <c r="H73" s="190"/>
      <c r="I73" s="8"/>
    </row>
    <row r="74" spans="1:9" ht="12.75" customHeight="1" x14ac:dyDescent="0.25">
      <c r="A74" s="9"/>
      <c r="B74" s="9"/>
      <c r="C74" s="99"/>
      <c r="D74" s="9"/>
      <c r="E74" s="9"/>
      <c r="F74" s="9"/>
      <c r="H74" s="190"/>
      <c r="I74" s="8"/>
    </row>
    <row r="75" spans="1:9" ht="12.75" customHeight="1" x14ac:dyDescent="0.25">
      <c r="A75" s="9"/>
      <c r="B75" s="9"/>
      <c r="C75" s="99"/>
      <c r="D75" s="9"/>
      <c r="E75" s="9"/>
      <c r="F75" s="9"/>
      <c r="H75" s="190"/>
      <c r="I75" s="8"/>
    </row>
    <row r="76" spans="1:9" ht="12.75" customHeight="1" x14ac:dyDescent="0.25">
      <c r="A76" s="9"/>
      <c r="B76" s="9"/>
      <c r="C76" s="99"/>
      <c r="D76" s="9"/>
      <c r="E76" s="9"/>
      <c r="F76" s="9"/>
      <c r="H76" s="190"/>
      <c r="I76" s="8"/>
    </row>
    <row r="77" spans="1:9" ht="12.75" customHeight="1" x14ac:dyDescent="0.25">
      <c r="A77" s="9"/>
      <c r="B77" s="9"/>
      <c r="C77" s="99"/>
      <c r="D77" s="9"/>
      <c r="E77" s="9"/>
      <c r="F77" s="9"/>
      <c r="H77" s="190"/>
      <c r="I77" s="8"/>
    </row>
    <row r="78" spans="1:9" ht="12.75" customHeight="1" x14ac:dyDescent="0.25">
      <c r="A78" s="9"/>
      <c r="B78" s="9"/>
      <c r="C78" s="99"/>
      <c r="D78" s="9"/>
      <c r="E78" s="9"/>
      <c r="F78" s="9"/>
      <c r="H78" s="190"/>
      <c r="I78" s="8"/>
    </row>
    <row r="79" spans="1:9" ht="12.75" customHeight="1" x14ac:dyDescent="0.25">
      <c r="A79" s="9"/>
      <c r="B79" s="9"/>
      <c r="C79" s="99"/>
      <c r="D79" s="9"/>
      <c r="E79" s="9"/>
      <c r="F79" s="9"/>
      <c r="H79" s="190"/>
      <c r="I79" s="8"/>
    </row>
    <row r="80" spans="1:9" ht="12.75" customHeight="1" x14ac:dyDescent="0.25">
      <c r="A80" s="9"/>
      <c r="B80" s="9"/>
      <c r="C80" s="99"/>
      <c r="D80" s="9"/>
      <c r="E80" s="9"/>
      <c r="F80" s="9"/>
      <c r="H80" s="190"/>
      <c r="I80" s="8"/>
    </row>
    <row r="81" spans="1:9" ht="12.75" customHeight="1" x14ac:dyDescent="0.25">
      <c r="A81" s="9"/>
      <c r="B81" s="9"/>
      <c r="C81" s="99"/>
      <c r="D81" s="9"/>
      <c r="E81" s="9"/>
      <c r="F81" s="9"/>
      <c r="H81" s="190"/>
      <c r="I81" s="8"/>
    </row>
    <row r="82" spans="1:9" ht="12.75" customHeight="1" x14ac:dyDescent="0.25">
      <c r="A82" s="9"/>
      <c r="B82" s="9"/>
      <c r="C82" s="99"/>
      <c r="D82" s="9"/>
      <c r="E82" s="9"/>
      <c r="F82" s="9"/>
      <c r="H82" s="190"/>
      <c r="I82" s="8"/>
    </row>
    <row r="83" spans="1:9" ht="12.75" customHeight="1" x14ac:dyDescent="0.25">
      <c r="A83" s="9"/>
      <c r="B83" s="9"/>
      <c r="C83" s="99"/>
      <c r="D83" s="9"/>
      <c r="E83" s="9"/>
      <c r="F83" s="9"/>
      <c r="H83" s="190"/>
      <c r="I83" s="8"/>
    </row>
    <row r="84" spans="1:9" ht="12.75" customHeight="1" x14ac:dyDescent="0.25">
      <c r="A84" s="9"/>
      <c r="B84" s="9"/>
      <c r="C84" s="99"/>
      <c r="D84" s="9"/>
      <c r="E84" s="9"/>
      <c r="F84" s="9"/>
      <c r="H84" s="190"/>
      <c r="I84" s="8"/>
    </row>
    <row r="85" spans="1:9" ht="12.75" customHeight="1" x14ac:dyDescent="0.25">
      <c r="A85" s="9"/>
      <c r="B85" s="9"/>
      <c r="C85" s="101"/>
      <c r="D85" s="9"/>
      <c r="E85" s="9"/>
      <c r="F85" s="9"/>
      <c r="H85" s="190"/>
      <c r="I85" s="8"/>
    </row>
    <row r="86" spans="1:9" ht="12.75" customHeight="1" x14ac:dyDescent="0.25">
      <c r="A86" s="9"/>
      <c r="B86" s="9"/>
      <c r="C86" s="99"/>
      <c r="D86" s="9"/>
      <c r="E86" s="9"/>
      <c r="F86" s="9"/>
      <c r="H86" s="190"/>
      <c r="I86" s="8"/>
    </row>
    <row r="87" spans="1:9" ht="12.75" customHeight="1" x14ac:dyDescent="0.25">
      <c r="A87" s="9"/>
      <c r="B87" s="9"/>
      <c r="C87" s="99"/>
      <c r="D87" s="9"/>
      <c r="E87" s="9"/>
      <c r="F87" s="9"/>
      <c r="H87" s="190"/>
      <c r="I87" s="8"/>
    </row>
    <row r="88" spans="1:9" ht="12.75" customHeight="1" x14ac:dyDescent="0.25">
      <c r="A88" s="9"/>
      <c r="B88" s="9"/>
      <c r="C88" s="99"/>
      <c r="D88" s="9"/>
      <c r="E88" s="9"/>
      <c r="F88" s="9"/>
      <c r="H88" s="190"/>
      <c r="I88" s="8"/>
    </row>
    <row r="89" spans="1:9" ht="12.75" customHeight="1" x14ac:dyDescent="0.25">
      <c r="A89" s="9"/>
      <c r="B89" s="9"/>
      <c r="C89" s="99"/>
      <c r="D89" s="9"/>
      <c r="E89" s="9"/>
      <c r="F89" s="9"/>
      <c r="H89" s="190"/>
      <c r="I89" s="8"/>
    </row>
    <row r="90" spans="1:9" ht="12.75" customHeight="1" x14ac:dyDescent="0.25">
      <c r="A90" s="9"/>
      <c r="B90" s="9"/>
      <c r="C90" s="99"/>
      <c r="D90" s="9"/>
      <c r="E90" s="9"/>
      <c r="F90" s="9"/>
      <c r="H90" s="90"/>
      <c r="I90" s="8"/>
    </row>
    <row r="91" spans="1:9" ht="12.75" customHeight="1" x14ac:dyDescent="0.25">
      <c r="A91" s="9"/>
      <c r="B91" s="9"/>
      <c r="C91" s="99"/>
      <c r="D91" s="9"/>
      <c r="E91" s="9"/>
      <c r="F91" s="9"/>
      <c r="H91" s="190"/>
      <c r="I91" s="8"/>
    </row>
    <row r="92" spans="1:9" ht="12.75" customHeight="1" x14ac:dyDescent="0.25">
      <c r="A92" s="9"/>
      <c r="B92" s="9"/>
      <c r="C92" s="99"/>
      <c r="D92" s="9"/>
      <c r="E92" s="9"/>
      <c r="F92" s="9"/>
      <c r="H92" s="190"/>
      <c r="I92" s="8"/>
    </row>
    <row r="93" spans="1:9" ht="12.75" customHeight="1" x14ac:dyDescent="0.25">
      <c r="A93" s="9"/>
      <c r="B93" s="9"/>
      <c r="C93" s="99"/>
      <c r="D93" s="9"/>
      <c r="E93" s="9"/>
      <c r="F93" s="9"/>
      <c r="H93" s="190"/>
      <c r="I93" s="8"/>
    </row>
    <row r="94" spans="1:9" ht="12.75" customHeight="1" x14ac:dyDescent="0.25">
      <c r="A94" s="9"/>
      <c r="B94" s="9"/>
      <c r="C94" s="99"/>
      <c r="D94" s="9"/>
      <c r="E94" s="9"/>
      <c r="F94" s="9"/>
      <c r="H94" s="190"/>
      <c r="I94" s="8"/>
    </row>
    <row r="95" spans="1:9" ht="12.75" customHeight="1" x14ac:dyDescent="0.25">
      <c r="A95" s="9"/>
      <c r="B95" s="9"/>
      <c r="C95" s="101"/>
      <c r="D95" s="9"/>
      <c r="E95" s="9"/>
      <c r="F95" s="9"/>
      <c r="H95" s="190"/>
      <c r="I95" s="8"/>
    </row>
    <row r="96" spans="1:9" ht="12.75" customHeight="1" x14ac:dyDescent="0.25">
      <c r="A96" s="9"/>
      <c r="B96" s="9"/>
      <c r="C96" s="99"/>
      <c r="D96" s="9"/>
      <c r="E96" s="9"/>
      <c r="F96" s="9"/>
      <c r="H96" s="190"/>
      <c r="I96" s="8"/>
    </row>
    <row r="97" spans="1:9" ht="12.75" customHeight="1" x14ac:dyDescent="0.25">
      <c r="A97" s="9"/>
      <c r="B97" s="9"/>
      <c r="C97" s="99"/>
      <c r="D97" s="9"/>
      <c r="E97" s="9"/>
      <c r="F97" s="9"/>
      <c r="H97" s="190"/>
      <c r="I97" s="8"/>
    </row>
    <row r="98" spans="1:9" ht="12.75" customHeight="1" x14ac:dyDescent="0.2">
      <c r="A98" s="9"/>
      <c r="B98" s="9"/>
      <c r="C98" s="9"/>
      <c r="D98" s="9"/>
      <c r="E98" s="9"/>
      <c r="F98" s="9"/>
    </row>
    <row r="99" spans="1:9" ht="12.75" customHeight="1" x14ac:dyDescent="0.2">
      <c r="A99" s="9"/>
      <c r="B99" s="9"/>
      <c r="C99" s="9"/>
      <c r="D99" s="9"/>
      <c r="E99" s="9"/>
      <c r="F99" s="9"/>
    </row>
    <row r="100" spans="1:9" x14ac:dyDescent="0.2">
      <c r="B100" s="9"/>
      <c r="E100" s="9"/>
    </row>
    <row r="101" spans="1:9" x14ac:dyDescent="0.2">
      <c r="B101" s="9"/>
      <c r="E101" s="9"/>
    </row>
    <row r="102" spans="1:9" x14ac:dyDescent="0.2">
      <c r="B102" s="9"/>
      <c r="E102" s="9"/>
    </row>
    <row r="103" spans="1:9" x14ac:dyDescent="0.2">
      <c r="B103" s="9"/>
      <c r="E103" s="9"/>
    </row>
    <row r="104" spans="1:9" x14ac:dyDescent="0.2">
      <c r="B104" s="9"/>
      <c r="E104" s="9"/>
    </row>
    <row r="105" spans="1:9" x14ac:dyDescent="0.2">
      <c r="B105" s="9"/>
      <c r="E105" s="9"/>
    </row>
    <row r="106" spans="1:9" x14ac:dyDescent="0.2">
      <c r="B106" s="9"/>
      <c r="E106" s="9"/>
    </row>
    <row r="107" spans="1:9" x14ac:dyDescent="0.2">
      <c r="B107" s="9"/>
      <c r="E107" s="9"/>
    </row>
    <row r="108" spans="1:9" x14ac:dyDescent="0.2">
      <c r="E108" s="9"/>
    </row>
    <row r="109" spans="1:9" x14ac:dyDescent="0.2">
      <c r="E109" s="9"/>
    </row>
  </sheetData>
  <mergeCells count="4">
    <mergeCell ref="A1:F1"/>
    <mergeCell ref="A3:A5"/>
    <mergeCell ref="B3:D4"/>
    <mergeCell ref="E3:F4"/>
  </mergeCells>
  <phoneticPr fontId="49" type="noConversion"/>
  <printOptions horizontalCentered="1"/>
  <pageMargins left="0.59055118110236227" right="0.31496062992125984" top="0.70866141732283472" bottom="0.19685039370078741" header="0.31496062992125984" footer="0.51181102362204722"/>
  <pageSetup paperSize="9" firstPageNumber="44" orientation="landscape" useFirstPageNumber="1" horizontalDpi="300" verticalDpi="300" r:id="rId1"/>
  <headerFooter alignWithMargins="0">
    <oddHeader>&amp;C&amp;"Arial,обычный"&amp;10 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M252"/>
  <sheetViews>
    <sheetView zoomScaleNormal="100" workbookViewId="0">
      <selection activeCell="C23" sqref="C23"/>
    </sheetView>
  </sheetViews>
  <sheetFormatPr defaultRowHeight="14.25" x14ac:dyDescent="0.2"/>
  <cols>
    <col min="1" max="1" width="40.28515625" style="5" customWidth="1"/>
    <col min="2" max="2" width="21.7109375" style="5" customWidth="1"/>
    <col min="3" max="3" width="17.140625" style="5" customWidth="1"/>
    <col min="4" max="4" width="12.7109375" style="5" customWidth="1"/>
    <col min="5" max="5" width="21.140625" style="165" customWidth="1"/>
    <col min="6" max="6" width="11.42578125" style="5" customWidth="1"/>
    <col min="7" max="7" width="12.7109375" style="5" customWidth="1"/>
    <col min="8" max="16384" width="9.140625" style="9"/>
  </cols>
  <sheetData>
    <row r="1" spans="1:13" ht="14.1" customHeight="1" x14ac:dyDescent="0.25">
      <c r="A1" s="567" t="s">
        <v>307</v>
      </c>
      <c r="B1" s="567"/>
      <c r="C1" s="567"/>
      <c r="D1" s="567"/>
      <c r="E1" s="567"/>
      <c r="F1" s="567"/>
      <c r="G1" s="567"/>
    </row>
    <row r="2" spans="1:13" ht="14.1" customHeight="1" x14ac:dyDescent="0.25">
      <c r="A2" s="567" t="s">
        <v>308</v>
      </c>
      <c r="B2" s="567"/>
      <c r="C2" s="567"/>
      <c r="D2" s="567"/>
      <c r="E2" s="567"/>
      <c r="F2" s="567"/>
      <c r="G2" s="567"/>
    </row>
    <row r="3" spans="1:13" s="8" customFormat="1" ht="10.5" customHeight="1" x14ac:dyDescent="0.25">
      <c r="A3" s="568"/>
      <c r="B3" s="483" t="s">
        <v>192</v>
      </c>
      <c r="C3" s="483" t="s">
        <v>193</v>
      </c>
      <c r="D3" s="483" t="s">
        <v>142</v>
      </c>
      <c r="E3" s="483"/>
      <c r="F3" s="483"/>
      <c r="G3" s="483"/>
    </row>
    <row r="4" spans="1:13" ht="12.95" customHeight="1" x14ac:dyDescent="0.2">
      <c r="A4" s="569"/>
      <c r="B4" s="570" t="s">
        <v>325</v>
      </c>
      <c r="C4" s="571"/>
      <c r="D4" s="571"/>
      <c r="E4" s="571"/>
      <c r="F4" s="571"/>
      <c r="G4" s="571"/>
    </row>
    <row r="5" spans="1:13" ht="41.25" customHeight="1" x14ac:dyDescent="0.2">
      <c r="A5" s="569"/>
      <c r="B5" s="345" t="s">
        <v>194</v>
      </c>
      <c r="C5" s="299" t="s">
        <v>195</v>
      </c>
      <c r="D5" s="299" t="s">
        <v>196</v>
      </c>
      <c r="E5" s="299" t="s">
        <v>144</v>
      </c>
      <c r="F5" s="299" t="s">
        <v>218</v>
      </c>
      <c r="G5" s="299" t="s">
        <v>197</v>
      </c>
    </row>
    <row r="6" spans="1:13" s="56" customFormat="1" ht="14.1" customHeight="1" x14ac:dyDescent="0.25">
      <c r="A6" s="276" t="s">
        <v>13</v>
      </c>
      <c r="B6" s="447">
        <v>5942</v>
      </c>
      <c r="C6" s="110">
        <v>2550</v>
      </c>
      <c r="D6" s="168">
        <v>534</v>
      </c>
      <c r="E6" s="442">
        <v>433</v>
      </c>
      <c r="F6" s="429">
        <v>618</v>
      </c>
      <c r="G6" s="111">
        <v>70</v>
      </c>
      <c r="H6" s="112"/>
      <c r="I6"/>
      <c r="J6"/>
      <c r="K6" s="112"/>
      <c r="L6" s="112"/>
      <c r="M6" s="112"/>
    </row>
    <row r="7" spans="1:13" s="56" customFormat="1" ht="14.1" customHeight="1" x14ac:dyDescent="0.25">
      <c r="A7" s="244" t="s">
        <v>14</v>
      </c>
      <c r="B7" s="447">
        <v>1338</v>
      </c>
      <c r="C7" s="110">
        <v>718</v>
      </c>
      <c r="D7" s="168">
        <v>85</v>
      </c>
      <c r="E7" s="442">
        <v>75</v>
      </c>
      <c r="F7" s="429">
        <v>87</v>
      </c>
      <c r="G7" s="111">
        <v>6</v>
      </c>
      <c r="H7" s="112"/>
      <c r="I7"/>
      <c r="J7"/>
      <c r="K7" s="112"/>
      <c r="L7" s="112"/>
      <c r="M7" s="112"/>
    </row>
    <row r="8" spans="1:13" ht="14.1" customHeight="1" x14ac:dyDescent="0.25">
      <c r="A8" s="245" t="s">
        <v>15</v>
      </c>
      <c r="B8" s="448">
        <v>66</v>
      </c>
      <c r="C8" s="113">
        <v>19</v>
      </c>
      <c r="D8" s="169">
        <v>0</v>
      </c>
      <c r="E8" s="443">
        <v>4</v>
      </c>
      <c r="F8" s="430">
        <v>3</v>
      </c>
      <c r="G8" s="115">
        <v>0</v>
      </c>
      <c r="H8" s="112"/>
      <c r="I8"/>
      <c r="J8"/>
      <c r="K8" s="112"/>
      <c r="L8" s="112"/>
      <c r="M8" s="116"/>
    </row>
    <row r="9" spans="1:13" ht="14.1" customHeight="1" x14ac:dyDescent="0.25">
      <c r="A9" s="245" t="s">
        <v>16</v>
      </c>
      <c r="B9" s="448">
        <v>50</v>
      </c>
      <c r="C9" s="113">
        <v>26</v>
      </c>
      <c r="D9" s="169">
        <v>5</v>
      </c>
      <c r="E9" s="443">
        <v>3</v>
      </c>
      <c r="F9" s="430">
        <v>11</v>
      </c>
      <c r="G9" s="115">
        <v>0</v>
      </c>
      <c r="H9" s="112"/>
      <c r="I9"/>
      <c r="J9"/>
      <c r="K9" s="112"/>
      <c r="L9" s="112"/>
      <c r="M9" s="112"/>
    </row>
    <row r="10" spans="1:13" ht="14.1" customHeight="1" x14ac:dyDescent="0.25">
      <c r="A10" s="245" t="s">
        <v>17</v>
      </c>
      <c r="B10" s="448">
        <v>62</v>
      </c>
      <c r="C10" s="113">
        <v>20</v>
      </c>
      <c r="D10" s="169">
        <v>1</v>
      </c>
      <c r="E10" s="443">
        <v>2</v>
      </c>
      <c r="F10" s="430">
        <v>6</v>
      </c>
      <c r="G10" s="115">
        <v>0</v>
      </c>
      <c r="H10" s="112"/>
      <c r="I10"/>
      <c r="J10"/>
      <c r="K10" s="112"/>
      <c r="L10" s="112"/>
      <c r="M10" s="116"/>
    </row>
    <row r="11" spans="1:13" ht="14.1" customHeight="1" x14ac:dyDescent="0.25">
      <c r="A11" s="245" t="s">
        <v>18</v>
      </c>
      <c r="B11" s="448">
        <v>55</v>
      </c>
      <c r="C11" s="113">
        <v>32</v>
      </c>
      <c r="D11" s="169">
        <v>7</v>
      </c>
      <c r="E11" s="443">
        <v>9</v>
      </c>
      <c r="F11" s="430">
        <v>1</v>
      </c>
      <c r="G11" s="115">
        <v>0</v>
      </c>
      <c r="H11" s="112"/>
      <c r="I11"/>
      <c r="J11"/>
      <c r="K11" s="112"/>
      <c r="L11" s="112"/>
      <c r="M11" s="112"/>
    </row>
    <row r="12" spans="1:13" ht="14.1" customHeight="1" x14ac:dyDescent="0.25">
      <c r="A12" s="245" t="s">
        <v>19</v>
      </c>
      <c r="B12" s="448">
        <v>27</v>
      </c>
      <c r="C12" s="113">
        <v>23</v>
      </c>
      <c r="D12" s="169">
        <v>2</v>
      </c>
      <c r="E12" s="443">
        <v>2</v>
      </c>
      <c r="F12" s="430">
        <v>3</v>
      </c>
      <c r="G12" s="115">
        <v>0</v>
      </c>
      <c r="H12" s="112"/>
      <c r="I12"/>
      <c r="J12"/>
      <c r="K12" s="112"/>
      <c r="L12" s="112"/>
      <c r="M12" s="112"/>
    </row>
    <row r="13" spans="1:13" ht="14.1" customHeight="1" x14ac:dyDescent="0.25">
      <c r="A13" s="245" t="s">
        <v>20</v>
      </c>
      <c r="B13" s="448">
        <v>48</v>
      </c>
      <c r="C13" s="113">
        <v>25</v>
      </c>
      <c r="D13" s="169">
        <v>2</v>
      </c>
      <c r="E13" s="443">
        <v>7</v>
      </c>
      <c r="F13" s="430">
        <v>3</v>
      </c>
      <c r="G13" s="115">
        <v>0</v>
      </c>
      <c r="H13" s="112"/>
      <c r="I13"/>
      <c r="J13"/>
      <c r="K13" s="112"/>
      <c r="L13" s="112"/>
      <c r="M13" s="112"/>
    </row>
    <row r="14" spans="1:13" ht="14.1" customHeight="1" x14ac:dyDescent="0.25">
      <c r="A14" s="246" t="s">
        <v>21</v>
      </c>
      <c r="B14" s="448">
        <v>33</v>
      </c>
      <c r="C14" s="113">
        <v>13</v>
      </c>
      <c r="D14" s="169">
        <v>6</v>
      </c>
      <c r="E14" s="443">
        <v>3</v>
      </c>
      <c r="F14" s="430">
        <v>1</v>
      </c>
      <c r="G14" s="115">
        <v>0</v>
      </c>
      <c r="H14" s="112"/>
      <c r="I14"/>
      <c r="J14"/>
      <c r="K14" s="112"/>
      <c r="L14" s="112"/>
      <c r="M14" s="116"/>
    </row>
    <row r="15" spans="1:13" ht="14.1" customHeight="1" x14ac:dyDescent="0.25">
      <c r="A15" s="245" t="s">
        <v>22</v>
      </c>
      <c r="B15" s="448">
        <v>31</v>
      </c>
      <c r="C15" s="113">
        <v>20</v>
      </c>
      <c r="D15" s="169">
        <v>2</v>
      </c>
      <c r="E15" s="443">
        <v>1</v>
      </c>
      <c r="F15" s="430">
        <v>7</v>
      </c>
      <c r="G15" s="115">
        <v>0</v>
      </c>
      <c r="H15" s="112"/>
      <c r="I15"/>
      <c r="J15"/>
      <c r="K15" s="112"/>
      <c r="L15" s="112"/>
      <c r="M15" s="116"/>
    </row>
    <row r="16" spans="1:13" ht="14.1" customHeight="1" x14ac:dyDescent="0.25">
      <c r="A16" s="245" t="s">
        <v>23</v>
      </c>
      <c r="B16" s="448">
        <v>63</v>
      </c>
      <c r="C16" s="113">
        <v>15</v>
      </c>
      <c r="D16" s="169">
        <v>1</v>
      </c>
      <c r="E16" s="443">
        <v>4</v>
      </c>
      <c r="F16" s="430">
        <v>3</v>
      </c>
      <c r="G16" s="115">
        <v>1</v>
      </c>
      <c r="H16" s="112"/>
      <c r="I16"/>
      <c r="J16"/>
      <c r="K16" s="112"/>
      <c r="L16" s="112"/>
      <c r="M16" s="112"/>
    </row>
    <row r="17" spans="1:13" ht="14.1" customHeight="1" x14ac:dyDescent="0.25">
      <c r="A17" s="245" t="s">
        <v>24</v>
      </c>
      <c r="B17" s="448">
        <v>238</v>
      </c>
      <c r="C17" s="113">
        <v>117</v>
      </c>
      <c r="D17" s="169">
        <v>20</v>
      </c>
      <c r="E17" s="443">
        <v>12</v>
      </c>
      <c r="F17" s="430">
        <v>11</v>
      </c>
      <c r="G17" s="115">
        <v>1</v>
      </c>
      <c r="H17" s="112"/>
      <c r="I17"/>
      <c r="J17"/>
      <c r="K17" s="112"/>
      <c r="L17" s="112"/>
      <c r="M17" s="112"/>
    </row>
    <row r="18" spans="1:13" ht="14.1" customHeight="1" x14ac:dyDescent="0.25">
      <c r="A18" s="245" t="s">
        <v>25</v>
      </c>
      <c r="B18" s="448">
        <v>31</v>
      </c>
      <c r="C18" s="113">
        <v>11</v>
      </c>
      <c r="D18" s="169">
        <v>0</v>
      </c>
      <c r="E18" s="443">
        <v>2</v>
      </c>
      <c r="F18" s="430">
        <v>1</v>
      </c>
      <c r="G18" s="115">
        <v>0</v>
      </c>
      <c r="H18" s="112"/>
      <c r="I18"/>
      <c r="J18"/>
      <c r="K18" s="112"/>
      <c r="L18" s="112"/>
      <c r="M18" s="116"/>
    </row>
    <row r="19" spans="1:13" ht="14.1" customHeight="1" x14ac:dyDescent="0.25">
      <c r="A19" s="246" t="s">
        <v>26</v>
      </c>
      <c r="B19" s="448">
        <v>28</v>
      </c>
      <c r="C19" s="113">
        <v>16</v>
      </c>
      <c r="D19" s="169">
        <v>0</v>
      </c>
      <c r="E19" s="443">
        <v>0</v>
      </c>
      <c r="F19" s="430">
        <v>5</v>
      </c>
      <c r="G19" s="115">
        <v>0</v>
      </c>
      <c r="H19" s="112"/>
      <c r="I19"/>
      <c r="J19"/>
      <c r="K19" s="116"/>
      <c r="L19" s="112"/>
      <c r="M19" s="112"/>
    </row>
    <row r="20" spans="1:13" ht="14.1" customHeight="1" x14ac:dyDescent="0.25">
      <c r="A20" s="245" t="s">
        <v>27</v>
      </c>
      <c r="B20" s="448">
        <v>29</v>
      </c>
      <c r="C20" s="113">
        <v>19</v>
      </c>
      <c r="D20" s="169">
        <v>6</v>
      </c>
      <c r="E20" s="443">
        <v>3</v>
      </c>
      <c r="F20" s="430">
        <v>4</v>
      </c>
      <c r="G20" s="115">
        <v>0</v>
      </c>
      <c r="H20" s="112"/>
      <c r="I20"/>
      <c r="J20"/>
      <c r="K20" s="112"/>
      <c r="L20" s="112"/>
      <c r="M20" s="116"/>
    </row>
    <row r="21" spans="1:13" ht="14.1" customHeight="1" x14ac:dyDescent="0.25">
      <c r="A21" s="245" t="s">
        <v>28</v>
      </c>
      <c r="B21" s="448">
        <v>10</v>
      </c>
      <c r="C21" s="113">
        <v>11</v>
      </c>
      <c r="D21" s="169">
        <v>2</v>
      </c>
      <c r="E21" s="443">
        <v>4</v>
      </c>
      <c r="F21" s="430">
        <v>7</v>
      </c>
      <c r="G21" s="115">
        <v>0</v>
      </c>
      <c r="H21" s="112"/>
      <c r="I21"/>
      <c r="J21"/>
      <c r="K21" s="112"/>
      <c r="L21" s="112"/>
      <c r="M21" s="112"/>
    </row>
    <row r="22" spans="1:13" ht="14.1" customHeight="1" x14ac:dyDescent="0.25">
      <c r="A22" s="245" t="s">
        <v>29</v>
      </c>
      <c r="B22" s="448">
        <v>49</v>
      </c>
      <c r="C22" s="113">
        <v>21</v>
      </c>
      <c r="D22" s="169">
        <v>12</v>
      </c>
      <c r="E22" s="443">
        <v>5</v>
      </c>
      <c r="F22" s="430">
        <v>7</v>
      </c>
      <c r="G22" s="115">
        <v>3</v>
      </c>
      <c r="H22" s="112"/>
      <c r="I22"/>
      <c r="J22"/>
      <c r="K22" s="112"/>
      <c r="L22" s="112"/>
      <c r="M22" s="116"/>
    </row>
    <row r="23" spans="1:13" ht="14.1" customHeight="1" x14ac:dyDescent="0.25">
      <c r="A23" s="245" t="s">
        <v>30</v>
      </c>
      <c r="B23" s="448">
        <v>63</v>
      </c>
      <c r="C23" s="113">
        <v>16</v>
      </c>
      <c r="D23" s="169">
        <v>2</v>
      </c>
      <c r="E23" s="443">
        <v>4</v>
      </c>
      <c r="F23" s="430">
        <v>5</v>
      </c>
      <c r="G23" s="115">
        <v>0</v>
      </c>
      <c r="H23" s="112"/>
      <c r="I23"/>
      <c r="J23"/>
      <c r="K23" s="112"/>
      <c r="L23" s="112"/>
      <c r="M23" s="112"/>
    </row>
    <row r="24" spans="1:13" ht="14.1" customHeight="1" x14ac:dyDescent="0.25">
      <c r="A24" s="245" t="s">
        <v>31</v>
      </c>
      <c r="B24" s="448">
        <v>38</v>
      </c>
      <c r="C24" s="113">
        <v>20</v>
      </c>
      <c r="D24" s="169">
        <v>2</v>
      </c>
      <c r="E24" s="443">
        <v>0</v>
      </c>
      <c r="F24" s="430">
        <v>2</v>
      </c>
      <c r="G24" s="115">
        <v>1</v>
      </c>
      <c r="H24" s="112"/>
      <c r="I24"/>
      <c r="J24"/>
      <c r="K24" s="112"/>
      <c r="L24" s="112"/>
      <c r="M24" s="116"/>
    </row>
    <row r="25" spans="1:13" ht="14.1" customHeight="1" x14ac:dyDescent="0.25">
      <c r="A25" s="245" t="s">
        <v>32</v>
      </c>
      <c r="B25" s="448">
        <v>417</v>
      </c>
      <c r="C25" s="113">
        <v>294</v>
      </c>
      <c r="D25" s="169">
        <v>15</v>
      </c>
      <c r="E25" s="443">
        <v>10</v>
      </c>
      <c r="F25" s="430">
        <v>7</v>
      </c>
      <c r="G25" s="115">
        <v>0</v>
      </c>
      <c r="H25" s="112"/>
      <c r="I25"/>
      <c r="J25"/>
      <c r="K25" s="112"/>
      <c r="L25" s="112"/>
      <c r="M25" s="116"/>
    </row>
    <row r="26" spans="1:13" s="56" customFormat="1" ht="14.1" customHeight="1" x14ac:dyDescent="0.25">
      <c r="A26" s="247" t="s">
        <v>33</v>
      </c>
      <c r="B26" s="447">
        <v>466</v>
      </c>
      <c r="C26" s="110">
        <v>181</v>
      </c>
      <c r="D26" s="168">
        <v>36</v>
      </c>
      <c r="E26" s="442">
        <v>35</v>
      </c>
      <c r="F26" s="429">
        <v>31</v>
      </c>
      <c r="G26" s="111">
        <v>2</v>
      </c>
      <c r="H26" s="112"/>
      <c r="I26"/>
      <c r="J26"/>
      <c r="K26" s="112"/>
      <c r="L26" s="112"/>
      <c r="M26" s="112"/>
    </row>
    <row r="27" spans="1:13" ht="14.1" customHeight="1" x14ac:dyDescent="0.25">
      <c r="A27" s="245" t="s">
        <v>34</v>
      </c>
      <c r="B27" s="448">
        <v>32</v>
      </c>
      <c r="C27" s="113">
        <v>7</v>
      </c>
      <c r="D27" s="169">
        <v>4</v>
      </c>
      <c r="E27" s="443">
        <v>3</v>
      </c>
      <c r="F27" s="430">
        <v>1</v>
      </c>
      <c r="G27" s="115">
        <v>0</v>
      </c>
      <c r="H27" s="112"/>
      <c r="I27"/>
      <c r="J27"/>
      <c r="K27" s="112"/>
      <c r="L27" s="112"/>
      <c r="M27" s="116"/>
    </row>
    <row r="28" spans="1:13" ht="14.1" customHeight="1" x14ac:dyDescent="0.25">
      <c r="A28" s="245" t="s">
        <v>35</v>
      </c>
      <c r="B28" s="448">
        <v>30</v>
      </c>
      <c r="C28" s="113">
        <v>14</v>
      </c>
      <c r="D28" s="169">
        <v>0</v>
      </c>
      <c r="E28" s="443">
        <v>2</v>
      </c>
      <c r="F28" s="430">
        <v>5</v>
      </c>
      <c r="G28" s="115">
        <v>0</v>
      </c>
      <c r="H28" s="112"/>
      <c r="I28"/>
      <c r="J28"/>
      <c r="K28" s="112"/>
      <c r="L28" s="112"/>
      <c r="M28" s="116"/>
    </row>
    <row r="29" spans="1:13" ht="14.1" customHeight="1" x14ac:dyDescent="0.25">
      <c r="A29" s="245" t="s">
        <v>36</v>
      </c>
      <c r="B29" s="448">
        <v>59</v>
      </c>
      <c r="C29" s="113">
        <v>10</v>
      </c>
      <c r="D29" s="169">
        <v>1</v>
      </c>
      <c r="E29" s="443">
        <v>3</v>
      </c>
      <c r="F29" s="430">
        <v>2</v>
      </c>
      <c r="G29" s="115">
        <v>0</v>
      </c>
      <c r="H29" s="112"/>
      <c r="I29"/>
      <c r="J29"/>
      <c r="K29" s="112"/>
      <c r="L29" s="112"/>
      <c r="M29" s="116"/>
    </row>
    <row r="30" spans="1:13" ht="14.1" customHeight="1" x14ac:dyDescent="0.25">
      <c r="A30" s="245" t="s">
        <v>37</v>
      </c>
      <c r="B30" s="448">
        <v>1</v>
      </c>
      <c r="C30" s="113">
        <v>0</v>
      </c>
      <c r="D30" s="169">
        <v>0</v>
      </c>
      <c r="E30" s="443">
        <v>1</v>
      </c>
      <c r="F30" s="430">
        <v>0</v>
      </c>
      <c r="G30" s="115">
        <v>0</v>
      </c>
      <c r="H30" s="112"/>
      <c r="I30"/>
      <c r="J30"/>
      <c r="K30" s="112"/>
      <c r="L30" s="112"/>
      <c r="M30" s="116"/>
    </row>
    <row r="31" spans="1:13" ht="14.1" customHeight="1" x14ac:dyDescent="0.25">
      <c r="A31" s="248" t="s">
        <v>318</v>
      </c>
      <c r="B31" s="448">
        <v>58</v>
      </c>
      <c r="C31" s="113">
        <v>10</v>
      </c>
      <c r="D31" s="169">
        <v>1</v>
      </c>
      <c r="E31" s="443">
        <v>2</v>
      </c>
      <c r="F31" s="430">
        <v>2</v>
      </c>
      <c r="G31" s="115">
        <v>0</v>
      </c>
      <c r="H31" s="112"/>
      <c r="I31"/>
      <c r="J31"/>
      <c r="K31" s="112"/>
      <c r="L31" s="112"/>
      <c r="M31" s="112"/>
    </row>
    <row r="32" spans="1:13" ht="14.1" customHeight="1" x14ac:dyDescent="0.25">
      <c r="A32" s="245" t="s">
        <v>38</v>
      </c>
      <c r="B32" s="448">
        <v>64</v>
      </c>
      <c r="C32" s="113">
        <v>14</v>
      </c>
      <c r="D32" s="169">
        <v>4</v>
      </c>
      <c r="E32" s="443">
        <v>2</v>
      </c>
      <c r="F32" s="430">
        <v>6</v>
      </c>
      <c r="G32" s="115">
        <v>0</v>
      </c>
      <c r="H32" s="112"/>
      <c r="I32"/>
      <c r="J32"/>
      <c r="K32" s="116"/>
      <c r="L32" s="112"/>
      <c r="M32" s="116"/>
    </row>
    <row r="33" spans="1:13" ht="14.1" customHeight="1" x14ac:dyDescent="0.25">
      <c r="A33" s="245" t="s">
        <v>39</v>
      </c>
      <c r="B33" s="448">
        <v>19</v>
      </c>
      <c r="C33" s="113">
        <v>21</v>
      </c>
      <c r="D33" s="169">
        <v>2</v>
      </c>
      <c r="E33" s="443">
        <v>4</v>
      </c>
      <c r="F33" s="430">
        <v>2</v>
      </c>
      <c r="G33" s="115">
        <v>0</v>
      </c>
      <c r="H33" s="112"/>
      <c r="I33"/>
      <c r="J33"/>
      <c r="K33" s="112"/>
      <c r="L33" s="112"/>
      <c r="M33" s="116"/>
    </row>
    <row r="34" spans="1:13" ht="14.1" customHeight="1" x14ac:dyDescent="0.25">
      <c r="A34" s="245" t="s">
        <v>40</v>
      </c>
      <c r="B34" s="448">
        <v>35</v>
      </c>
      <c r="C34" s="113">
        <v>13</v>
      </c>
      <c r="D34" s="169">
        <v>1</v>
      </c>
      <c r="E34" s="443">
        <v>12</v>
      </c>
      <c r="F34" s="430">
        <v>4</v>
      </c>
      <c r="G34" s="115">
        <v>0</v>
      </c>
      <c r="H34" s="112"/>
      <c r="I34"/>
      <c r="J34"/>
      <c r="K34" s="112"/>
      <c r="L34" s="112"/>
      <c r="M34" s="116"/>
    </row>
    <row r="35" spans="1:13" ht="14.1" customHeight="1" x14ac:dyDescent="0.25">
      <c r="A35" s="245" t="s">
        <v>41</v>
      </c>
      <c r="B35" s="448">
        <v>20</v>
      </c>
      <c r="C35" s="113">
        <v>6</v>
      </c>
      <c r="D35" s="169">
        <v>1</v>
      </c>
      <c r="E35" s="443">
        <v>0</v>
      </c>
      <c r="F35" s="430">
        <v>1</v>
      </c>
      <c r="G35" s="115">
        <v>0</v>
      </c>
      <c r="H35" s="112"/>
      <c r="I35"/>
      <c r="J35"/>
      <c r="K35" s="112"/>
      <c r="L35" s="112"/>
      <c r="M35" s="116"/>
    </row>
    <row r="36" spans="1:13" ht="14.1" customHeight="1" x14ac:dyDescent="0.25">
      <c r="A36" s="245" t="s">
        <v>42</v>
      </c>
      <c r="B36" s="448">
        <v>16</v>
      </c>
      <c r="C36" s="113">
        <v>7</v>
      </c>
      <c r="D36" s="169">
        <v>1</v>
      </c>
      <c r="E36" s="443">
        <v>1</v>
      </c>
      <c r="F36" s="430">
        <v>1</v>
      </c>
      <c r="G36" s="115">
        <v>0</v>
      </c>
      <c r="H36" s="112"/>
      <c r="I36"/>
      <c r="J36"/>
      <c r="K36" s="116"/>
      <c r="L36" s="112"/>
      <c r="M36" s="116"/>
    </row>
    <row r="37" spans="1:13" ht="14.1" customHeight="1" x14ac:dyDescent="0.25">
      <c r="A37" s="245" t="s">
        <v>43</v>
      </c>
      <c r="B37" s="448">
        <v>28</v>
      </c>
      <c r="C37" s="113">
        <v>12</v>
      </c>
      <c r="D37" s="169">
        <v>7</v>
      </c>
      <c r="E37" s="443">
        <v>0</v>
      </c>
      <c r="F37" s="430">
        <v>2</v>
      </c>
      <c r="G37" s="115">
        <v>2</v>
      </c>
      <c r="H37" s="112"/>
      <c r="I37"/>
      <c r="J37"/>
      <c r="K37" s="112"/>
      <c r="L37" s="112"/>
      <c r="M37" s="112"/>
    </row>
    <row r="38" spans="1:13" s="56" customFormat="1" ht="14.1" customHeight="1" x14ac:dyDescent="0.25">
      <c r="A38" s="245" t="s">
        <v>44</v>
      </c>
      <c r="B38" s="448">
        <v>163</v>
      </c>
      <c r="C38" s="113">
        <v>77</v>
      </c>
      <c r="D38" s="169">
        <v>15</v>
      </c>
      <c r="E38" s="443">
        <v>8</v>
      </c>
      <c r="F38" s="430">
        <v>7</v>
      </c>
      <c r="G38" s="115">
        <v>0</v>
      </c>
      <c r="H38" s="112"/>
      <c r="I38"/>
      <c r="J38"/>
      <c r="K38" s="112"/>
      <c r="L38" s="112"/>
      <c r="M38" s="112"/>
    </row>
    <row r="39" spans="1:13" ht="14.1" customHeight="1" x14ac:dyDescent="0.25">
      <c r="A39" s="249" t="s">
        <v>45</v>
      </c>
      <c r="B39" s="447">
        <v>544</v>
      </c>
      <c r="C39" s="110">
        <v>237</v>
      </c>
      <c r="D39" s="168">
        <v>69</v>
      </c>
      <c r="E39" s="442">
        <v>59</v>
      </c>
      <c r="F39" s="429">
        <v>66</v>
      </c>
      <c r="G39" s="111">
        <v>13</v>
      </c>
      <c r="H39" s="112"/>
      <c r="I39"/>
      <c r="J39"/>
      <c r="K39" s="112"/>
      <c r="L39" s="112"/>
      <c r="M39" s="116"/>
    </row>
    <row r="40" spans="1:13" ht="14.1" customHeight="1" x14ac:dyDescent="0.25">
      <c r="A40" s="245" t="s">
        <v>46</v>
      </c>
      <c r="B40" s="448">
        <v>10</v>
      </c>
      <c r="C40" s="113">
        <v>5</v>
      </c>
      <c r="D40" s="169">
        <v>4</v>
      </c>
      <c r="E40" s="443">
        <v>1</v>
      </c>
      <c r="F40" s="430">
        <v>0</v>
      </c>
      <c r="G40" s="115">
        <v>2</v>
      </c>
      <c r="H40" s="112"/>
      <c r="I40"/>
      <c r="J40"/>
      <c r="K40" s="116"/>
      <c r="L40" s="112"/>
      <c r="M40" s="116"/>
    </row>
    <row r="41" spans="1:13" ht="14.1" customHeight="1" x14ac:dyDescent="0.25">
      <c r="A41" s="245" t="s">
        <v>47</v>
      </c>
      <c r="B41" s="448">
        <v>8</v>
      </c>
      <c r="C41" s="113">
        <v>7</v>
      </c>
      <c r="D41" s="169">
        <v>2</v>
      </c>
      <c r="E41" s="443">
        <v>1</v>
      </c>
      <c r="F41" s="430">
        <v>3</v>
      </c>
      <c r="G41" s="115">
        <v>0</v>
      </c>
      <c r="H41" s="112"/>
      <c r="I41"/>
      <c r="J41"/>
      <c r="K41" s="112"/>
      <c r="L41" s="112"/>
      <c r="M41" s="112"/>
    </row>
    <row r="42" spans="1:13" ht="14.1" customHeight="1" x14ac:dyDescent="0.25">
      <c r="A42" s="245" t="s">
        <v>211</v>
      </c>
      <c r="B42" s="448">
        <v>70</v>
      </c>
      <c r="C42" s="113">
        <v>23</v>
      </c>
      <c r="D42" s="169">
        <v>9</v>
      </c>
      <c r="E42" s="443">
        <v>3</v>
      </c>
      <c r="F42" s="430">
        <v>2</v>
      </c>
      <c r="G42" s="115">
        <v>0</v>
      </c>
      <c r="H42" s="112"/>
      <c r="I42"/>
      <c r="J42"/>
      <c r="K42" s="112"/>
      <c r="L42" s="112"/>
      <c r="M42" s="112"/>
    </row>
    <row r="43" spans="1:13" ht="14.1" customHeight="1" x14ac:dyDescent="0.25">
      <c r="A43" s="245" t="s">
        <v>48</v>
      </c>
      <c r="B43" s="448">
        <v>171</v>
      </c>
      <c r="C43" s="113">
        <v>81</v>
      </c>
      <c r="D43" s="169">
        <v>20</v>
      </c>
      <c r="E43" s="443">
        <v>6</v>
      </c>
      <c r="F43" s="430">
        <v>22</v>
      </c>
      <c r="G43" s="115">
        <v>5</v>
      </c>
      <c r="H43" s="112"/>
      <c r="I43"/>
      <c r="J43"/>
      <c r="K43" s="112"/>
      <c r="L43" s="112"/>
      <c r="M43" s="112"/>
    </row>
    <row r="44" spans="1:13" ht="14.1" customHeight="1" x14ac:dyDescent="0.25">
      <c r="A44" s="245" t="s">
        <v>49</v>
      </c>
      <c r="B44" s="448">
        <v>39</v>
      </c>
      <c r="C44" s="113">
        <v>13</v>
      </c>
      <c r="D44" s="169">
        <v>7</v>
      </c>
      <c r="E44" s="443">
        <v>8</v>
      </c>
      <c r="F44" s="430">
        <v>3</v>
      </c>
      <c r="G44" s="115">
        <v>0</v>
      </c>
      <c r="H44" s="112"/>
      <c r="I44"/>
      <c r="J44"/>
      <c r="K44" s="112"/>
      <c r="L44" s="112"/>
      <c r="M44" s="112"/>
    </row>
    <row r="45" spans="1:13" ht="14.1" customHeight="1" x14ac:dyDescent="0.25">
      <c r="A45" s="245" t="s">
        <v>50</v>
      </c>
      <c r="B45" s="448">
        <v>60</v>
      </c>
      <c r="C45" s="113">
        <v>47</v>
      </c>
      <c r="D45" s="169">
        <v>9</v>
      </c>
      <c r="E45" s="443">
        <v>3</v>
      </c>
      <c r="F45" s="430">
        <v>22</v>
      </c>
      <c r="G45" s="115">
        <v>4</v>
      </c>
      <c r="H45" s="112"/>
      <c r="I45"/>
      <c r="J45"/>
      <c r="K45" s="112"/>
      <c r="L45" s="112"/>
      <c r="M45" s="112"/>
    </row>
    <row r="46" spans="1:13" ht="14.1" customHeight="1" x14ac:dyDescent="0.25">
      <c r="A46" s="245" t="s">
        <v>51</v>
      </c>
      <c r="B46" s="448">
        <v>171</v>
      </c>
      <c r="C46" s="113">
        <v>53</v>
      </c>
      <c r="D46" s="169">
        <v>18</v>
      </c>
      <c r="E46" s="443">
        <v>37</v>
      </c>
      <c r="F46" s="430">
        <v>14</v>
      </c>
      <c r="G46" s="115">
        <v>1</v>
      </c>
      <c r="H46" s="112"/>
      <c r="I46"/>
      <c r="J46"/>
      <c r="K46" s="112"/>
      <c r="L46" s="112"/>
      <c r="M46" s="112"/>
    </row>
    <row r="47" spans="1:13" ht="14.1" customHeight="1" x14ac:dyDescent="0.25">
      <c r="A47" s="245" t="s">
        <v>213</v>
      </c>
      <c r="B47" s="448">
        <v>15</v>
      </c>
      <c r="C47" s="113">
        <v>8</v>
      </c>
      <c r="D47" s="169">
        <v>0</v>
      </c>
      <c r="E47" s="443">
        <v>0</v>
      </c>
      <c r="F47" s="430">
        <v>0</v>
      </c>
      <c r="G47" s="115">
        <v>1</v>
      </c>
      <c r="H47" s="112"/>
      <c r="I47"/>
      <c r="J47"/>
      <c r="K47" s="112"/>
      <c r="L47" s="112"/>
      <c r="M47" s="112"/>
    </row>
    <row r="48" spans="1:13" ht="14.1" customHeight="1" x14ac:dyDescent="0.25">
      <c r="A48" s="250" t="s">
        <v>52</v>
      </c>
      <c r="B48" s="447">
        <v>839</v>
      </c>
      <c r="C48" s="110">
        <v>293</v>
      </c>
      <c r="D48" s="168">
        <v>55</v>
      </c>
      <c r="E48" s="442">
        <v>42</v>
      </c>
      <c r="F48" s="429">
        <v>40</v>
      </c>
      <c r="G48" s="111">
        <v>10</v>
      </c>
      <c r="H48" s="112"/>
      <c r="I48"/>
      <c r="J48"/>
      <c r="K48" s="112"/>
      <c r="L48" s="112"/>
      <c r="M48" s="112"/>
    </row>
    <row r="49" spans="1:13" ht="14.1" customHeight="1" x14ac:dyDescent="0.25">
      <c r="A49" s="245" t="s">
        <v>53</v>
      </c>
      <c r="B49" s="448">
        <v>305</v>
      </c>
      <c r="C49" s="113">
        <v>135</v>
      </c>
      <c r="D49" s="169">
        <v>21</v>
      </c>
      <c r="E49" s="443">
        <v>11</v>
      </c>
      <c r="F49" s="430">
        <v>21</v>
      </c>
      <c r="G49" s="115">
        <v>3</v>
      </c>
      <c r="H49" s="112"/>
      <c r="I49"/>
      <c r="J49"/>
      <c r="K49" s="112"/>
      <c r="L49" s="112"/>
      <c r="M49" s="112"/>
    </row>
    <row r="50" spans="1:13" ht="14.1" customHeight="1" x14ac:dyDescent="0.25">
      <c r="A50" s="245" t="s">
        <v>54</v>
      </c>
      <c r="B50" s="448">
        <v>51</v>
      </c>
      <c r="C50" s="113">
        <v>7</v>
      </c>
      <c r="D50" s="169">
        <v>1</v>
      </c>
      <c r="E50" s="443">
        <v>5</v>
      </c>
      <c r="F50" s="430">
        <v>0</v>
      </c>
      <c r="G50" s="115">
        <v>0</v>
      </c>
      <c r="H50" s="112"/>
      <c r="I50"/>
      <c r="J50"/>
      <c r="K50" s="112"/>
      <c r="L50" s="112"/>
      <c r="M50" s="112"/>
    </row>
    <row r="51" spans="1:13" ht="14.1" customHeight="1" x14ac:dyDescent="0.25">
      <c r="A51" s="245" t="s">
        <v>55</v>
      </c>
      <c r="B51" s="448">
        <v>50</v>
      </c>
      <c r="C51" s="113">
        <v>13</v>
      </c>
      <c r="D51" s="169">
        <v>2</v>
      </c>
      <c r="E51" s="443">
        <v>7</v>
      </c>
      <c r="F51" s="430">
        <v>4</v>
      </c>
      <c r="G51" s="115">
        <v>1</v>
      </c>
      <c r="H51" s="112"/>
      <c r="I51"/>
      <c r="J51"/>
      <c r="K51" s="112"/>
      <c r="L51" s="116"/>
      <c r="M51" s="112"/>
    </row>
    <row r="52" spans="1:13" ht="14.1" customHeight="1" x14ac:dyDescent="0.25">
      <c r="A52" s="245" t="s">
        <v>56</v>
      </c>
      <c r="B52" s="448">
        <v>28</v>
      </c>
      <c r="C52" s="113">
        <v>9</v>
      </c>
      <c r="D52" s="169">
        <v>1</v>
      </c>
      <c r="E52" s="443">
        <v>0</v>
      </c>
      <c r="F52" s="430">
        <v>2</v>
      </c>
      <c r="G52" s="115">
        <v>1</v>
      </c>
      <c r="H52" s="112"/>
      <c r="I52"/>
      <c r="J52"/>
      <c r="K52" s="112"/>
      <c r="L52" s="112"/>
      <c r="M52" s="116"/>
    </row>
    <row r="53" spans="1:13" ht="14.1" customHeight="1" x14ac:dyDescent="0.25">
      <c r="A53" s="245" t="s">
        <v>57</v>
      </c>
      <c r="B53" s="448">
        <v>40</v>
      </c>
      <c r="C53" s="113">
        <v>15</v>
      </c>
      <c r="D53" s="169">
        <v>2</v>
      </c>
      <c r="E53" s="443">
        <v>6</v>
      </c>
      <c r="F53" s="430">
        <v>2</v>
      </c>
      <c r="G53" s="115">
        <v>0</v>
      </c>
      <c r="H53" s="112"/>
      <c r="I53"/>
      <c r="J53"/>
      <c r="K53" s="112"/>
      <c r="L53" s="112"/>
      <c r="M53" s="112"/>
    </row>
    <row r="54" spans="1:13" s="56" customFormat="1" ht="14.1" customHeight="1" x14ac:dyDescent="0.25">
      <c r="A54" s="245" t="s">
        <v>58</v>
      </c>
      <c r="B54" s="448">
        <v>157</v>
      </c>
      <c r="C54" s="113">
        <v>60</v>
      </c>
      <c r="D54" s="169">
        <v>19</v>
      </c>
      <c r="E54" s="443">
        <v>9</v>
      </c>
      <c r="F54" s="430">
        <v>5</v>
      </c>
      <c r="G54" s="115">
        <v>3</v>
      </c>
      <c r="H54" s="112"/>
      <c r="I54"/>
      <c r="J54"/>
      <c r="K54" s="112"/>
      <c r="L54" s="112"/>
      <c r="M54" s="112"/>
    </row>
    <row r="55" spans="1:13" ht="14.1" customHeight="1" x14ac:dyDescent="0.25">
      <c r="A55" s="245" t="s">
        <v>59</v>
      </c>
      <c r="B55" s="449">
        <v>208</v>
      </c>
      <c r="C55" s="118">
        <v>54</v>
      </c>
      <c r="D55" s="169">
        <v>9</v>
      </c>
      <c r="E55" s="443">
        <v>4</v>
      </c>
      <c r="F55" s="431">
        <v>6</v>
      </c>
      <c r="G55" s="120">
        <v>2</v>
      </c>
      <c r="H55" s="112"/>
      <c r="I55"/>
      <c r="J55"/>
      <c r="K55" s="112"/>
      <c r="L55" s="112"/>
      <c r="M55" s="112"/>
    </row>
    <row r="56" spans="1:13" ht="14.1" customHeight="1" x14ac:dyDescent="0.25">
      <c r="A56" s="244" t="s">
        <v>60</v>
      </c>
      <c r="B56" s="447">
        <v>1215</v>
      </c>
      <c r="C56" s="110">
        <v>468</v>
      </c>
      <c r="D56" s="168">
        <v>102</v>
      </c>
      <c r="E56" s="442">
        <v>48</v>
      </c>
      <c r="F56" s="429">
        <v>114</v>
      </c>
      <c r="G56" s="111">
        <v>13</v>
      </c>
      <c r="H56" s="112"/>
      <c r="I56"/>
      <c r="J56"/>
      <c r="K56" s="112"/>
      <c r="L56" s="112"/>
      <c r="M56" s="112"/>
    </row>
    <row r="57" spans="1:13" ht="14.1" customHeight="1" x14ac:dyDescent="0.25">
      <c r="A57" s="245" t="s">
        <v>61</v>
      </c>
      <c r="B57" s="449">
        <v>173</v>
      </c>
      <c r="C57" s="118">
        <v>76</v>
      </c>
      <c r="D57" s="169">
        <v>36</v>
      </c>
      <c r="E57" s="443">
        <v>4</v>
      </c>
      <c r="F57" s="431">
        <v>10</v>
      </c>
      <c r="G57" s="120">
        <v>0</v>
      </c>
      <c r="H57" s="112"/>
      <c r="I57"/>
      <c r="J57"/>
      <c r="K57" s="112"/>
      <c r="L57" s="112"/>
      <c r="M57" s="116"/>
    </row>
    <row r="58" spans="1:13" ht="14.1" customHeight="1" x14ac:dyDescent="0.25">
      <c r="A58" s="245" t="s">
        <v>62</v>
      </c>
      <c r="B58" s="449">
        <v>21</v>
      </c>
      <c r="C58" s="118">
        <v>7</v>
      </c>
      <c r="D58" s="169">
        <v>1</v>
      </c>
      <c r="E58" s="443">
        <v>3</v>
      </c>
      <c r="F58" s="431">
        <v>3</v>
      </c>
      <c r="G58" s="120">
        <v>1</v>
      </c>
      <c r="H58" s="112"/>
      <c r="I58"/>
      <c r="J58"/>
      <c r="K58" s="112"/>
      <c r="L58" s="112"/>
      <c r="M58" s="116"/>
    </row>
    <row r="59" spans="1:13" ht="14.1" customHeight="1" x14ac:dyDescent="0.25">
      <c r="A59" s="245" t="s">
        <v>63</v>
      </c>
      <c r="B59" s="449">
        <v>16</v>
      </c>
      <c r="C59" s="118">
        <v>11</v>
      </c>
      <c r="D59" s="169">
        <v>0</v>
      </c>
      <c r="E59" s="443">
        <v>0</v>
      </c>
      <c r="F59" s="431">
        <v>0</v>
      </c>
      <c r="G59" s="120">
        <v>1</v>
      </c>
      <c r="H59" s="112"/>
      <c r="I59"/>
      <c r="J59"/>
      <c r="K59" s="112"/>
      <c r="L59" s="112"/>
      <c r="M59" s="112"/>
    </row>
    <row r="60" spans="1:13" ht="14.1" customHeight="1" x14ac:dyDescent="0.25">
      <c r="A60" s="245" t="s">
        <v>64</v>
      </c>
      <c r="B60" s="449">
        <v>200</v>
      </c>
      <c r="C60" s="118">
        <v>52</v>
      </c>
      <c r="D60" s="169">
        <v>6</v>
      </c>
      <c r="E60" s="443">
        <v>10</v>
      </c>
      <c r="F60" s="431">
        <v>11</v>
      </c>
      <c r="G60" s="120">
        <v>1</v>
      </c>
      <c r="H60" s="112"/>
      <c r="I60"/>
      <c r="J60"/>
      <c r="K60" s="112"/>
      <c r="L60" s="112"/>
      <c r="M60" s="112"/>
    </row>
    <row r="61" spans="1:13" ht="14.1" customHeight="1" x14ac:dyDescent="0.25">
      <c r="A61" s="245" t="s">
        <v>65</v>
      </c>
      <c r="B61" s="449">
        <v>51</v>
      </c>
      <c r="C61" s="118">
        <v>28</v>
      </c>
      <c r="D61" s="169">
        <v>1</v>
      </c>
      <c r="E61" s="443">
        <v>3</v>
      </c>
      <c r="F61" s="431">
        <v>14</v>
      </c>
      <c r="G61" s="120">
        <v>0</v>
      </c>
      <c r="H61" s="112"/>
      <c r="I61"/>
      <c r="J61"/>
      <c r="K61" s="112"/>
      <c r="L61" s="112"/>
      <c r="M61" s="116"/>
    </row>
    <row r="62" spans="1:13" ht="14.1" customHeight="1" x14ac:dyDescent="0.25">
      <c r="A62" s="245" t="s">
        <v>66</v>
      </c>
      <c r="B62" s="449">
        <v>22</v>
      </c>
      <c r="C62" s="118">
        <v>13</v>
      </c>
      <c r="D62" s="169">
        <v>2</v>
      </c>
      <c r="E62" s="443">
        <v>4</v>
      </c>
      <c r="F62" s="431">
        <v>10</v>
      </c>
      <c r="G62" s="120">
        <v>0</v>
      </c>
      <c r="H62" s="112"/>
      <c r="I62"/>
      <c r="J62"/>
      <c r="K62" s="112"/>
      <c r="L62" s="112"/>
      <c r="M62" s="112"/>
    </row>
    <row r="63" spans="1:13" ht="14.1" customHeight="1" x14ac:dyDescent="0.25">
      <c r="A63" s="245" t="s">
        <v>67</v>
      </c>
      <c r="B63" s="449">
        <v>110</v>
      </c>
      <c r="C63" s="118">
        <v>59</v>
      </c>
      <c r="D63" s="169">
        <v>14</v>
      </c>
      <c r="E63" s="443">
        <v>6</v>
      </c>
      <c r="F63" s="431">
        <v>12</v>
      </c>
      <c r="G63" s="120">
        <v>0</v>
      </c>
      <c r="H63" s="112"/>
      <c r="I63"/>
      <c r="J63"/>
      <c r="K63" s="116"/>
      <c r="L63" s="112"/>
      <c r="M63" s="116"/>
    </row>
    <row r="64" spans="1:13" ht="14.1" customHeight="1" x14ac:dyDescent="0.25">
      <c r="A64" s="245" t="s">
        <v>68</v>
      </c>
      <c r="B64" s="448">
        <v>35</v>
      </c>
      <c r="C64" s="118">
        <v>22</v>
      </c>
      <c r="D64" s="169">
        <v>7</v>
      </c>
      <c r="E64" s="443">
        <v>0</v>
      </c>
      <c r="F64" s="431">
        <v>5</v>
      </c>
      <c r="G64" s="120">
        <v>0</v>
      </c>
      <c r="H64" s="112"/>
      <c r="I64"/>
      <c r="J64"/>
      <c r="K64" s="112"/>
      <c r="L64" s="112"/>
      <c r="M64" s="112"/>
    </row>
    <row r="65" spans="1:13" ht="14.1" customHeight="1" x14ac:dyDescent="0.25">
      <c r="A65" s="245" t="s">
        <v>69</v>
      </c>
      <c r="B65" s="449">
        <v>153</v>
      </c>
      <c r="C65" s="118">
        <v>54</v>
      </c>
      <c r="D65" s="169">
        <v>6</v>
      </c>
      <c r="E65" s="443">
        <v>0</v>
      </c>
      <c r="F65" s="431">
        <v>15</v>
      </c>
      <c r="G65" s="120">
        <v>2</v>
      </c>
      <c r="H65" s="112"/>
      <c r="I65"/>
      <c r="J65"/>
      <c r="K65" s="112"/>
      <c r="L65" s="112"/>
      <c r="M65" s="112"/>
    </row>
    <row r="66" spans="1:13" ht="14.1" customHeight="1" x14ac:dyDescent="0.25">
      <c r="A66" s="245" t="s">
        <v>70</v>
      </c>
      <c r="B66" s="449">
        <v>98</v>
      </c>
      <c r="C66" s="118">
        <v>31</v>
      </c>
      <c r="D66" s="169">
        <v>5</v>
      </c>
      <c r="E66" s="443">
        <v>3</v>
      </c>
      <c r="F66" s="431">
        <v>16</v>
      </c>
      <c r="G66" s="120">
        <v>3</v>
      </c>
      <c r="H66" s="112"/>
      <c r="I66"/>
      <c r="J66"/>
      <c r="K66" s="112"/>
      <c r="L66" s="112"/>
      <c r="M66" s="116"/>
    </row>
    <row r="67" spans="1:13" ht="14.1" customHeight="1" x14ac:dyDescent="0.25">
      <c r="A67" s="245" t="s">
        <v>71</v>
      </c>
      <c r="B67" s="449">
        <v>37</v>
      </c>
      <c r="C67" s="118">
        <v>19</v>
      </c>
      <c r="D67" s="169">
        <v>3</v>
      </c>
      <c r="E67" s="443">
        <v>3</v>
      </c>
      <c r="F67" s="431">
        <v>8</v>
      </c>
      <c r="G67" s="120">
        <v>2</v>
      </c>
      <c r="H67" s="112"/>
      <c r="I67"/>
      <c r="J67"/>
      <c r="K67" s="112"/>
      <c r="L67" s="112"/>
      <c r="M67" s="116"/>
    </row>
    <row r="68" spans="1:13" ht="14.1" customHeight="1" x14ac:dyDescent="0.25">
      <c r="A68" s="245" t="s">
        <v>72</v>
      </c>
      <c r="B68" s="449">
        <v>137</v>
      </c>
      <c r="C68" s="118">
        <v>33</v>
      </c>
      <c r="D68" s="169">
        <v>6</v>
      </c>
      <c r="E68" s="443">
        <v>6</v>
      </c>
      <c r="F68" s="431">
        <v>3</v>
      </c>
      <c r="G68" s="120">
        <v>1</v>
      </c>
      <c r="H68" s="112"/>
      <c r="I68"/>
      <c r="J68"/>
      <c r="K68" s="112"/>
      <c r="L68" s="112"/>
      <c r="M68" s="116"/>
    </row>
    <row r="69" spans="1:13" s="56" customFormat="1" ht="14.1" customHeight="1" x14ac:dyDescent="0.25">
      <c r="A69" s="246" t="s">
        <v>73</v>
      </c>
      <c r="B69" s="449">
        <v>98</v>
      </c>
      <c r="C69" s="118">
        <v>38</v>
      </c>
      <c r="D69" s="169">
        <v>9</v>
      </c>
      <c r="E69" s="443">
        <v>6</v>
      </c>
      <c r="F69" s="431">
        <v>6</v>
      </c>
      <c r="G69" s="120">
        <v>2</v>
      </c>
      <c r="H69" s="112"/>
      <c r="I69"/>
      <c r="J69"/>
      <c r="K69" s="112"/>
      <c r="L69" s="112"/>
      <c r="M69" s="116"/>
    </row>
    <row r="70" spans="1:13" ht="14.1" customHeight="1" x14ac:dyDescent="0.25">
      <c r="A70" s="245" t="s">
        <v>74</v>
      </c>
      <c r="B70" s="449">
        <v>64</v>
      </c>
      <c r="C70" s="118">
        <v>25</v>
      </c>
      <c r="D70" s="169">
        <v>6</v>
      </c>
      <c r="E70" s="443">
        <v>0</v>
      </c>
      <c r="F70" s="431">
        <v>1</v>
      </c>
      <c r="G70" s="120">
        <v>0</v>
      </c>
      <c r="H70" s="112"/>
      <c r="I70"/>
      <c r="J70"/>
      <c r="K70" s="112"/>
      <c r="L70" s="112"/>
      <c r="M70" s="112"/>
    </row>
    <row r="71" spans="1:13" ht="14.1" customHeight="1" x14ac:dyDescent="0.25">
      <c r="A71" s="249" t="s">
        <v>75</v>
      </c>
      <c r="B71" s="447">
        <v>455</v>
      </c>
      <c r="C71" s="110">
        <v>166</v>
      </c>
      <c r="D71" s="168">
        <v>39</v>
      </c>
      <c r="E71" s="442">
        <v>58</v>
      </c>
      <c r="F71" s="429">
        <v>100</v>
      </c>
      <c r="G71" s="111">
        <v>5</v>
      </c>
      <c r="H71" s="112"/>
      <c r="I71"/>
      <c r="J71"/>
      <c r="K71" s="112"/>
      <c r="L71" s="112"/>
      <c r="M71" s="112"/>
    </row>
    <row r="72" spans="1:13" ht="14.1" customHeight="1" x14ac:dyDescent="0.25">
      <c r="A72" s="245" t="s">
        <v>76</v>
      </c>
      <c r="B72" s="449">
        <v>34</v>
      </c>
      <c r="C72" s="118">
        <v>9</v>
      </c>
      <c r="D72" s="169">
        <v>1</v>
      </c>
      <c r="E72" s="443">
        <v>4</v>
      </c>
      <c r="F72" s="431">
        <v>12</v>
      </c>
      <c r="G72" s="120">
        <v>1</v>
      </c>
      <c r="H72" s="112"/>
      <c r="I72"/>
      <c r="J72"/>
      <c r="K72" s="112"/>
      <c r="L72" s="112"/>
      <c r="M72" s="112"/>
    </row>
    <row r="73" spans="1:13" ht="14.1" customHeight="1" x14ac:dyDescent="0.25">
      <c r="A73" s="245" t="s">
        <v>77</v>
      </c>
      <c r="B73" s="449">
        <v>145</v>
      </c>
      <c r="C73" s="118">
        <v>51</v>
      </c>
      <c r="D73" s="169">
        <v>12</v>
      </c>
      <c r="E73" s="443">
        <v>30</v>
      </c>
      <c r="F73" s="431">
        <v>55</v>
      </c>
      <c r="G73" s="120">
        <v>2</v>
      </c>
      <c r="H73" s="112"/>
      <c r="I73"/>
      <c r="J73"/>
      <c r="K73" s="112"/>
      <c r="L73" s="112"/>
      <c r="M73" s="116"/>
    </row>
    <row r="74" spans="1:13" ht="14.1" customHeight="1" x14ac:dyDescent="0.25">
      <c r="A74" s="245" t="s">
        <v>78</v>
      </c>
      <c r="B74" s="449">
        <v>123</v>
      </c>
      <c r="C74" s="118">
        <v>63</v>
      </c>
      <c r="D74" s="169">
        <v>16</v>
      </c>
      <c r="E74" s="443">
        <v>8</v>
      </c>
      <c r="F74" s="431">
        <v>15</v>
      </c>
      <c r="G74" s="120">
        <v>2</v>
      </c>
      <c r="H74" s="112"/>
      <c r="I74"/>
      <c r="J74"/>
      <c r="K74" s="112"/>
      <c r="L74" s="112"/>
      <c r="M74" s="116"/>
    </row>
    <row r="75" spans="1:13" ht="14.1" customHeight="1" x14ac:dyDescent="0.25">
      <c r="A75" s="245" t="s">
        <v>79</v>
      </c>
      <c r="B75" s="449">
        <v>57</v>
      </c>
      <c r="C75" s="118">
        <v>20</v>
      </c>
      <c r="D75" s="169">
        <v>8</v>
      </c>
      <c r="E75" s="443">
        <v>2</v>
      </c>
      <c r="F75" s="431">
        <v>4</v>
      </c>
      <c r="G75" s="120">
        <v>1</v>
      </c>
      <c r="H75" s="112"/>
      <c r="I75"/>
      <c r="J75"/>
      <c r="K75" s="112"/>
      <c r="L75" s="112"/>
      <c r="M75" s="116"/>
    </row>
    <row r="76" spans="1:13" s="56" customFormat="1" ht="14.1" customHeight="1" x14ac:dyDescent="0.25">
      <c r="A76" s="245" t="s">
        <v>80</v>
      </c>
      <c r="B76" s="449">
        <v>24</v>
      </c>
      <c r="C76" s="118">
        <v>8</v>
      </c>
      <c r="D76" s="169">
        <v>0</v>
      </c>
      <c r="E76" s="443">
        <v>1</v>
      </c>
      <c r="F76" s="431">
        <v>5</v>
      </c>
      <c r="G76" s="120">
        <v>0</v>
      </c>
      <c r="H76" s="112"/>
      <c r="I76"/>
      <c r="J76"/>
      <c r="K76" s="112"/>
      <c r="L76" s="112"/>
      <c r="M76" s="112"/>
    </row>
    <row r="77" spans="1:13" ht="14.1" customHeight="1" x14ac:dyDescent="0.25">
      <c r="A77" s="248" t="s">
        <v>319</v>
      </c>
      <c r="B77" s="449">
        <v>42</v>
      </c>
      <c r="C77" s="118">
        <v>35</v>
      </c>
      <c r="D77" s="169">
        <v>8</v>
      </c>
      <c r="E77" s="443">
        <v>5</v>
      </c>
      <c r="F77" s="431">
        <v>6</v>
      </c>
      <c r="G77" s="120">
        <v>1</v>
      </c>
      <c r="H77" s="112"/>
      <c r="I77"/>
      <c r="J77"/>
      <c r="K77" s="112"/>
      <c r="L77" s="112"/>
      <c r="M77" s="112"/>
    </row>
    <row r="78" spans="1:13" ht="14.1" customHeight="1" x14ac:dyDescent="0.25">
      <c r="A78" s="245" t="s">
        <v>81</v>
      </c>
      <c r="B78" s="449">
        <v>153</v>
      </c>
      <c r="C78" s="118">
        <v>43</v>
      </c>
      <c r="D78" s="169">
        <v>10</v>
      </c>
      <c r="E78" s="443">
        <v>16</v>
      </c>
      <c r="F78" s="431">
        <v>18</v>
      </c>
      <c r="G78" s="120">
        <v>0</v>
      </c>
      <c r="H78" s="112"/>
      <c r="I78"/>
      <c r="J78"/>
      <c r="K78" s="112"/>
      <c r="L78" s="112"/>
      <c r="M78" s="116"/>
    </row>
    <row r="79" spans="1:13" ht="14.1" customHeight="1" x14ac:dyDescent="0.25">
      <c r="A79" s="244" t="s">
        <v>82</v>
      </c>
      <c r="B79" s="447">
        <v>830</v>
      </c>
      <c r="C79" s="110">
        <v>377</v>
      </c>
      <c r="D79" s="168">
        <v>102</v>
      </c>
      <c r="E79" s="442">
        <v>90</v>
      </c>
      <c r="F79" s="429">
        <v>148</v>
      </c>
      <c r="G79" s="111">
        <v>12</v>
      </c>
      <c r="H79" s="112"/>
      <c r="I79"/>
      <c r="J79"/>
      <c r="K79" s="112"/>
      <c r="L79" s="112"/>
      <c r="M79" s="112"/>
    </row>
    <row r="80" spans="1:13" ht="14.1" customHeight="1" x14ac:dyDescent="0.25">
      <c r="A80" s="245" t="s">
        <v>83</v>
      </c>
      <c r="B80" s="449">
        <v>16</v>
      </c>
      <c r="C80" s="118">
        <v>15</v>
      </c>
      <c r="D80" s="169">
        <v>1</v>
      </c>
      <c r="E80" s="442">
        <v>3</v>
      </c>
      <c r="F80" s="431">
        <v>0</v>
      </c>
      <c r="G80" s="120">
        <v>0</v>
      </c>
      <c r="H80" s="112"/>
      <c r="I80"/>
      <c r="J80"/>
      <c r="K80" s="112"/>
      <c r="L80" s="112"/>
      <c r="M80" s="112"/>
    </row>
    <row r="81" spans="1:13" ht="14.1" customHeight="1" x14ac:dyDescent="0.25">
      <c r="A81" s="245" t="s">
        <v>84</v>
      </c>
      <c r="B81" s="449">
        <v>47</v>
      </c>
      <c r="C81" s="118">
        <v>16</v>
      </c>
      <c r="D81" s="169">
        <v>8</v>
      </c>
      <c r="E81" s="443">
        <v>5</v>
      </c>
      <c r="F81" s="431">
        <v>16</v>
      </c>
      <c r="G81" s="120">
        <v>1</v>
      </c>
      <c r="H81" s="112"/>
      <c r="I81"/>
      <c r="J81"/>
      <c r="K81" s="112"/>
      <c r="L81" s="112"/>
      <c r="M81" s="112"/>
    </row>
    <row r="82" spans="1:13" ht="14.1" customHeight="1" x14ac:dyDescent="0.25">
      <c r="A82" s="245" t="s">
        <v>85</v>
      </c>
      <c r="B82" s="449">
        <v>39</v>
      </c>
      <c r="C82" s="118">
        <v>12</v>
      </c>
      <c r="D82" s="169">
        <v>9</v>
      </c>
      <c r="E82" s="443">
        <v>3</v>
      </c>
      <c r="F82" s="431">
        <v>12</v>
      </c>
      <c r="G82" s="120">
        <v>3</v>
      </c>
      <c r="H82" s="112"/>
      <c r="I82"/>
      <c r="J82"/>
      <c r="K82" s="112"/>
      <c r="L82" s="112"/>
      <c r="M82" s="112"/>
    </row>
    <row r="83" spans="1:13" ht="14.1" customHeight="1" x14ac:dyDescent="0.25">
      <c r="A83" s="245" t="s">
        <v>86</v>
      </c>
      <c r="B83" s="449">
        <v>26</v>
      </c>
      <c r="C83" s="118">
        <v>11</v>
      </c>
      <c r="D83" s="169">
        <v>12</v>
      </c>
      <c r="E83" s="443">
        <v>7</v>
      </c>
      <c r="F83" s="431">
        <v>4</v>
      </c>
      <c r="G83" s="120">
        <v>0</v>
      </c>
      <c r="H83" s="112"/>
      <c r="I83"/>
      <c r="J83"/>
      <c r="K83" s="112"/>
      <c r="L83" s="112"/>
      <c r="M83" s="112"/>
    </row>
    <row r="84" spans="1:13" ht="14.1" customHeight="1" x14ac:dyDescent="0.25">
      <c r="A84" s="245" t="s">
        <v>87</v>
      </c>
      <c r="B84" s="449">
        <v>129</v>
      </c>
      <c r="C84" s="118">
        <v>38</v>
      </c>
      <c r="D84" s="169">
        <v>11</v>
      </c>
      <c r="E84" s="443">
        <v>11</v>
      </c>
      <c r="F84" s="431">
        <v>8</v>
      </c>
      <c r="G84" s="120">
        <v>0</v>
      </c>
      <c r="H84" s="112"/>
      <c r="I84"/>
      <c r="J84"/>
      <c r="K84" s="112"/>
      <c r="L84" s="112"/>
      <c r="M84" s="112"/>
    </row>
    <row r="85" spans="1:13" ht="14.1" customHeight="1" x14ac:dyDescent="0.25">
      <c r="A85" s="245" t="s">
        <v>88</v>
      </c>
      <c r="B85" s="449">
        <v>47</v>
      </c>
      <c r="C85" s="118">
        <v>19</v>
      </c>
      <c r="D85" s="169">
        <v>10</v>
      </c>
      <c r="E85" s="443">
        <v>3</v>
      </c>
      <c r="F85" s="431">
        <v>6</v>
      </c>
      <c r="G85" s="120">
        <v>0</v>
      </c>
      <c r="H85" s="112"/>
      <c r="I85"/>
      <c r="J85"/>
      <c r="K85" s="112"/>
      <c r="L85" s="112"/>
      <c r="M85" s="112"/>
    </row>
    <row r="86" spans="1:13" ht="14.1" customHeight="1" x14ac:dyDescent="0.25">
      <c r="A86" s="245" t="s">
        <v>89</v>
      </c>
      <c r="B86" s="449">
        <v>116</v>
      </c>
      <c r="C86" s="118">
        <v>39</v>
      </c>
      <c r="D86" s="169">
        <v>12</v>
      </c>
      <c r="E86" s="443">
        <v>14</v>
      </c>
      <c r="F86" s="431">
        <v>38</v>
      </c>
      <c r="G86" s="120">
        <v>2</v>
      </c>
      <c r="H86" s="112"/>
      <c r="I86"/>
      <c r="J86"/>
      <c r="K86" s="112"/>
      <c r="L86" s="112"/>
      <c r="M86" s="112"/>
    </row>
    <row r="87" spans="1:13" ht="14.1" customHeight="1" x14ac:dyDescent="0.25">
      <c r="A87" s="245" t="s">
        <v>90</v>
      </c>
      <c r="B87" s="449">
        <v>100</v>
      </c>
      <c r="C87" s="118">
        <v>52</v>
      </c>
      <c r="D87" s="169">
        <v>10</v>
      </c>
      <c r="E87" s="443">
        <v>10</v>
      </c>
      <c r="F87" s="431">
        <v>22</v>
      </c>
      <c r="G87" s="120">
        <v>1</v>
      </c>
      <c r="H87" s="112"/>
      <c r="I87"/>
      <c r="J87"/>
      <c r="K87" s="112"/>
      <c r="L87" s="112"/>
      <c r="M87" s="112"/>
    </row>
    <row r="88" spans="1:13" ht="14.1" customHeight="1" x14ac:dyDescent="0.25">
      <c r="A88" s="245" t="s">
        <v>91</v>
      </c>
      <c r="B88" s="449">
        <v>92</v>
      </c>
      <c r="C88" s="118">
        <v>50</v>
      </c>
      <c r="D88" s="169">
        <v>11</v>
      </c>
      <c r="E88" s="443">
        <v>11</v>
      </c>
      <c r="F88" s="431">
        <v>18</v>
      </c>
      <c r="G88" s="120">
        <v>2</v>
      </c>
      <c r="H88" s="112"/>
      <c r="I88"/>
      <c r="J88"/>
      <c r="K88" s="112"/>
      <c r="L88" s="112"/>
      <c r="M88" s="116"/>
    </row>
    <row r="89" spans="1:13" s="56" customFormat="1" ht="14.1" customHeight="1" x14ac:dyDescent="0.25">
      <c r="A89" s="245" t="s">
        <v>92</v>
      </c>
      <c r="B89" s="449">
        <v>101</v>
      </c>
      <c r="C89" s="118">
        <v>73</v>
      </c>
      <c r="D89" s="169">
        <v>11</v>
      </c>
      <c r="E89" s="443">
        <v>10</v>
      </c>
      <c r="F89" s="431">
        <v>17</v>
      </c>
      <c r="G89" s="120">
        <v>0</v>
      </c>
      <c r="H89" s="112"/>
      <c r="I89"/>
      <c r="J89"/>
      <c r="K89" s="112"/>
      <c r="L89" s="112"/>
      <c r="M89" s="116"/>
    </row>
    <row r="90" spans="1:13" ht="14.1" customHeight="1" x14ac:dyDescent="0.25">
      <c r="A90" s="245" t="s">
        <v>93</v>
      </c>
      <c r="B90" s="449">
        <v>90</v>
      </c>
      <c r="C90" s="118">
        <v>36</v>
      </c>
      <c r="D90" s="169">
        <v>3</v>
      </c>
      <c r="E90" s="443">
        <v>11</v>
      </c>
      <c r="F90" s="431">
        <v>1</v>
      </c>
      <c r="G90" s="120">
        <v>0</v>
      </c>
      <c r="H90" s="112"/>
      <c r="I90"/>
      <c r="J90"/>
      <c r="K90" s="112"/>
      <c r="L90" s="112"/>
      <c r="M90" s="112"/>
    </row>
    <row r="91" spans="1:13" ht="14.1" customHeight="1" x14ac:dyDescent="0.25">
      <c r="A91" s="245" t="s">
        <v>94</v>
      </c>
      <c r="B91" s="449">
        <v>27</v>
      </c>
      <c r="C91" s="118">
        <v>16</v>
      </c>
      <c r="D91" s="169">
        <v>4</v>
      </c>
      <c r="E91" s="443">
        <v>2</v>
      </c>
      <c r="F91" s="431">
        <v>6</v>
      </c>
      <c r="G91" s="120">
        <v>3</v>
      </c>
      <c r="H91" s="112"/>
      <c r="I91"/>
      <c r="J91"/>
      <c r="K91" s="112"/>
      <c r="L91" s="112"/>
      <c r="M91" s="112"/>
    </row>
    <row r="92" spans="1:13" ht="14.1" customHeight="1" x14ac:dyDescent="0.25">
      <c r="A92" s="249" t="s">
        <v>95</v>
      </c>
      <c r="B92" s="447">
        <v>255</v>
      </c>
      <c r="C92" s="110">
        <v>110</v>
      </c>
      <c r="D92" s="168">
        <v>46</v>
      </c>
      <c r="E92" s="442">
        <v>26</v>
      </c>
      <c r="F92" s="429">
        <v>32</v>
      </c>
      <c r="G92" s="111">
        <v>9</v>
      </c>
      <c r="H92" s="112"/>
      <c r="I92"/>
      <c r="J92"/>
      <c r="K92" s="112"/>
      <c r="L92" s="112"/>
      <c r="M92" s="116"/>
    </row>
    <row r="93" spans="1:13" ht="14.1" customHeight="1" x14ac:dyDescent="0.25">
      <c r="A93" s="245" t="s">
        <v>96</v>
      </c>
      <c r="B93" s="449">
        <v>58</v>
      </c>
      <c r="C93" s="118">
        <v>19</v>
      </c>
      <c r="D93" s="169">
        <v>11</v>
      </c>
      <c r="E93" s="443">
        <v>3</v>
      </c>
      <c r="F93" s="431">
        <v>7</v>
      </c>
      <c r="G93" s="120">
        <v>0</v>
      </c>
      <c r="H93" s="112"/>
      <c r="I93"/>
      <c r="J93"/>
      <c r="K93" s="112"/>
      <c r="L93" s="112"/>
      <c r="M93" s="112"/>
    </row>
    <row r="94" spans="1:13" ht="14.1" customHeight="1" x14ac:dyDescent="0.25">
      <c r="A94" s="245" t="s">
        <v>97</v>
      </c>
      <c r="B94" s="449">
        <v>23</v>
      </c>
      <c r="C94" s="118">
        <v>4</v>
      </c>
      <c r="D94" s="169">
        <v>0</v>
      </c>
      <c r="E94" s="443">
        <v>4</v>
      </c>
      <c r="F94" s="431">
        <v>3</v>
      </c>
      <c r="G94" s="120">
        <v>1</v>
      </c>
      <c r="H94" s="112"/>
      <c r="I94"/>
      <c r="J94"/>
      <c r="K94" s="112"/>
      <c r="L94" s="112"/>
      <c r="M94" s="112"/>
    </row>
    <row r="95" spans="1:13" ht="14.1" customHeight="1" x14ac:dyDescent="0.25">
      <c r="A95" s="245" t="s">
        <v>98</v>
      </c>
      <c r="B95" s="449">
        <v>72</v>
      </c>
      <c r="C95" s="118">
        <v>36</v>
      </c>
      <c r="D95" s="169">
        <v>21</v>
      </c>
      <c r="E95" s="443">
        <v>2</v>
      </c>
      <c r="F95" s="431">
        <v>3</v>
      </c>
      <c r="G95" s="120">
        <v>3</v>
      </c>
      <c r="H95" s="112"/>
      <c r="I95"/>
      <c r="J95"/>
      <c r="K95" s="112"/>
      <c r="L95" s="112"/>
      <c r="M95" s="116"/>
    </row>
    <row r="96" spans="1:13" ht="14.1" customHeight="1" x14ac:dyDescent="0.25">
      <c r="A96" s="245" t="s">
        <v>99</v>
      </c>
      <c r="B96" s="449">
        <v>50</v>
      </c>
      <c r="C96" s="118">
        <v>19</v>
      </c>
      <c r="D96" s="169">
        <v>6</v>
      </c>
      <c r="E96" s="443">
        <v>13</v>
      </c>
      <c r="F96" s="431">
        <v>6</v>
      </c>
      <c r="G96" s="120">
        <v>1</v>
      </c>
      <c r="H96" s="112"/>
      <c r="I96"/>
      <c r="J96"/>
      <c r="K96" s="116"/>
      <c r="L96" s="112"/>
      <c r="M96" s="116"/>
    </row>
    <row r="97" spans="1:13" ht="14.1" customHeight="1" x14ac:dyDescent="0.25">
      <c r="A97" s="245" t="s">
        <v>100</v>
      </c>
      <c r="B97" s="449">
        <v>13</v>
      </c>
      <c r="C97" s="118">
        <v>18</v>
      </c>
      <c r="D97" s="169">
        <v>4</v>
      </c>
      <c r="E97" s="443">
        <v>2</v>
      </c>
      <c r="F97" s="431">
        <v>5</v>
      </c>
      <c r="G97" s="120">
        <v>2</v>
      </c>
      <c r="H97" s="112"/>
      <c r="I97"/>
      <c r="J97"/>
      <c r="K97" s="112"/>
      <c r="L97" s="112"/>
      <c r="M97" s="116"/>
    </row>
    <row r="98" spans="1:13" ht="14.1" customHeight="1" x14ac:dyDescent="0.25">
      <c r="A98" s="245" t="s">
        <v>101</v>
      </c>
      <c r="B98" s="448">
        <v>2</v>
      </c>
      <c r="C98" s="118">
        <v>1</v>
      </c>
      <c r="D98" s="169">
        <v>0</v>
      </c>
      <c r="E98" s="443">
        <v>1</v>
      </c>
      <c r="F98" s="431">
        <v>0</v>
      </c>
      <c r="G98" s="120">
        <v>1</v>
      </c>
      <c r="H98" s="112"/>
      <c r="I98"/>
      <c r="J98"/>
      <c r="K98" s="112"/>
      <c r="L98" s="112"/>
      <c r="M98" s="116"/>
    </row>
    <row r="99" spans="1:13" ht="14.1" customHeight="1" x14ac:dyDescent="0.25">
      <c r="A99" s="245" t="s">
        <v>102</v>
      </c>
      <c r="B99" s="449">
        <v>12</v>
      </c>
      <c r="C99" s="118">
        <v>4</v>
      </c>
      <c r="D99" s="169">
        <v>0</v>
      </c>
      <c r="E99" s="443">
        <v>0</v>
      </c>
      <c r="F99" s="431">
        <v>5</v>
      </c>
      <c r="G99" s="120">
        <v>0</v>
      </c>
      <c r="H99" s="112"/>
      <c r="I99"/>
      <c r="J99"/>
      <c r="K99" s="116"/>
      <c r="L99" s="116"/>
      <c r="M99" s="116"/>
    </row>
    <row r="100" spans="1:13" ht="14.1" customHeight="1" x14ac:dyDescent="0.25">
      <c r="A100" s="245" t="s">
        <v>103</v>
      </c>
      <c r="B100" s="449">
        <v>21</v>
      </c>
      <c r="C100" s="118">
        <v>7</v>
      </c>
      <c r="D100" s="169">
        <v>2</v>
      </c>
      <c r="E100" s="443">
        <v>0</v>
      </c>
      <c r="F100" s="431">
        <v>1</v>
      </c>
      <c r="G100" s="120">
        <v>1</v>
      </c>
      <c r="H100" s="116"/>
      <c r="I100"/>
      <c r="J100"/>
      <c r="K100" s="116"/>
      <c r="L100" s="116"/>
      <c r="M100" s="116"/>
    </row>
    <row r="101" spans="1:13" ht="14.1" customHeight="1" x14ac:dyDescent="0.25">
      <c r="A101" s="320" t="s">
        <v>104</v>
      </c>
      <c r="B101" s="450">
        <v>4</v>
      </c>
      <c r="C101" s="347">
        <v>2</v>
      </c>
      <c r="D101" s="346">
        <v>2</v>
      </c>
      <c r="E101" s="444">
        <v>1</v>
      </c>
      <c r="F101" s="432">
        <v>2</v>
      </c>
      <c r="G101" s="348">
        <v>0</v>
      </c>
      <c r="H101" s="112"/>
      <c r="I101"/>
      <c r="J101"/>
      <c r="K101" s="112"/>
      <c r="L101" s="112"/>
      <c r="M101" s="112"/>
    </row>
    <row r="102" spans="1:13" ht="15" x14ac:dyDescent="0.25">
      <c r="A102" s="9"/>
      <c r="B102" s="118"/>
      <c r="C102" s="119"/>
      <c r="D102" s="169"/>
      <c r="E102" s="118"/>
      <c r="F102" s="120"/>
      <c r="G102" s="120"/>
      <c r="H102" s="112"/>
      <c r="I102"/>
      <c r="J102"/>
      <c r="K102" s="112"/>
      <c r="L102" s="112"/>
      <c r="M102" s="116"/>
    </row>
    <row r="103" spans="1:13" ht="15" x14ac:dyDescent="0.25">
      <c r="A103" s="9"/>
      <c r="B103" s="118"/>
      <c r="C103" s="119"/>
      <c r="D103" s="169"/>
      <c r="E103" s="118"/>
      <c r="F103" s="120"/>
      <c r="G103" s="120"/>
      <c r="H103" s="112"/>
      <c r="I103"/>
      <c r="J103"/>
      <c r="K103" s="112"/>
      <c r="L103" s="112"/>
      <c r="M103" s="112"/>
    </row>
    <row r="104" spans="1:13" x14ac:dyDescent="0.2">
      <c r="B104" s="115"/>
      <c r="C104" s="114"/>
      <c r="D104" s="170"/>
      <c r="E104" s="166"/>
      <c r="F104" s="114"/>
      <c r="G104" s="115"/>
      <c r="H104" s="112"/>
      <c r="I104" s="120"/>
      <c r="J104" s="112"/>
      <c r="K104" s="112"/>
      <c r="L104" s="112"/>
      <c r="M104" s="116"/>
    </row>
    <row r="105" spans="1:13" x14ac:dyDescent="0.2">
      <c r="B105" s="115"/>
      <c r="C105" s="114"/>
      <c r="D105" s="170"/>
      <c r="E105" s="166"/>
      <c r="F105" s="114"/>
      <c r="G105" s="115"/>
      <c r="H105" s="112"/>
      <c r="I105" s="120"/>
      <c r="J105" s="112"/>
      <c r="K105" s="112"/>
      <c r="L105" s="112"/>
      <c r="M105" s="112"/>
    </row>
    <row r="106" spans="1:13" x14ac:dyDescent="0.2">
      <c r="B106" s="115"/>
      <c r="C106" s="114"/>
      <c r="D106" s="170"/>
      <c r="E106" s="166"/>
      <c r="F106" s="114"/>
      <c r="G106" s="115"/>
      <c r="H106" s="112"/>
      <c r="I106" s="120"/>
      <c r="J106" s="112"/>
      <c r="K106" s="112"/>
      <c r="L106" s="112"/>
      <c r="M106" s="112"/>
    </row>
    <row r="107" spans="1:13" x14ac:dyDescent="0.2">
      <c r="B107" s="115"/>
      <c r="C107" s="114"/>
      <c r="D107" s="170"/>
      <c r="E107" s="166"/>
      <c r="F107" s="114"/>
      <c r="G107" s="115"/>
      <c r="H107" s="112"/>
      <c r="I107" s="120"/>
      <c r="J107" s="112"/>
      <c r="K107" s="112"/>
      <c r="L107" s="112"/>
      <c r="M107" s="112"/>
    </row>
    <row r="108" spans="1:13" x14ac:dyDescent="0.2">
      <c r="B108" s="115"/>
      <c r="C108" s="114"/>
      <c r="D108" s="170"/>
      <c r="E108" s="166"/>
      <c r="F108" s="114"/>
      <c r="G108" s="115"/>
      <c r="H108" s="112"/>
      <c r="I108" s="117"/>
      <c r="J108" s="112"/>
      <c r="K108" s="112"/>
      <c r="L108" s="112"/>
      <c r="M108" s="116"/>
    </row>
    <row r="109" spans="1:13" x14ac:dyDescent="0.2">
      <c r="B109" s="115"/>
      <c r="C109" s="114"/>
      <c r="D109" s="170"/>
      <c r="E109" s="166"/>
      <c r="F109" s="114"/>
      <c r="G109" s="115"/>
      <c r="H109" s="112"/>
      <c r="I109" s="120"/>
      <c r="J109" s="112"/>
      <c r="K109" s="112"/>
      <c r="L109" s="112"/>
      <c r="M109" s="116"/>
    </row>
    <row r="110" spans="1:13" x14ac:dyDescent="0.2">
      <c r="B110" s="115"/>
      <c r="C110" s="114"/>
      <c r="D110" s="170"/>
      <c r="E110" s="166"/>
      <c r="F110" s="114"/>
      <c r="G110" s="115"/>
      <c r="H110" s="112"/>
      <c r="I110" s="120"/>
      <c r="J110" s="112"/>
      <c r="K110" s="112"/>
      <c r="L110" s="112"/>
      <c r="M110" s="112"/>
    </row>
    <row r="111" spans="1:13" x14ac:dyDescent="0.2">
      <c r="B111" s="115"/>
      <c r="C111" s="114"/>
      <c r="D111" s="170"/>
      <c r="E111" s="166"/>
      <c r="F111" s="114"/>
      <c r="G111" s="115"/>
      <c r="H111" s="112"/>
      <c r="I111" s="117"/>
      <c r="J111" s="112"/>
      <c r="K111" s="112"/>
      <c r="L111" s="112"/>
      <c r="M111" s="112"/>
    </row>
    <row r="112" spans="1:13" x14ac:dyDescent="0.2">
      <c r="B112" s="115"/>
      <c r="C112" s="114"/>
      <c r="D112" s="170"/>
      <c r="E112" s="166"/>
      <c r="F112" s="114"/>
      <c r="G112" s="115"/>
      <c r="H112" s="112"/>
      <c r="I112" s="112"/>
      <c r="J112" s="112"/>
      <c r="K112" s="112"/>
      <c r="L112" s="112"/>
      <c r="M112" s="116"/>
    </row>
    <row r="113" spans="2:13" x14ac:dyDescent="0.2">
      <c r="B113" s="115"/>
      <c r="C113" s="114"/>
      <c r="D113" s="170"/>
      <c r="E113" s="166"/>
      <c r="F113" s="114"/>
      <c r="G113" s="115"/>
      <c r="H113" s="112"/>
      <c r="I113" s="112"/>
      <c r="J113" s="112"/>
      <c r="K113" s="116"/>
      <c r="L113" s="112"/>
      <c r="M113" s="112"/>
    </row>
    <row r="114" spans="2:13" x14ac:dyDescent="0.2">
      <c r="B114" s="115"/>
      <c r="C114" s="114"/>
      <c r="D114" s="170"/>
      <c r="E114" s="166"/>
      <c r="F114" s="114"/>
      <c r="G114" s="115"/>
      <c r="H114" s="112"/>
      <c r="I114" s="112"/>
      <c r="J114" s="112"/>
      <c r="K114" s="112"/>
      <c r="L114" s="112"/>
      <c r="M114" s="116"/>
    </row>
    <row r="115" spans="2:13" x14ac:dyDescent="0.2">
      <c r="B115" s="115"/>
      <c r="C115" s="114"/>
      <c r="D115" s="170"/>
      <c r="E115" s="166"/>
      <c r="F115" s="114"/>
      <c r="G115" s="115"/>
      <c r="H115" s="112"/>
      <c r="I115" s="112"/>
      <c r="J115" s="112"/>
      <c r="K115" s="112"/>
      <c r="L115" s="112"/>
      <c r="M115" s="112"/>
    </row>
    <row r="116" spans="2:13" x14ac:dyDescent="0.2">
      <c r="B116" s="115"/>
      <c r="C116" s="114"/>
      <c r="D116" s="170"/>
      <c r="E116" s="166"/>
      <c r="F116" s="114"/>
      <c r="G116" s="115"/>
      <c r="H116" s="112"/>
      <c r="I116" s="112"/>
      <c r="J116" s="112"/>
      <c r="K116" s="112"/>
      <c r="L116" s="112"/>
      <c r="M116" s="116"/>
    </row>
    <row r="117" spans="2:13" x14ac:dyDescent="0.2">
      <c r="B117" s="115"/>
      <c r="C117" s="114"/>
      <c r="D117" s="170"/>
      <c r="E117" s="166"/>
      <c r="F117" s="114"/>
      <c r="G117" s="115"/>
      <c r="H117" s="112"/>
      <c r="I117" s="112"/>
      <c r="J117" s="112"/>
      <c r="K117" s="112"/>
      <c r="L117" s="112"/>
      <c r="M117" s="112"/>
    </row>
    <row r="118" spans="2:13" x14ac:dyDescent="0.2">
      <c r="B118" s="115"/>
      <c r="C118" s="114"/>
      <c r="D118" s="170"/>
      <c r="E118" s="166"/>
      <c r="F118" s="114"/>
      <c r="G118" s="115"/>
      <c r="H118" s="112"/>
      <c r="I118" s="112"/>
      <c r="J118" s="116"/>
      <c r="K118" s="112"/>
      <c r="L118" s="112"/>
      <c r="M118" s="116"/>
    </row>
    <row r="119" spans="2:13" x14ac:dyDescent="0.2">
      <c r="B119" s="115"/>
      <c r="C119" s="114"/>
      <c r="D119" s="170"/>
      <c r="E119" s="166"/>
      <c r="F119" s="114"/>
      <c r="G119" s="115"/>
      <c r="H119" s="112"/>
      <c r="I119" s="112"/>
      <c r="J119" s="112"/>
      <c r="K119" s="112"/>
      <c r="L119" s="112"/>
      <c r="M119" s="116"/>
    </row>
    <row r="120" spans="2:13" x14ac:dyDescent="0.2">
      <c r="B120" s="115"/>
      <c r="C120" s="114"/>
      <c r="D120" s="170"/>
      <c r="E120" s="166"/>
      <c r="F120" s="114"/>
      <c r="G120" s="115"/>
      <c r="H120" s="112"/>
      <c r="I120" s="112"/>
      <c r="J120" s="112"/>
      <c r="K120" s="112"/>
      <c r="L120" s="112"/>
      <c r="M120" s="112"/>
    </row>
    <row r="121" spans="2:13" x14ac:dyDescent="0.2">
      <c r="B121" s="115"/>
      <c r="C121" s="114"/>
      <c r="D121" s="170"/>
      <c r="E121" s="166"/>
      <c r="F121" s="114"/>
      <c r="G121" s="115"/>
      <c r="H121" s="112"/>
      <c r="I121" s="112"/>
      <c r="J121" s="112"/>
      <c r="K121" s="112"/>
      <c r="L121" s="112"/>
      <c r="M121" s="116"/>
    </row>
    <row r="122" spans="2:13" x14ac:dyDescent="0.2">
      <c r="B122" s="115"/>
      <c r="C122" s="114"/>
      <c r="D122" s="170"/>
      <c r="E122" s="166"/>
      <c r="F122" s="114"/>
      <c r="G122" s="115"/>
      <c r="H122" s="112"/>
      <c r="I122" s="112"/>
      <c r="J122" s="112"/>
      <c r="K122" s="112"/>
      <c r="L122" s="112"/>
      <c r="M122" s="116"/>
    </row>
    <row r="123" spans="2:13" x14ac:dyDescent="0.2">
      <c r="B123" s="115"/>
      <c r="C123" s="114"/>
      <c r="D123" s="170"/>
      <c r="E123" s="166"/>
      <c r="F123" s="114"/>
      <c r="G123" s="115"/>
      <c r="H123" s="112"/>
      <c r="I123" s="112"/>
      <c r="J123" s="112"/>
      <c r="K123" s="112"/>
      <c r="L123" s="112"/>
      <c r="M123" s="116"/>
    </row>
    <row r="124" spans="2:13" x14ac:dyDescent="0.2">
      <c r="B124" s="115"/>
      <c r="C124" s="114"/>
      <c r="D124" s="170"/>
      <c r="E124" s="166"/>
      <c r="F124" s="114"/>
      <c r="G124" s="115"/>
      <c r="H124" s="112"/>
      <c r="I124" s="112"/>
      <c r="J124" s="112"/>
      <c r="K124" s="112"/>
      <c r="L124" s="112"/>
      <c r="M124" s="116"/>
    </row>
    <row r="125" spans="2:13" x14ac:dyDescent="0.2">
      <c r="B125" s="115"/>
      <c r="C125" s="114"/>
      <c r="D125" s="170"/>
      <c r="E125" s="166"/>
      <c r="F125" s="114"/>
      <c r="G125" s="115"/>
      <c r="H125" s="112"/>
      <c r="I125" s="112"/>
      <c r="J125" s="112"/>
      <c r="K125" s="112"/>
      <c r="L125" s="112"/>
      <c r="M125" s="112"/>
    </row>
    <row r="126" spans="2:13" x14ac:dyDescent="0.2">
      <c r="B126" s="115"/>
      <c r="C126" s="114"/>
      <c r="D126" s="170"/>
      <c r="E126" s="166"/>
      <c r="F126" s="114"/>
      <c r="G126" s="115"/>
      <c r="H126" s="112"/>
      <c r="I126" s="112"/>
      <c r="J126" s="112"/>
      <c r="K126" s="116"/>
      <c r="L126" s="112"/>
      <c r="M126" s="116"/>
    </row>
    <row r="127" spans="2:13" x14ac:dyDescent="0.2">
      <c r="B127" s="115"/>
      <c r="C127" s="114"/>
      <c r="D127" s="170"/>
      <c r="E127" s="166"/>
      <c r="F127" s="114"/>
      <c r="G127" s="115"/>
      <c r="H127" s="112"/>
      <c r="I127" s="112"/>
      <c r="J127" s="112"/>
      <c r="K127" s="112"/>
      <c r="L127" s="112"/>
      <c r="M127" s="116"/>
    </row>
    <row r="128" spans="2:13" x14ac:dyDescent="0.2">
      <c r="B128" s="115"/>
      <c r="C128" s="114"/>
      <c r="D128" s="170"/>
      <c r="E128" s="166"/>
      <c r="F128" s="114"/>
      <c r="G128" s="115"/>
      <c r="H128" s="112"/>
      <c r="I128" s="112"/>
      <c r="J128" s="112"/>
      <c r="K128" s="112"/>
      <c r="L128" s="112"/>
      <c r="M128" s="116"/>
    </row>
    <row r="129" spans="2:13" x14ac:dyDescent="0.2">
      <c r="B129" s="115"/>
      <c r="C129" s="114"/>
      <c r="D129" s="170"/>
      <c r="E129" s="166"/>
      <c r="F129" s="114"/>
      <c r="G129" s="115"/>
      <c r="H129" s="112"/>
      <c r="I129" s="112"/>
      <c r="J129" s="112"/>
      <c r="K129" s="112"/>
      <c r="L129" s="112"/>
      <c r="M129" s="116"/>
    </row>
    <row r="130" spans="2:13" x14ac:dyDescent="0.2">
      <c r="B130" s="115"/>
      <c r="C130" s="114"/>
      <c r="D130" s="170"/>
      <c r="E130" s="166"/>
      <c r="F130" s="114"/>
      <c r="G130" s="115"/>
      <c r="H130" s="112"/>
      <c r="I130" s="112"/>
      <c r="J130" s="112"/>
      <c r="K130" s="116"/>
      <c r="L130" s="112"/>
      <c r="M130" s="116"/>
    </row>
    <row r="131" spans="2:13" x14ac:dyDescent="0.2">
      <c r="B131" s="115"/>
      <c r="C131" s="114"/>
      <c r="D131" s="170"/>
      <c r="E131" s="166"/>
      <c r="F131" s="114"/>
      <c r="G131" s="115"/>
      <c r="H131" s="112"/>
      <c r="I131" s="112"/>
      <c r="J131" s="112"/>
      <c r="K131" s="112"/>
      <c r="L131" s="112"/>
      <c r="M131" s="112"/>
    </row>
    <row r="132" spans="2:13" x14ac:dyDescent="0.2">
      <c r="B132" s="115"/>
      <c r="C132" s="114"/>
      <c r="D132" s="170"/>
      <c r="E132" s="166"/>
      <c r="F132" s="114"/>
      <c r="G132" s="115"/>
      <c r="H132" s="112"/>
      <c r="I132" s="112"/>
      <c r="J132" s="112"/>
      <c r="K132" s="112"/>
      <c r="L132" s="112"/>
      <c r="M132" s="112"/>
    </row>
    <row r="133" spans="2:13" x14ac:dyDescent="0.2">
      <c r="B133" s="115"/>
      <c r="C133" s="114"/>
      <c r="D133" s="170"/>
      <c r="E133" s="166"/>
      <c r="F133" s="114"/>
      <c r="G133" s="115"/>
      <c r="H133" s="112"/>
      <c r="I133" s="112"/>
      <c r="J133" s="112"/>
      <c r="K133" s="112"/>
      <c r="L133" s="112"/>
      <c r="M133" s="116"/>
    </row>
    <row r="134" spans="2:13" x14ac:dyDescent="0.2">
      <c r="B134" s="115"/>
      <c r="C134" s="114"/>
      <c r="D134" s="170"/>
      <c r="E134" s="166"/>
      <c r="F134" s="114"/>
      <c r="G134" s="115"/>
      <c r="H134" s="112"/>
      <c r="I134" s="112"/>
      <c r="J134" s="112"/>
      <c r="K134" s="116"/>
      <c r="L134" s="112"/>
      <c r="M134" s="116"/>
    </row>
    <row r="135" spans="2:13" x14ac:dyDescent="0.2">
      <c r="B135" s="115"/>
      <c r="C135" s="114"/>
      <c r="D135" s="170"/>
      <c r="E135" s="166"/>
      <c r="F135" s="114"/>
      <c r="G135" s="115"/>
      <c r="H135" s="112"/>
      <c r="I135" s="112"/>
      <c r="J135" s="112"/>
      <c r="K135" s="112"/>
      <c r="L135" s="112"/>
      <c r="M135" s="112"/>
    </row>
    <row r="136" spans="2:13" x14ac:dyDescent="0.2">
      <c r="B136" s="115"/>
      <c r="C136" s="114"/>
      <c r="D136" s="170"/>
      <c r="E136" s="166"/>
      <c r="F136" s="114"/>
      <c r="G136" s="115"/>
      <c r="H136" s="112"/>
      <c r="I136" s="112"/>
      <c r="J136" s="112"/>
      <c r="K136" s="112"/>
      <c r="L136" s="112"/>
      <c r="M136" s="112"/>
    </row>
    <row r="137" spans="2:13" x14ac:dyDescent="0.2">
      <c r="B137" s="115"/>
      <c r="C137" s="114"/>
      <c r="D137" s="170"/>
      <c r="E137" s="166"/>
      <c r="F137" s="114"/>
      <c r="G137" s="115"/>
      <c r="H137" s="112"/>
      <c r="I137" s="112"/>
      <c r="J137" s="112"/>
      <c r="K137" s="112"/>
      <c r="L137" s="112"/>
      <c r="M137" s="112"/>
    </row>
    <row r="138" spans="2:13" x14ac:dyDescent="0.2">
      <c r="B138" s="115"/>
      <c r="C138" s="114"/>
      <c r="D138" s="170"/>
      <c r="E138" s="166"/>
      <c r="F138" s="114"/>
      <c r="G138" s="115"/>
      <c r="H138" s="112"/>
      <c r="I138" s="112"/>
      <c r="J138" s="112"/>
      <c r="K138" s="112"/>
      <c r="L138" s="112"/>
      <c r="M138" s="112"/>
    </row>
    <row r="139" spans="2:13" x14ac:dyDescent="0.2">
      <c r="B139" s="115"/>
      <c r="C139" s="114"/>
      <c r="D139" s="170"/>
      <c r="E139" s="166"/>
      <c r="F139" s="114"/>
      <c r="G139" s="115"/>
      <c r="H139" s="112"/>
      <c r="I139" s="112"/>
      <c r="J139" s="112"/>
      <c r="K139" s="112"/>
      <c r="L139" s="112"/>
      <c r="M139" s="112"/>
    </row>
    <row r="140" spans="2:13" x14ac:dyDescent="0.2">
      <c r="B140" s="115"/>
      <c r="C140" s="114"/>
      <c r="D140" s="170"/>
      <c r="E140" s="166"/>
      <c r="F140" s="114"/>
      <c r="G140" s="115"/>
      <c r="H140" s="112"/>
      <c r="I140" s="112"/>
      <c r="J140" s="112"/>
      <c r="K140" s="112"/>
      <c r="L140" s="112"/>
      <c r="M140" s="112"/>
    </row>
    <row r="141" spans="2:13" x14ac:dyDescent="0.2">
      <c r="B141" s="115"/>
      <c r="C141" s="114"/>
      <c r="D141" s="170"/>
      <c r="E141" s="166"/>
      <c r="F141" s="114"/>
      <c r="G141" s="115"/>
      <c r="H141" s="112"/>
      <c r="I141" s="112"/>
      <c r="J141" s="112"/>
      <c r="K141" s="112"/>
      <c r="L141" s="112"/>
      <c r="M141" s="112"/>
    </row>
    <row r="142" spans="2:13" x14ac:dyDescent="0.2">
      <c r="B142" s="115"/>
      <c r="C142" s="114"/>
      <c r="D142" s="170"/>
      <c r="E142" s="166"/>
      <c r="F142" s="114"/>
      <c r="G142" s="115"/>
      <c r="H142" s="112"/>
      <c r="I142" s="112"/>
      <c r="J142" s="112"/>
      <c r="K142" s="112"/>
      <c r="L142" s="112"/>
      <c r="M142" s="112"/>
    </row>
    <row r="143" spans="2:13" x14ac:dyDescent="0.2">
      <c r="B143" s="115"/>
      <c r="C143" s="114"/>
      <c r="D143" s="170"/>
      <c r="E143" s="166"/>
      <c r="F143" s="114"/>
      <c r="G143" s="115"/>
      <c r="H143" s="112"/>
      <c r="I143" s="112"/>
      <c r="J143" s="112"/>
      <c r="K143" s="112"/>
      <c r="L143" s="116"/>
      <c r="M143" s="112"/>
    </row>
    <row r="144" spans="2:13" x14ac:dyDescent="0.2">
      <c r="B144" s="115"/>
      <c r="C144" s="114"/>
      <c r="D144" s="170"/>
      <c r="E144" s="166"/>
      <c r="F144" s="114"/>
      <c r="G144" s="115"/>
      <c r="H144" s="112"/>
      <c r="I144" s="112"/>
      <c r="J144" s="112"/>
      <c r="K144" s="112"/>
      <c r="L144" s="112"/>
      <c r="M144" s="116"/>
    </row>
    <row r="145" spans="2:13" x14ac:dyDescent="0.2">
      <c r="B145" s="115"/>
      <c r="C145" s="114"/>
      <c r="D145" s="170"/>
      <c r="E145" s="166"/>
      <c r="F145" s="114"/>
      <c r="G145" s="115"/>
      <c r="H145" s="112"/>
      <c r="I145" s="112"/>
      <c r="J145" s="112"/>
      <c r="K145" s="112"/>
      <c r="L145" s="112"/>
      <c r="M145" s="112"/>
    </row>
    <row r="146" spans="2:13" x14ac:dyDescent="0.2">
      <c r="B146" s="115"/>
      <c r="C146" s="114"/>
      <c r="D146" s="170"/>
      <c r="E146" s="166"/>
      <c r="F146" s="114"/>
      <c r="G146" s="115"/>
      <c r="H146" s="112"/>
      <c r="I146" s="112"/>
      <c r="J146" s="112"/>
      <c r="K146" s="112"/>
      <c r="L146" s="112"/>
      <c r="M146" s="112"/>
    </row>
    <row r="147" spans="2:13" x14ac:dyDescent="0.2">
      <c r="B147" s="115"/>
      <c r="C147" s="114"/>
      <c r="D147" s="170"/>
      <c r="E147" s="166"/>
      <c r="F147" s="114"/>
      <c r="G147" s="115"/>
      <c r="H147" s="112"/>
      <c r="I147" s="112"/>
      <c r="J147" s="112"/>
      <c r="K147" s="112"/>
      <c r="L147" s="112"/>
      <c r="M147" s="112"/>
    </row>
    <row r="148" spans="2:13" x14ac:dyDescent="0.2">
      <c r="B148" s="115"/>
      <c r="C148" s="114"/>
      <c r="D148" s="170"/>
      <c r="E148" s="166"/>
      <c r="F148" s="114"/>
      <c r="G148" s="115"/>
      <c r="H148" s="112"/>
      <c r="I148" s="112"/>
      <c r="J148" s="112"/>
      <c r="K148" s="112"/>
      <c r="L148" s="112"/>
      <c r="M148" s="112"/>
    </row>
    <row r="149" spans="2:13" x14ac:dyDescent="0.2">
      <c r="B149" s="115"/>
      <c r="C149" s="114"/>
      <c r="D149" s="170"/>
      <c r="E149" s="166"/>
      <c r="F149" s="114"/>
      <c r="G149" s="115"/>
      <c r="H149" s="112"/>
      <c r="I149" s="112"/>
      <c r="J149" s="116"/>
      <c r="K149" s="112"/>
      <c r="L149" s="112"/>
      <c r="M149" s="116"/>
    </row>
    <row r="150" spans="2:13" x14ac:dyDescent="0.2">
      <c r="B150" s="115"/>
      <c r="C150" s="114"/>
      <c r="D150" s="170"/>
      <c r="E150" s="166"/>
      <c r="F150" s="114"/>
      <c r="G150" s="115"/>
      <c r="H150" s="112"/>
      <c r="I150" s="112"/>
      <c r="J150" s="116"/>
      <c r="K150" s="112"/>
      <c r="L150" s="112"/>
      <c r="M150" s="116"/>
    </row>
    <row r="151" spans="2:13" x14ac:dyDescent="0.2">
      <c r="B151" s="115"/>
      <c r="C151" s="114"/>
      <c r="D151" s="170"/>
      <c r="E151" s="166"/>
      <c r="F151" s="114"/>
      <c r="G151" s="115"/>
      <c r="H151" s="112"/>
      <c r="I151" s="112"/>
      <c r="J151" s="112"/>
      <c r="K151" s="112"/>
      <c r="L151" s="112"/>
      <c r="M151" s="112"/>
    </row>
    <row r="152" spans="2:13" x14ac:dyDescent="0.2">
      <c r="B152" s="115"/>
      <c r="C152" s="114"/>
      <c r="D152" s="170"/>
      <c r="E152" s="166"/>
      <c r="F152" s="114"/>
      <c r="G152" s="115"/>
      <c r="H152" s="112"/>
      <c r="I152" s="112"/>
      <c r="J152" s="112"/>
      <c r="K152" s="112"/>
      <c r="L152" s="112"/>
      <c r="M152" s="112"/>
    </row>
    <row r="153" spans="2:13" x14ac:dyDescent="0.2">
      <c r="B153" s="115"/>
      <c r="C153" s="114"/>
      <c r="D153" s="170"/>
      <c r="E153" s="166"/>
      <c r="F153" s="114"/>
      <c r="G153" s="115"/>
      <c r="H153" s="112"/>
      <c r="I153" s="112"/>
      <c r="J153" s="112"/>
      <c r="K153" s="112"/>
      <c r="L153" s="112"/>
      <c r="M153" s="116"/>
    </row>
    <row r="154" spans="2:13" x14ac:dyDescent="0.2">
      <c r="B154" s="115"/>
      <c r="C154" s="114"/>
      <c r="D154" s="170"/>
      <c r="E154" s="166"/>
      <c r="F154" s="114"/>
      <c r="G154" s="115"/>
      <c r="H154" s="112"/>
      <c r="I154" s="112"/>
      <c r="J154" s="112"/>
      <c r="K154" s="112"/>
      <c r="L154" s="112"/>
      <c r="M154" s="112"/>
    </row>
    <row r="155" spans="2:13" x14ac:dyDescent="0.2">
      <c r="B155" s="115"/>
      <c r="C155" s="114"/>
      <c r="D155" s="170"/>
      <c r="E155" s="166"/>
      <c r="F155" s="114"/>
      <c r="G155" s="115"/>
      <c r="H155" s="112"/>
      <c r="I155" s="112"/>
      <c r="J155" s="112"/>
      <c r="K155" s="116"/>
      <c r="L155" s="112"/>
      <c r="M155" s="116"/>
    </row>
    <row r="156" spans="2:13" x14ac:dyDescent="0.2">
      <c r="B156" s="115"/>
      <c r="C156" s="114"/>
      <c r="D156" s="170"/>
      <c r="E156" s="166"/>
      <c r="F156" s="114"/>
      <c r="G156" s="115"/>
      <c r="H156" s="112"/>
      <c r="I156" s="112"/>
      <c r="J156" s="112"/>
      <c r="K156" s="112"/>
      <c r="L156" s="112"/>
      <c r="M156" s="112"/>
    </row>
    <row r="157" spans="2:13" x14ac:dyDescent="0.2">
      <c r="B157" s="115"/>
      <c r="C157" s="114"/>
      <c r="D157" s="170"/>
      <c r="E157" s="166"/>
      <c r="F157" s="114"/>
      <c r="G157" s="115"/>
      <c r="H157" s="112"/>
      <c r="I157" s="112"/>
      <c r="J157" s="112"/>
      <c r="K157" s="112"/>
      <c r="L157" s="112"/>
      <c r="M157" s="112"/>
    </row>
    <row r="158" spans="2:13" x14ac:dyDescent="0.2">
      <c r="B158" s="115"/>
      <c r="C158" s="114"/>
      <c r="D158" s="170"/>
      <c r="E158" s="166"/>
      <c r="F158" s="114"/>
      <c r="G158" s="115"/>
      <c r="H158" s="112"/>
      <c r="I158" s="112"/>
      <c r="J158" s="112"/>
      <c r="K158" s="112"/>
      <c r="L158" s="112"/>
      <c r="M158" s="116"/>
    </row>
    <row r="159" spans="2:13" x14ac:dyDescent="0.2">
      <c r="B159" s="115"/>
      <c r="C159" s="114"/>
      <c r="D159" s="170"/>
      <c r="E159" s="166"/>
      <c r="F159" s="114"/>
      <c r="G159" s="115"/>
      <c r="H159" s="112"/>
      <c r="I159" s="112"/>
      <c r="J159" s="112"/>
      <c r="K159" s="112"/>
      <c r="L159" s="112"/>
      <c r="M159" s="116"/>
    </row>
    <row r="160" spans="2:13" x14ac:dyDescent="0.2">
      <c r="B160" s="115"/>
      <c r="C160" s="114"/>
      <c r="D160" s="170"/>
      <c r="E160" s="166"/>
      <c r="F160" s="114"/>
      <c r="G160" s="115"/>
      <c r="H160" s="112"/>
      <c r="I160" s="112"/>
      <c r="J160" s="112"/>
      <c r="K160" s="112"/>
      <c r="L160" s="112"/>
      <c r="M160" s="116"/>
    </row>
    <row r="161" spans="2:13" x14ac:dyDescent="0.2">
      <c r="B161" s="115"/>
      <c r="C161" s="114"/>
      <c r="D161" s="170"/>
      <c r="E161" s="166"/>
      <c r="F161" s="114"/>
      <c r="G161" s="115"/>
      <c r="H161" s="112"/>
      <c r="I161" s="112"/>
      <c r="J161" s="112"/>
      <c r="K161" s="112"/>
      <c r="L161" s="112"/>
      <c r="M161" s="116"/>
    </row>
    <row r="162" spans="2:13" x14ac:dyDescent="0.2">
      <c r="B162" s="115"/>
      <c r="C162" s="114"/>
      <c r="D162" s="170"/>
      <c r="E162" s="166"/>
      <c r="F162" s="114"/>
      <c r="G162" s="115"/>
      <c r="H162" s="112"/>
      <c r="I162" s="112"/>
      <c r="J162" s="112"/>
      <c r="K162" s="112"/>
      <c r="L162" s="112"/>
      <c r="M162" s="112"/>
    </row>
    <row r="163" spans="2:13" x14ac:dyDescent="0.2">
      <c r="B163" s="115"/>
      <c r="C163" s="114"/>
      <c r="D163" s="170"/>
      <c r="E163" s="166"/>
      <c r="F163" s="114"/>
      <c r="G163" s="115"/>
      <c r="H163" s="112"/>
      <c r="I163" s="112"/>
      <c r="J163" s="112"/>
      <c r="K163" s="112"/>
      <c r="L163" s="112"/>
      <c r="M163" s="112"/>
    </row>
    <row r="164" spans="2:13" x14ac:dyDescent="0.2">
      <c r="B164" s="115"/>
      <c r="C164" s="114"/>
      <c r="D164" s="170"/>
      <c r="E164" s="166"/>
      <c r="F164" s="114"/>
      <c r="G164" s="115"/>
      <c r="H164" s="112"/>
      <c r="I164" s="112"/>
      <c r="J164" s="112"/>
      <c r="K164" s="112"/>
      <c r="L164" s="112"/>
      <c r="M164" s="112"/>
    </row>
    <row r="165" spans="2:13" x14ac:dyDescent="0.2">
      <c r="B165" s="115"/>
      <c r="C165" s="114"/>
      <c r="D165" s="170"/>
      <c r="E165" s="166"/>
      <c r="F165" s="114"/>
      <c r="G165" s="115"/>
      <c r="H165" s="112"/>
      <c r="I165" s="112"/>
      <c r="J165" s="112"/>
      <c r="K165" s="112"/>
      <c r="L165" s="112"/>
      <c r="M165" s="116"/>
    </row>
    <row r="166" spans="2:13" x14ac:dyDescent="0.2">
      <c r="B166" s="115"/>
      <c r="C166" s="114"/>
      <c r="D166" s="170"/>
      <c r="E166" s="166"/>
      <c r="F166" s="114"/>
      <c r="G166" s="115"/>
      <c r="H166" s="112"/>
      <c r="I166" s="112"/>
      <c r="J166" s="112"/>
      <c r="K166" s="112"/>
      <c r="L166" s="112"/>
      <c r="M166" s="116"/>
    </row>
    <row r="167" spans="2:13" x14ac:dyDescent="0.2">
      <c r="B167" s="115"/>
      <c r="C167" s="114"/>
      <c r="D167" s="170"/>
      <c r="E167" s="166"/>
      <c r="F167" s="114"/>
      <c r="G167" s="115"/>
      <c r="H167" s="112"/>
      <c r="I167" s="112"/>
      <c r="J167" s="112"/>
      <c r="K167" s="112"/>
      <c r="L167" s="112"/>
      <c r="M167" s="116"/>
    </row>
    <row r="168" spans="2:13" x14ac:dyDescent="0.2">
      <c r="B168" s="115"/>
      <c r="C168" s="114"/>
      <c r="D168" s="170"/>
      <c r="E168" s="166"/>
      <c r="F168" s="114"/>
      <c r="G168" s="115"/>
      <c r="H168" s="112"/>
      <c r="I168" s="112"/>
      <c r="J168" s="112"/>
      <c r="K168" s="112"/>
      <c r="L168" s="112"/>
      <c r="M168" s="112"/>
    </row>
    <row r="169" spans="2:13" x14ac:dyDescent="0.2">
      <c r="B169" s="115"/>
      <c r="C169" s="114"/>
      <c r="D169" s="170"/>
      <c r="E169" s="166"/>
      <c r="F169" s="114"/>
      <c r="G169" s="115"/>
      <c r="H169" s="112"/>
      <c r="I169" s="112"/>
      <c r="J169" s="112"/>
      <c r="K169" s="112"/>
      <c r="L169" s="112"/>
      <c r="M169" s="112"/>
    </row>
    <row r="170" spans="2:13" x14ac:dyDescent="0.2">
      <c r="B170" s="115"/>
      <c r="C170" s="114"/>
      <c r="D170" s="170"/>
      <c r="E170" s="166"/>
      <c r="F170" s="114"/>
      <c r="G170" s="115"/>
      <c r="H170" s="112"/>
      <c r="I170" s="112"/>
      <c r="J170" s="112"/>
      <c r="K170" s="112"/>
      <c r="L170" s="112"/>
      <c r="M170" s="116"/>
    </row>
    <row r="171" spans="2:13" x14ac:dyDescent="0.2">
      <c r="B171" s="115"/>
      <c r="C171" s="114"/>
      <c r="D171" s="170"/>
      <c r="E171" s="166"/>
      <c r="F171" s="114"/>
      <c r="G171" s="115"/>
      <c r="H171" s="112"/>
      <c r="I171" s="112"/>
      <c r="J171" s="112"/>
      <c r="K171" s="112"/>
      <c r="L171" s="112"/>
      <c r="M171" s="112"/>
    </row>
    <row r="172" spans="2:13" x14ac:dyDescent="0.2">
      <c r="B172" s="115"/>
      <c r="C172" s="114"/>
      <c r="D172" s="170"/>
      <c r="E172" s="166"/>
      <c r="F172" s="114"/>
      <c r="G172" s="115"/>
      <c r="H172" s="112"/>
      <c r="I172" s="112"/>
      <c r="J172" s="112"/>
      <c r="K172" s="112"/>
      <c r="L172" s="112"/>
      <c r="M172" s="112"/>
    </row>
    <row r="173" spans="2:13" x14ac:dyDescent="0.2">
      <c r="B173" s="115"/>
      <c r="C173" s="114"/>
      <c r="D173" s="170"/>
      <c r="E173" s="166"/>
      <c r="F173" s="114"/>
      <c r="G173" s="115"/>
      <c r="H173" s="112"/>
      <c r="I173" s="112"/>
      <c r="J173" s="112"/>
      <c r="K173" s="112"/>
      <c r="L173" s="112"/>
      <c r="M173" s="112"/>
    </row>
    <row r="174" spans="2:13" x14ac:dyDescent="0.2">
      <c r="B174" s="115"/>
      <c r="C174" s="114"/>
      <c r="D174" s="170"/>
      <c r="E174" s="166"/>
      <c r="F174" s="114"/>
      <c r="G174" s="115"/>
      <c r="H174" s="112"/>
      <c r="I174" s="112"/>
      <c r="J174" s="112"/>
      <c r="K174" s="112"/>
      <c r="L174" s="112"/>
      <c r="M174" s="112"/>
    </row>
    <row r="175" spans="2:13" x14ac:dyDescent="0.2">
      <c r="B175" s="115"/>
      <c r="C175" s="114"/>
      <c r="D175" s="170"/>
      <c r="E175" s="166"/>
      <c r="F175" s="114"/>
      <c r="G175" s="115"/>
      <c r="H175" s="112"/>
      <c r="I175" s="112"/>
      <c r="J175" s="112"/>
      <c r="K175" s="112"/>
      <c r="L175" s="112"/>
      <c r="M175" s="112"/>
    </row>
    <row r="176" spans="2:13" x14ac:dyDescent="0.2">
      <c r="B176" s="115"/>
      <c r="C176" s="114"/>
      <c r="D176" s="170"/>
      <c r="E176" s="166"/>
      <c r="F176" s="114"/>
      <c r="G176" s="115"/>
      <c r="H176" s="112"/>
      <c r="I176" s="112"/>
      <c r="J176" s="112"/>
      <c r="K176" s="112"/>
      <c r="L176" s="112"/>
      <c r="M176" s="112"/>
    </row>
    <row r="177" spans="2:13" x14ac:dyDescent="0.2">
      <c r="B177" s="115"/>
      <c r="C177" s="114"/>
      <c r="D177" s="170"/>
      <c r="E177" s="166"/>
      <c r="F177" s="114"/>
      <c r="G177" s="115"/>
      <c r="H177" s="112"/>
      <c r="I177" s="112"/>
      <c r="J177" s="112"/>
      <c r="K177" s="112"/>
      <c r="L177" s="112"/>
      <c r="M177" s="112"/>
    </row>
    <row r="178" spans="2:13" x14ac:dyDescent="0.2">
      <c r="B178" s="115"/>
      <c r="C178" s="114"/>
      <c r="D178" s="170"/>
      <c r="E178" s="166"/>
      <c r="F178" s="114"/>
      <c r="G178" s="115"/>
      <c r="H178" s="112"/>
      <c r="I178" s="112"/>
      <c r="J178" s="112"/>
      <c r="K178" s="112"/>
      <c r="L178" s="112"/>
      <c r="M178" s="112"/>
    </row>
    <row r="179" spans="2:13" x14ac:dyDescent="0.2">
      <c r="B179" s="115"/>
      <c r="C179" s="114"/>
      <c r="D179" s="170"/>
      <c r="E179" s="166"/>
      <c r="F179" s="114"/>
      <c r="G179" s="115"/>
      <c r="H179" s="112"/>
      <c r="I179" s="112"/>
      <c r="J179" s="112"/>
      <c r="K179" s="112"/>
      <c r="L179" s="112"/>
      <c r="M179" s="112"/>
    </row>
    <row r="180" spans="2:13" x14ac:dyDescent="0.2">
      <c r="B180" s="115"/>
      <c r="C180" s="114"/>
      <c r="D180" s="170"/>
      <c r="E180" s="166"/>
      <c r="F180" s="114"/>
      <c r="G180" s="115"/>
      <c r="H180" s="112"/>
      <c r="I180" s="112"/>
      <c r="J180" s="116"/>
      <c r="K180" s="112"/>
      <c r="L180" s="112"/>
      <c r="M180" s="116"/>
    </row>
    <row r="181" spans="2:13" x14ac:dyDescent="0.2">
      <c r="B181" s="121"/>
      <c r="D181" s="122"/>
      <c r="E181" s="166"/>
      <c r="H181" s="112"/>
      <c r="I181" s="112"/>
      <c r="J181" s="112"/>
      <c r="K181" s="112"/>
      <c r="L181" s="112"/>
      <c r="M181" s="116"/>
    </row>
    <row r="182" spans="2:13" x14ac:dyDescent="0.2">
      <c r="B182" s="121"/>
      <c r="D182" s="122"/>
      <c r="E182" s="167"/>
      <c r="H182" s="112"/>
      <c r="I182" s="112"/>
      <c r="J182" s="112"/>
      <c r="K182" s="112"/>
      <c r="L182" s="112"/>
      <c r="M182" s="112"/>
    </row>
    <row r="183" spans="2:13" x14ac:dyDescent="0.2">
      <c r="B183" s="121"/>
      <c r="D183" s="122"/>
      <c r="E183" s="167"/>
      <c r="H183" s="112"/>
      <c r="I183" s="112"/>
      <c r="J183" s="112"/>
      <c r="K183" s="112"/>
      <c r="L183" s="112"/>
      <c r="M183" s="112"/>
    </row>
    <row r="184" spans="2:13" x14ac:dyDescent="0.2">
      <c r="B184" s="121"/>
      <c r="D184" s="122"/>
      <c r="E184" s="167"/>
      <c r="H184" s="112"/>
      <c r="I184" s="112"/>
      <c r="J184" s="112"/>
      <c r="K184" s="112"/>
      <c r="L184" s="112"/>
      <c r="M184" s="116"/>
    </row>
    <row r="185" spans="2:13" x14ac:dyDescent="0.2">
      <c r="B185" s="121"/>
      <c r="D185" s="122"/>
      <c r="E185" s="167"/>
      <c r="H185" s="112"/>
      <c r="I185" s="112"/>
      <c r="J185" s="112"/>
      <c r="K185" s="112"/>
      <c r="L185" s="112"/>
      <c r="M185" s="112"/>
    </row>
    <row r="186" spans="2:13" x14ac:dyDescent="0.2">
      <c r="B186" s="121"/>
      <c r="D186" s="122"/>
      <c r="E186" s="167"/>
      <c r="H186" s="112"/>
      <c r="I186" s="112"/>
      <c r="J186" s="112"/>
      <c r="K186" s="112"/>
      <c r="L186" s="112"/>
      <c r="M186" s="112"/>
    </row>
    <row r="187" spans="2:13" x14ac:dyDescent="0.2">
      <c r="B187" s="121"/>
      <c r="D187" s="122"/>
      <c r="E187" s="167"/>
      <c r="H187" s="112"/>
      <c r="I187" s="112"/>
      <c r="J187" s="112"/>
      <c r="K187" s="112"/>
      <c r="L187" s="112"/>
      <c r="M187" s="116"/>
    </row>
    <row r="188" spans="2:13" x14ac:dyDescent="0.2">
      <c r="B188" s="121"/>
      <c r="D188" s="122"/>
      <c r="E188" s="167"/>
      <c r="H188" s="112"/>
      <c r="I188" s="112"/>
      <c r="J188" s="112"/>
      <c r="K188" s="116"/>
      <c r="L188" s="112"/>
      <c r="M188" s="116"/>
    </row>
    <row r="189" spans="2:13" x14ac:dyDescent="0.2">
      <c r="B189" s="121"/>
      <c r="D189" s="122"/>
      <c r="E189" s="167"/>
      <c r="H189" s="112"/>
      <c r="I189" s="112"/>
      <c r="J189" s="112"/>
      <c r="K189" s="112"/>
      <c r="L189" s="112"/>
      <c r="M189" s="116"/>
    </row>
    <row r="190" spans="2:13" x14ac:dyDescent="0.2">
      <c r="B190" s="121"/>
      <c r="D190" s="122"/>
      <c r="E190" s="167"/>
      <c r="H190" s="112"/>
      <c r="I190" s="112"/>
      <c r="J190" s="112"/>
      <c r="K190" s="112"/>
      <c r="L190" s="112"/>
      <c r="M190" s="116"/>
    </row>
    <row r="191" spans="2:13" x14ac:dyDescent="0.2">
      <c r="B191" s="121"/>
      <c r="D191" s="122"/>
      <c r="E191" s="167"/>
      <c r="H191" s="112"/>
      <c r="I191" s="112"/>
      <c r="J191" s="112"/>
      <c r="K191" s="116"/>
      <c r="L191" s="116"/>
      <c r="M191" s="116"/>
    </row>
    <row r="192" spans="2:13" x14ac:dyDescent="0.2">
      <c r="B192" s="121"/>
      <c r="D192" s="122"/>
      <c r="E192" s="167"/>
    </row>
    <row r="193" spans="2:5" x14ac:dyDescent="0.2">
      <c r="B193" s="121"/>
      <c r="D193" s="122"/>
      <c r="E193" s="167"/>
    </row>
    <row r="194" spans="2:5" x14ac:dyDescent="0.2">
      <c r="B194" s="121"/>
      <c r="D194" s="122"/>
      <c r="E194" s="167"/>
    </row>
    <row r="195" spans="2:5" x14ac:dyDescent="0.2">
      <c r="B195" s="121"/>
      <c r="D195" s="122"/>
      <c r="E195" s="167"/>
    </row>
    <row r="196" spans="2:5" x14ac:dyDescent="0.2">
      <c r="B196" s="121"/>
      <c r="D196" s="122"/>
      <c r="E196" s="167"/>
    </row>
    <row r="197" spans="2:5" x14ac:dyDescent="0.2">
      <c r="B197" s="121"/>
      <c r="D197" s="122"/>
      <c r="E197" s="167"/>
    </row>
    <row r="198" spans="2:5" x14ac:dyDescent="0.2">
      <c r="B198" s="121"/>
      <c r="D198" s="122"/>
      <c r="E198" s="167"/>
    </row>
    <row r="199" spans="2:5" x14ac:dyDescent="0.2">
      <c r="B199" s="121"/>
      <c r="D199" s="122"/>
      <c r="E199" s="167"/>
    </row>
    <row r="200" spans="2:5" x14ac:dyDescent="0.2">
      <c r="D200" s="122"/>
      <c r="E200" s="167"/>
    </row>
    <row r="201" spans="2:5" x14ac:dyDescent="0.2">
      <c r="D201" s="122"/>
      <c r="E201" s="167"/>
    </row>
    <row r="202" spans="2:5" x14ac:dyDescent="0.2">
      <c r="D202" s="122"/>
      <c r="E202" s="167"/>
    </row>
    <row r="203" spans="2:5" x14ac:dyDescent="0.2">
      <c r="D203" s="122"/>
      <c r="E203" s="167"/>
    </row>
    <row r="204" spans="2:5" x14ac:dyDescent="0.2">
      <c r="D204" s="122"/>
      <c r="E204" s="167"/>
    </row>
    <row r="205" spans="2:5" x14ac:dyDescent="0.2">
      <c r="D205" s="122"/>
      <c r="E205" s="167"/>
    </row>
    <row r="206" spans="2:5" x14ac:dyDescent="0.2">
      <c r="D206" s="122"/>
      <c r="E206" s="167"/>
    </row>
    <row r="207" spans="2:5" x14ac:dyDescent="0.2">
      <c r="D207" s="122"/>
      <c r="E207" s="167"/>
    </row>
    <row r="208" spans="2:5" x14ac:dyDescent="0.2">
      <c r="D208" s="122"/>
      <c r="E208" s="167"/>
    </row>
    <row r="209" spans="4:5" x14ac:dyDescent="0.2">
      <c r="D209" s="122"/>
      <c r="E209" s="167"/>
    </row>
    <row r="210" spans="4:5" x14ac:dyDescent="0.2">
      <c r="D210" s="122"/>
      <c r="E210" s="167"/>
    </row>
    <row r="211" spans="4:5" x14ac:dyDescent="0.2">
      <c r="D211" s="122"/>
      <c r="E211" s="167"/>
    </row>
    <row r="212" spans="4:5" x14ac:dyDescent="0.2">
      <c r="D212" s="122"/>
      <c r="E212" s="167"/>
    </row>
    <row r="213" spans="4:5" x14ac:dyDescent="0.2">
      <c r="D213" s="122"/>
      <c r="E213" s="167"/>
    </row>
    <row r="214" spans="4:5" x14ac:dyDescent="0.2">
      <c r="D214" s="122"/>
      <c r="E214" s="167"/>
    </row>
    <row r="215" spans="4:5" x14ac:dyDescent="0.2">
      <c r="D215" s="122"/>
      <c r="E215" s="167"/>
    </row>
    <row r="216" spans="4:5" x14ac:dyDescent="0.2">
      <c r="D216" s="122"/>
      <c r="E216" s="167"/>
    </row>
    <row r="217" spans="4:5" x14ac:dyDescent="0.2">
      <c r="D217" s="122"/>
      <c r="E217" s="167"/>
    </row>
    <row r="218" spans="4:5" x14ac:dyDescent="0.2">
      <c r="D218" s="122"/>
      <c r="E218" s="167"/>
    </row>
    <row r="219" spans="4:5" x14ac:dyDescent="0.2">
      <c r="D219" s="122"/>
      <c r="E219" s="167"/>
    </row>
    <row r="220" spans="4:5" x14ac:dyDescent="0.2">
      <c r="D220" s="122"/>
      <c r="E220" s="167"/>
    </row>
    <row r="221" spans="4:5" x14ac:dyDescent="0.2">
      <c r="D221" s="122"/>
      <c r="E221" s="167"/>
    </row>
    <row r="222" spans="4:5" x14ac:dyDescent="0.2">
      <c r="D222" s="122"/>
      <c r="E222" s="167"/>
    </row>
    <row r="223" spans="4:5" x14ac:dyDescent="0.2">
      <c r="D223" s="122"/>
      <c r="E223" s="167"/>
    </row>
    <row r="224" spans="4:5" x14ac:dyDescent="0.2">
      <c r="D224" s="122"/>
      <c r="E224" s="167"/>
    </row>
    <row r="225" spans="4:5" x14ac:dyDescent="0.2">
      <c r="D225" s="122"/>
      <c r="E225" s="167"/>
    </row>
    <row r="226" spans="4:5" x14ac:dyDescent="0.2">
      <c r="D226" s="122"/>
      <c r="E226" s="167"/>
    </row>
    <row r="227" spans="4:5" x14ac:dyDescent="0.2">
      <c r="D227" s="122"/>
      <c r="E227" s="167"/>
    </row>
    <row r="228" spans="4:5" x14ac:dyDescent="0.2">
      <c r="D228" s="122"/>
      <c r="E228" s="167"/>
    </row>
    <row r="229" spans="4:5" x14ac:dyDescent="0.2">
      <c r="D229" s="122"/>
      <c r="E229" s="167"/>
    </row>
    <row r="230" spans="4:5" x14ac:dyDescent="0.2">
      <c r="D230" s="122"/>
      <c r="E230" s="167"/>
    </row>
    <row r="231" spans="4:5" x14ac:dyDescent="0.2">
      <c r="D231" s="122"/>
      <c r="E231" s="167"/>
    </row>
    <row r="232" spans="4:5" x14ac:dyDescent="0.2">
      <c r="D232" s="122"/>
      <c r="E232" s="167"/>
    </row>
    <row r="233" spans="4:5" x14ac:dyDescent="0.2">
      <c r="D233" s="122"/>
      <c r="E233" s="167"/>
    </row>
    <row r="234" spans="4:5" x14ac:dyDescent="0.2">
      <c r="D234" s="122"/>
      <c r="E234" s="167"/>
    </row>
    <row r="235" spans="4:5" x14ac:dyDescent="0.2">
      <c r="D235" s="122"/>
      <c r="E235" s="167"/>
    </row>
    <row r="236" spans="4:5" x14ac:dyDescent="0.2">
      <c r="D236" s="122"/>
      <c r="E236" s="167"/>
    </row>
    <row r="237" spans="4:5" x14ac:dyDescent="0.2">
      <c r="D237" s="122"/>
      <c r="E237" s="167"/>
    </row>
    <row r="238" spans="4:5" x14ac:dyDescent="0.2">
      <c r="D238" s="122"/>
      <c r="E238" s="167"/>
    </row>
    <row r="239" spans="4:5" x14ac:dyDescent="0.2">
      <c r="D239" s="122"/>
      <c r="E239" s="167"/>
    </row>
    <row r="240" spans="4:5" x14ac:dyDescent="0.2">
      <c r="D240" s="122"/>
      <c r="E240" s="167"/>
    </row>
    <row r="241" spans="4:5" x14ac:dyDescent="0.2">
      <c r="D241" s="122"/>
      <c r="E241" s="167"/>
    </row>
    <row r="242" spans="4:5" x14ac:dyDescent="0.2">
      <c r="D242" s="122"/>
      <c r="E242" s="167"/>
    </row>
    <row r="243" spans="4:5" x14ac:dyDescent="0.2">
      <c r="D243" s="122"/>
      <c r="E243" s="167"/>
    </row>
    <row r="244" spans="4:5" x14ac:dyDescent="0.2">
      <c r="D244" s="122"/>
      <c r="E244" s="167"/>
    </row>
    <row r="245" spans="4:5" x14ac:dyDescent="0.2">
      <c r="D245" s="122"/>
      <c r="E245" s="167"/>
    </row>
    <row r="246" spans="4:5" x14ac:dyDescent="0.2">
      <c r="D246" s="122"/>
      <c r="E246" s="167"/>
    </row>
    <row r="247" spans="4:5" x14ac:dyDescent="0.2">
      <c r="D247" s="122"/>
      <c r="E247" s="167"/>
    </row>
    <row r="248" spans="4:5" x14ac:dyDescent="0.2">
      <c r="D248" s="122"/>
      <c r="E248" s="167"/>
    </row>
    <row r="249" spans="4:5" x14ac:dyDescent="0.2">
      <c r="D249" s="122"/>
      <c r="E249" s="167"/>
    </row>
    <row r="250" spans="4:5" x14ac:dyDescent="0.2">
      <c r="D250" s="122"/>
      <c r="E250" s="167"/>
    </row>
    <row r="251" spans="4:5" x14ac:dyDescent="0.2">
      <c r="D251" s="122"/>
    </row>
    <row r="252" spans="4:5" x14ac:dyDescent="0.2">
      <c r="D252" s="122"/>
    </row>
  </sheetData>
  <mergeCells count="5">
    <mergeCell ref="A1:G1"/>
    <mergeCell ref="A2:G2"/>
    <mergeCell ref="A3:G3"/>
    <mergeCell ref="A4:A5"/>
    <mergeCell ref="B4:G4"/>
  </mergeCells>
  <phoneticPr fontId="49" type="noConversion"/>
  <printOptions horizontalCentered="1"/>
  <pageMargins left="0.59055118110236227" right="0.31496062992125984" top="0.62992125984251968" bottom="0.11811023622047245" header="0.31496062992125984" footer="0.31496062992125984"/>
  <pageSetup paperSize="9" firstPageNumber="45" orientation="landscape" useFirstPageNumber="1" horizontalDpi="300" verticalDpi="300" r:id="rId1"/>
  <headerFooter alignWithMargins="0">
    <oddHeader>&amp;C&amp;"Arial,обычный"&amp;10 &amp;P</oddHeader>
  </headerFooter>
  <rowBreaks count="2" manualBreakCount="2">
    <brk id="38" max="16383" man="1"/>
    <brk id="70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N119"/>
  <sheetViews>
    <sheetView zoomScaleNormal="100" zoomScaleSheetLayoutView="70" workbookViewId="0">
      <selection sqref="A1:G1"/>
    </sheetView>
  </sheetViews>
  <sheetFormatPr defaultRowHeight="14.25" x14ac:dyDescent="0.2"/>
  <cols>
    <col min="1" max="1" width="40.28515625" style="5" customWidth="1"/>
    <col min="2" max="2" width="21.42578125" style="5" customWidth="1"/>
    <col min="3" max="3" width="16.42578125" style="5" customWidth="1"/>
    <col min="4" max="4" width="12.28515625" style="5" customWidth="1"/>
    <col min="5" max="5" width="21.140625" style="5" customWidth="1"/>
    <col min="6" max="6" width="10" style="5" customWidth="1"/>
    <col min="7" max="7" width="12.85546875" style="5" customWidth="1"/>
    <col min="8" max="16384" width="9.140625" style="9"/>
  </cols>
  <sheetData>
    <row r="1" spans="1:7" ht="14.1" customHeight="1" x14ac:dyDescent="0.25">
      <c r="A1" s="572" t="s">
        <v>310</v>
      </c>
      <c r="B1" s="572"/>
      <c r="C1" s="572"/>
      <c r="D1" s="572"/>
      <c r="E1" s="572"/>
      <c r="F1" s="572"/>
      <c r="G1" s="572"/>
    </row>
    <row r="2" spans="1:7" ht="14.1" customHeight="1" x14ac:dyDescent="0.25">
      <c r="A2" s="572" t="s">
        <v>309</v>
      </c>
      <c r="B2" s="572"/>
      <c r="C2" s="572"/>
      <c r="D2" s="572"/>
      <c r="E2" s="572"/>
      <c r="F2" s="572"/>
      <c r="G2" s="572"/>
    </row>
    <row r="3" spans="1:7" ht="7.5" customHeight="1" x14ac:dyDescent="0.25">
      <c r="A3" s="572"/>
      <c r="B3" s="572" t="s">
        <v>198</v>
      </c>
      <c r="C3" s="572" t="s">
        <v>142</v>
      </c>
      <c r="D3" s="572"/>
      <c r="E3" s="572"/>
      <c r="F3" s="572"/>
      <c r="G3" s="572"/>
    </row>
    <row r="4" spans="1:7" s="307" customFormat="1" ht="12.95" customHeight="1" x14ac:dyDescent="0.25">
      <c r="A4" s="573"/>
      <c r="B4" s="573" t="s">
        <v>199</v>
      </c>
      <c r="C4" s="573"/>
      <c r="D4" s="573"/>
      <c r="E4" s="573"/>
      <c r="F4" s="573"/>
      <c r="G4" s="573"/>
    </row>
    <row r="5" spans="1:7" ht="41.25" customHeight="1" x14ac:dyDescent="0.2">
      <c r="A5" s="574"/>
      <c r="B5" s="299" t="s">
        <v>194</v>
      </c>
      <c r="C5" s="299" t="s">
        <v>333</v>
      </c>
      <c r="D5" s="299" t="s">
        <v>196</v>
      </c>
      <c r="E5" s="299" t="s">
        <v>144</v>
      </c>
      <c r="F5" s="299" t="s">
        <v>150</v>
      </c>
      <c r="G5" s="299" t="s">
        <v>197</v>
      </c>
    </row>
    <row r="6" spans="1:7" s="8" customFormat="1" ht="14.1" customHeight="1" x14ac:dyDescent="0.25">
      <c r="A6" s="276" t="s">
        <v>13</v>
      </c>
      <c r="B6" s="451">
        <v>31.3</v>
      </c>
      <c r="C6" s="123">
        <v>13.4</v>
      </c>
      <c r="D6" s="124">
        <v>2.8</v>
      </c>
      <c r="E6" s="438">
        <v>2.2999999999999998</v>
      </c>
      <c r="F6" s="433">
        <v>3.3</v>
      </c>
      <c r="G6" s="123">
        <v>0.4</v>
      </c>
    </row>
    <row r="7" spans="1:7" s="8" customFormat="1" ht="14.1" customHeight="1" x14ac:dyDescent="0.25">
      <c r="A7" s="244" t="s">
        <v>14</v>
      </c>
      <c r="B7" s="451">
        <v>29.3</v>
      </c>
      <c r="C7" s="123">
        <v>15.7</v>
      </c>
      <c r="D7" s="124">
        <v>1.9</v>
      </c>
      <c r="E7" s="438">
        <v>1.6</v>
      </c>
      <c r="F7" s="433">
        <v>1.9</v>
      </c>
      <c r="G7" s="123">
        <v>0.1</v>
      </c>
    </row>
    <row r="8" spans="1:7" ht="14.1" customHeight="1" x14ac:dyDescent="0.2">
      <c r="A8" s="245" t="s">
        <v>15</v>
      </c>
      <c r="B8" s="452">
        <v>36.5</v>
      </c>
      <c r="C8" s="126">
        <v>10.5</v>
      </c>
      <c r="D8" s="127">
        <v>0</v>
      </c>
      <c r="E8" s="439">
        <v>2.2000000000000002</v>
      </c>
      <c r="F8" s="434">
        <v>1.7</v>
      </c>
      <c r="G8" s="126">
        <v>0</v>
      </c>
    </row>
    <row r="9" spans="1:7" ht="14.1" customHeight="1" x14ac:dyDescent="0.2">
      <c r="A9" s="245" t="s">
        <v>16</v>
      </c>
      <c r="B9" s="452">
        <v>37.1</v>
      </c>
      <c r="C9" s="126">
        <v>19.3</v>
      </c>
      <c r="D9" s="127">
        <v>3.7</v>
      </c>
      <c r="E9" s="439">
        <v>2.2000000000000002</v>
      </c>
      <c r="F9" s="434">
        <v>8.1999999999999993</v>
      </c>
      <c r="G9" s="126">
        <v>0</v>
      </c>
    </row>
    <row r="10" spans="1:7" ht="14.1" customHeight="1" x14ac:dyDescent="0.2">
      <c r="A10" s="245" t="s">
        <v>17</v>
      </c>
      <c r="B10" s="452">
        <v>39.5</v>
      </c>
      <c r="C10" s="126">
        <v>12.7</v>
      </c>
      <c r="D10" s="127">
        <v>0.6</v>
      </c>
      <c r="E10" s="439">
        <v>1.3</v>
      </c>
      <c r="F10" s="434">
        <v>3.8</v>
      </c>
      <c r="G10" s="126">
        <v>0</v>
      </c>
    </row>
    <row r="11" spans="1:7" ht="14.1" customHeight="1" x14ac:dyDescent="0.2">
      <c r="A11" s="245" t="s">
        <v>18</v>
      </c>
      <c r="B11" s="452">
        <v>22</v>
      </c>
      <c r="C11" s="126">
        <v>12.8</v>
      </c>
      <c r="D11" s="127">
        <v>2.8</v>
      </c>
      <c r="E11" s="439">
        <v>3.6</v>
      </c>
      <c r="F11" s="434">
        <v>0.4</v>
      </c>
      <c r="G11" s="126">
        <v>0</v>
      </c>
    </row>
    <row r="12" spans="1:7" ht="14.1" customHeight="1" x14ac:dyDescent="0.2">
      <c r="A12" s="245" t="s">
        <v>19</v>
      </c>
      <c r="B12" s="452">
        <v>24</v>
      </c>
      <c r="C12" s="126">
        <v>20.5</v>
      </c>
      <c r="D12" s="127">
        <v>1.8</v>
      </c>
      <c r="E12" s="439">
        <v>1.8</v>
      </c>
      <c r="F12" s="434">
        <v>2.7</v>
      </c>
      <c r="G12" s="126">
        <v>0</v>
      </c>
    </row>
    <row r="13" spans="1:7" ht="14.1" customHeight="1" x14ac:dyDescent="0.2">
      <c r="A13" s="245" t="s">
        <v>20</v>
      </c>
      <c r="B13" s="452">
        <v>39</v>
      </c>
      <c r="C13" s="126">
        <v>20.3</v>
      </c>
      <c r="D13" s="127">
        <v>1.6</v>
      </c>
      <c r="E13" s="439">
        <v>5.7</v>
      </c>
      <c r="F13" s="434">
        <v>2.4</v>
      </c>
      <c r="G13" s="126">
        <v>0</v>
      </c>
    </row>
    <row r="14" spans="1:7" ht="14.1" customHeight="1" x14ac:dyDescent="0.2">
      <c r="A14" s="246" t="s">
        <v>21</v>
      </c>
      <c r="B14" s="452">
        <v>41.9</v>
      </c>
      <c r="C14" s="126">
        <v>16.5</v>
      </c>
      <c r="D14" s="127">
        <v>7.6</v>
      </c>
      <c r="E14" s="439">
        <v>3.8</v>
      </c>
      <c r="F14" s="434">
        <v>1.3</v>
      </c>
      <c r="G14" s="126">
        <v>0</v>
      </c>
    </row>
    <row r="15" spans="1:7" ht="14.1" customHeight="1" x14ac:dyDescent="0.2">
      <c r="A15" s="245" t="s">
        <v>22</v>
      </c>
      <c r="B15" s="452">
        <v>24.6</v>
      </c>
      <c r="C15" s="126">
        <v>15.9</v>
      </c>
      <c r="D15" s="127">
        <v>1.6</v>
      </c>
      <c r="E15" s="439">
        <v>0.8</v>
      </c>
      <c r="F15" s="434">
        <v>5.6</v>
      </c>
      <c r="G15" s="126">
        <v>0</v>
      </c>
    </row>
    <row r="16" spans="1:7" ht="14.1" customHeight="1" x14ac:dyDescent="0.2">
      <c r="A16" s="245" t="s">
        <v>23</v>
      </c>
      <c r="B16" s="452">
        <v>47.8</v>
      </c>
      <c r="C16" s="126">
        <v>11.4</v>
      </c>
      <c r="D16" s="127">
        <v>0.8</v>
      </c>
      <c r="E16" s="439">
        <v>3</v>
      </c>
      <c r="F16" s="434">
        <v>2.2999999999999998</v>
      </c>
      <c r="G16" s="126">
        <v>0.8</v>
      </c>
    </row>
    <row r="17" spans="1:7" ht="14.1" customHeight="1" x14ac:dyDescent="0.2">
      <c r="A17" s="245" t="s">
        <v>24</v>
      </c>
      <c r="B17" s="452">
        <v>24.7</v>
      </c>
      <c r="C17" s="126">
        <v>12.1</v>
      </c>
      <c r="D17" s="127">
        <v>2.1</v>
      </c>
      <c r="E17" s="439">
        <v>1.2</v>
      </c>
      <c r="F17" s="434">
        <v>1.1000000000000001</v>
      </c>
      <c r="G17" s="126">
        <v>0.1</v>
      </c>
    </row>
    <row r="18" spans="1:7" ht="14.1" customHeight="1" x14ac:dyDescent="0.2">
      <c r="A18" s="245" t="s">
        <v>25</v>
      </c>
      <c r="B18" s="452">
        <v>37.200000000000003</v>
      </c>
      <c r="C18" s="126">
        <v>13.2</v>
      </c>
      <c r="D18" s="127">
        <v>0</v>
      </c>
      <c r="E18" s="439">
        <v>2.4</v>
      </c>
      <c r="F18" s="434">
        <v>1.2</v>
      </c>
      <c r="G18" s="126">
        <v>0</v>
      </c>
    </row>
    <row r="19" spans="1:7" ht="14.1" customHeight="1" x14ac:dyDescent="0.2">
      <c r="A19" s="246" t="s">
        <v>26</v>
      </c>
      <c r="B19" s="452">
        <v>22</v>
      </c>
      <c r="C19" s="126">
        <v>12.6</v>
      </c>
      <c r="D19" s="127">
        <v>0</v>
      </c>
      <c r="E19" s="445">
        <v>0</v>
      </c>
      <c r="F19" s="434">
        <v>3.9</v>
      </c>
      <c r="G19" s="126">
        <v>0</v>
      </c>
    </row>
    <row r="20" spans="1:7" ht="14.1" customHeight="1" x14ac:dyDescent="0.2">
      <c r="A20" s="245" t="s">
        <v>27</v>
      </c>
      <c r="B20" s="452">
        <v>29.3</v>
      </c>
      <c r="C20" s="126">
        <v>19.2</v>
      </c>
      <c r="D20" s="127">
        <v>6.1</v>
      </c>
      <c r="E20" s="439">
        <v>3</v>
      </c>
      <c r="F20" s="434">
        <v>4</v>
      </c>
      <c r="G20" s="126">
        <v>0</v>
      </c>
    </row>
    <row r="21" spans="1:7" ht="14.1" customHeight="1" x14ac:dyDescent="0.2">
      <c r="A21" s="245" t="s">
        <v>28</v>
      </c>
      <c r="B21" s="452">
        <v>9.9</v>
      </c>
      <c r="C21" s="126">
        <v>10.9</v>
      </c>
      <c r="D21" s="127">
        <v>2</v>
      </c>
      <c r="E21" s="439">
        <v>4</v>
      </c>
      <c r="F21" s="434">
        <v>6.9</v>
      </c>
      <c r="G21" s="126">
        <v>0</v>
      </c>
    </row>
    <row r="22" spans="1:7" ht="14.1" customHeight="1" x14ac:dyDescent="0.2">
      <c r="A22" s="245" t="s">
        <v>29</v>
      </c>
      <c r="B22" s="452">
        <v>33.700000000000003</v>
      </c>
      <c r="C22" s="126">
        <v>14.4</v>
      </c>
      <c r="D22" s="127">
        <v>8.3000000000000007</v>
      </c>
      <c r="E22" s="439">
        <v>3.4</v>
      </c>
      <c r="F22" s="434">
        <v>4.8</v>
      </c>
      <c r="G22" s="126">
        <v>2.1</v>
      </c>
    </row>
    <row r="23" spans="1:7" ht="14.1" customHeight="1" x14ac:dyDescent="0.2">
      <c r="A23" s="245" t="s">
        <v>30</v>
      </c>
      <c r="B23" s="452">
        <v>41.1</v>
      </c>
      <c r="C23" s="126">
        <v>10.5</v>
      </c>
      <c r="D23" s="127">
        <v>1.3</v>
      </c>
      <c r="E23" s="439">
        <v>2.6</v>
      </c>
      <c r="F23" s="434">
        <v>3.3</v>
      </c>
      <c r="G23" s="126">
        <v>0</v>
      </c>
    </row>
    <row r="24" spans="1:7" ht="14.1" customHeight="1" x14ac:dyDescent="0.2">
      <c r="A24" s="245" t="s">
        <v>31</v>
      </c>
      <c r="B24" s="452">
        <v>24.8</v>
      </c>
      <c r="C24" s="126">
        <v>13</v>
      </c>
      <c r="D24" s="127">
        <v>1.3</v>
      </c>
      <c r="E24" s="445">
        <v>0</v>
      </c>
      <c r="F24" s="434">
        <v>1.3</v>
      </c>
      <c r="G24" s="126">
        <v>0.7</v>
      </c>
    </row>
    <row r="25" spans="1:7" ht="14.1" customHeight="1" x14ac:dyDescent="0.2">
      <c r="A25" s="245" t="s">
        <v>32</v>
      </c>
      <c r="B25" s="452">
        <v>28.8</v>
      </c>
      <c r="C25" s="126">
        <v>20.3</v>
      </c>
      <c r="D25" s="127">
        <v>1</v>
      </c>
      <c r="E25" s="439">
        <v>0.7</v>
      </c>
      <c r="F25" s="434">
        <v>0.5</v>
      </c>
      <c r="G25" s="126">
        <v>0</v>
      </c>
    </row>
    <row r="26" spans="1:7" s="8" customFormat="1" ht="14.1" customHeight="1" x14ac:dyDescent="0.25">
      <c r="A26" s="247" t="s">
        <v>33</v>
      </c>
      <c r="B26" s="451">
        <v>27</v>
      </c>
      <c r="C26" s="123">
        <v>10.5</v>
      </c>
      <c r="D26" s="124">
        <v>2.1</v>
      </c>
      <c r="E26" s="438">
        <v>2</v>
      </c>
      <c r="F26" s="433">
        <v>1.8</v>
      </c>
      <c r="G26" s="123">
        <v>0.1</v>
      </c>
    </row>
    <row r="27" spans="1:7" ht="14.1" customHeight="1" x14ac:dyDescent="0.2">
      <c r="A27" s="245" t="s">
        <v>34</v>
      </c>
      <c r="B27" s="452">
        <v>42.4</v>
      </c>
      <c r="C27" s="126">
        <v>9.3000000000000007</v>
      </c>
      <c r="D27" s="127">
        <v>5.3</v>
      </c>
      <c r="E27" s="439">
        <v>4</v>
      </c>
      <c r="F27" s="434">
        <v>1.3</v>
      </c>
      <c r="G27" s="126">
        <v>0</v>
      </c>
    </row>
    <row r="28" spans="1:7" ht="14.1" customHeight="1" x14ac:dyDescent="0.2">
      <c r="A28" s="245" t="s">
        <v>35</v>
      </c>
      <c r="B28" s="452">
        <v>26.6</v>
      </c>
      <c r="C28" s="126">
        <v>12.4</v>
      </c>
      <c r="D28" s="127">
        <v>0</v>
      </c>
      <c r="E28" s="439">
        <v>1.8</v>
      </c>
      <c r="F28" s="434">
        <v>4.4000000000000004</v>
      </c>
      <c r="G28" s="126">
        <v>0</v>
      </c>
    </row>
    <row r="29" spans="1:7" ht="14.1" customHeight="1" x14ac:dyDescent="0.2">
      <c r="A29" s="245" t="s">
        <v>36</v>
      </c>
      <c r="B29" s="452">
        <v>41.7</v>
      </c>
      <c r="C29" s="126">
        <v>7.1</v>
      </c>
      <c r="D29" s="127">
        <v>0.7</v>
      </c>
      <c r="E29" s="439">
        <v>2.1</v>
      </c>
      <c r="F29" s="434">
        <v>1.4</v>
      </c>
      <c r="G29" s="126">
        <v>0</v>
      </c>
    </row>
    <row r="30" spans="1:7" ht="14.1" customHeight="1" x14ac:dyDescent="0.2">
      <c r="A30" s="245" t="s">
        <v>37</v>
      </c>
      <c r="B30" s="452">
        <v>12.3</v>
      </c>
      <c r="C30" s="126">
        <v>0</v>
      </c>
      <c r="D30" s="127">
        <v>0</v>
      </c>
      <c r="E30" s="439">
        <v>12.3</v>
      </c>
      <c r="F30" s="434">
        <v>0</v>
      </c>
      <c r="G30" s="126">
        <v>0</v>
      </c>
    </row>
    <row r="31" spans="1:7" ht="14.1" customHeight="1" x14ac:dyDescent="0.2">
      <c r="A31" s="248" t="s">
        <v>318</v>
      </c>
      <c r="B31" s="452">
        <v>43.4</v>
      </c>
      <c r="C31" s="126">
        <v>7.5</v>
      </c>
      <c r="D31" s="127">
        <v>0.7</v>
      </c>
      <c r="E31" s="439">
        <v>1.5</v>
      </c>
      <c r="F31" s="434">
        <v>1.5</v>
      </c>
      <c r="G31" s="126">
        <v>0</v>
      </c>
    </row>
    <row r="32" spans="1:7" ht="14.1" customHeight="1" x14ac:dyDescent="0.2">
      <c r="A32" s="245" t="s">
        <v>38</v>
      </c>
      <c r="B32" s="452">
        <v>40.5</v>
      </c>
      <c r="C32" s="126">
        <v>8.9</v>
      </c>
      <c r="D32" s="127">
        <v>2.5</v>
      </c>
      <c r="E32" s="439">
        <v>1.3</v>
      </c>
      <c r="F32" s="434">
        <v>3.8</v>
      </c>
      <c r="G32" s="126">
        <v>0</v>
      </c>
    </row>
    <row r="33" spans="1:7" ht="14.1" customHeight="1" x14ac:dyDescent="0.2">
      <c r="A33" s="245" t="s">
        <v>39</v>
      </c>
      <c r="B33" s="452">
        <v>15.6</v>
      </c>
      <c r="C33" s="126">
        <v>17.2</v>
      </c>
      <c r="D33" s="127">
        <v>1.6</v>
      </c>
      <c r="E33" s="439">
        <v>3.3</v>
      </c>
      <c r="F33" s="434">
        <v>1.6</v>
      </c>
      <c r="G33" s="126">
        <v>0</v>
      </c>
    </row>
    <row r="34" spans="1:7" ht="14.1" customHeight="1" x14ac:dyDescent="0.2">
      <c r="A34" s="245" t="s">
        <v>40</v>
      </c>
      <c r="B34" s="452">
        <v>21.5</v>
      </c>
      <c r="C34" s="126">
        <v>8</v>
      </c>
      <c r="D34" s="127">
        <v>0.6</v>
      </c>
      <c r="E34" s="439">
        <v>7.4</v>
      </c>
      <c r="F34" s="434">
        <v>2.5</v>
      </c>
      <c r="G34" s="126">
        <v>0</v>
      </c>
    </row>
    <row r="35" spans="1:7" ht="14.1" customHeight="1" x14ac:dyDescent="0.2">
      <c r="A35" s="245" t="s">
        <v>41</v>
      </c>
      <c r="B35" s="452">
        <v>23.1</v>
      </c>
      <c r="C35" s="126">
        <v>6.9</v>
      </c>
      <c r="D35" s="127">
        <v>1.2</v>
      </c>
      <c r="E35" s="445">
        <v>0</v>
      </c>
      <c r="F35" s="434">
        <v>1.2</v>
      </c>
      <c r="G35" s="126">
        <v>0</v>
      </c>
    </row>
    <row r="36" spans="1:7" ht="14.1" customHeight="1" x14ac:dyDescent="0.2">
      <c r="A36" s="245" t="s">
        <v>42</v>
      </c>
      <c r="B36" s="452">
        <v>22.1</v>
      </c>
      <c r="C36" s="126">
        <v>9.6999999999999993</v>
      </c>
      <c r="D36" s="127">
        <v>1.4</v>
      </c>
      <c r="E36" s="439">
        <v>1.4</v>
      </c>
      <c r="F36" s="434">
        <v>1.4</v>
      </c>
      <c r="G36" s="126">
        <v>0</v>
      </c>
    </row>
    <row r="37" spans="1:7" ht="14.1" customHeight="1" x14ac:dyDescent="0.2">
      <c r="A37" s="245" t="s">
        <v>43</v>
      </c>
      <c r="B37" s="452">
        <v>39.1</v>
      </c>
      <c r="C37" s="126">
        <v>16.7</v>
      </c>
      <c r="D37" s="127">
        <v>9.8000000000000007</v>
      </c>
      <c r="E37" s="445">
        <v>0</v>
      </c>
      <c r="F37" s="434">
        <v>2.8</v>
      </c>
      <c r="G37" s="126">
        <v>2.8</v>
      </c>
    </row>
    <row r="38" spans="1:7" s="8" customFormat="1" ht="14.1" customHeight="1" x14ac:dyDescent="0.25">
      <c r="A38" s="245" t="s">
        <v>44</v>
      </c>
      <c r="B38" s="452">
        <v>22.5</v>
      </c>
      <c r="C38" s="126">
        <v>10.6</v>
      </c>
      <c r="D38" s="127">
        <v>2.1</v>
      </c>
      <c r="E38" s="439">
        <v>1.1000000000000001</v>
      </c>
      <c r="F38" s="434">
        <v>1</v>
      </c>
      <c r="G38" s="126">
        <v>0</v>
      </c>
    </row>
    <row r="39" spans="1:7" ht="14.1" customHeight="1" x14ac:dyDescent="0.2">
      <c r="A39" s="249" t="s">
        <v>45</v>
      </c>
      <c r="B39" s="451">
        <v>21.5</v>
      </c>
      <c r="C39" s="123">
        <v>9.4</v>
      </c>
      <c r="D39" s="124">
        <v>2.7</v>
      </c>
      <c r="E39" s="438">
        <v>2.2999999999999998</v>
      </c>
      <c r="F39" s="433">
        <v>2.6</v>
      </c>
      <c r="G39" s="123">
        <v>0.5</v>
      </c>
    </row>
    <row r="40" spans="1:7" ht="14.1" customHeight="1" x14ac:dyDescent="0.2">
      <c r="A40" s="245" t="s">
        <v>46</v>
      </c>
      <c r="B40" s="452">
        <v>18.3</v>
      </c>
      <c r="C40" s="126">
        <v>9.1999999999999993</v>
      </c>
      <c r="D40" s="127">
        <v>7.3</v>
      </c>
      <c r="E40" s="439">
        <v>1.8</v>
      </c>
      <c r="F40" s="434">
        <v>0</v>
      </c>
      <c r="G40" s="126">
        <v>3.7</v>
      </c>
    </row>
    <row r="41" spans="1:7" ht="14.1" customHeight="1" x14ac:dyDescent="0.2">
      <c r="A41" s="245" t="s">
        <v>47</v>
      </c>
      <c r="B41" s="452">
        <v>22.7</v>
      </c>
      <c r="C41" s="126">
        <v>19.899999999999999</v>
      </c>
      <c r="D41" s="127">
        <v>5.7</v>
      </c>
      <c r="E41" s="439">
        <v>2.8</v>
      </c>
      <c r="F41" s="434">
        <v>8.5</v>
      </c>
      <c r="G41" s="126">
        <v>0</v>
      </c>
    </row>
    <row r="42" spans="1:7" ht="14.1" customHeight="1" x14ac:dyDescent="0.2">
      <c r="A42" s="245" t="s">
        <v>211</v>
      </c>
      <c r="B42" s="452">
        <v>30.2</v>
      </c>
      <c r="C42" s="126">
        <v>9.9</v>
      </c>
      <c r="D42" s="127">
        <v>3.9</v>
      </c>
      <c r="E42" s="439">
        <v>1.3</v>
      </c>
      <c r="F42" s="434">
        <v>0.9</v>
      </c>
      <c r="G42" s="126">
        <v>0</v>
      </c>
    </row>
    <row r="43" spans="1:7" ht="14.1" customHeight="1" x14ac:dyDescent="0.2">
      <c r="A43" s="245" t="s">
        <v>48</v>
      </c>
      <c r="B43" s="452">
        <v>23.4</v>
      </c>
      <c r="C43" s="126">
        <v>11.1</v>
      </c>
      <c r="D43" s="127">
        <v>2.7</v>
      </c>
      <c r="E43" s="439">
        <v>0.8</v>
      </c>
      <c r="F43" s="434">
        <v>3</v>
      </c>
      <c r="G43" s="126">
        <v>0.7</v>
      </c>
    </row>
    <row r="44" spans="1:7" ht="14.1" customHeight="1" x14ac:dyDescent="0.2">
      <c r="A44" s="245" t="s">
        <v>49</v>
      </c>
      <c r="B44" s="452">
        <v>27.2</v>
      </c>
      <c r="C44" s="126">
        <v>9.1</v>
      </c>
      <c r="D44" s="127">
        <v>4.9000000000000004</v>
      </c>
      <c r="E44" s="439">
        <v>5.6</v>
      </c>
      <c r="F44" s="434">
        <v>2.1</v>
      </c>
      <c r="G44" s="126">
        <v>0</v>
      </c>
    </row>
    <row r="45" spans="1:7" ht="14.1" customHeight="1" x14ac:dyDescent="0.2">
      <c r="A45" s="245" t="s">
        <v>50</v>
      </c>
      <c r="B45" s="452">
        <v>21</v>
      </c>
      <c r="C45" s="126">
        <v>16.399999999999999</v>
      </c>
      <c r="D45" s="127">
        <v>3.1</v>
      </c>
      <c r="E45" s="439">
        <v>1</v>
      </c>
      <c r="F45" s="434">
        <v>7.7</v>
      </c>
      <c r="G45" s="126">
        <v>1.4</v>
      </c>
    </row>
    <row r="46" spans="1:7" ht="14.1" customHeight="1" x14ac:dyDescent="0.2">
      <c r="A46" s="245" t="s">
        <v>51</v>
      </c>
      <c r="B46" s="452">
        <v>34.6</v>
      </c>
      <c r="C46" s="126">
        <v>10.7</v>
      </c>
      <c r="D46" s="127">
        <v>3.6</v>
      </c>
      <c r="E46" s="439">
        <v>7.5</v>
      </c>
      <c r="F46" s="434">
        <v>2.8</v>
      </c>
      <c r="G46" s="126">
        <v>0.2</v>
      </c>
    </row>
    <row r="47" spans="1:7" ht="14.1" customHeight="1" x14ac:dyDescent="0.2">
      <c r="A47" s="245" t="s">
        <v>213</v>
      </c>
      <c r="B47" s="452">
        <v>27.9</v>
      </c>
      <c r="C47" s="126">
        <v>14.9</v>
      </c>
      <c r="D47" s="127">
        <v>0</v>
      </c>
      <c r="E47" s="445">
        <v>0</v>
      </c>
      <c r="F47" s="435">
        <v>0</v>
      </c>
      <c r="G47" s="126">
        <v>1.9</v>
      </c>
    </row>
    <row r="48" spans="1:7" ht="14.1" customHeight="1" x14ac:dyDescent="0.2">
      <c r="A48" s="250" t="s">
        <v>52</v>
      </c>
      <c r="B48" s="451">
        <v>53.9</v>
      </c>
      <c r="C48" s="123">
        <v>18.8</v>
      </c>
      <c r="D48" s="124">
        <v>3.5</v>
      </c>
      <c r="E48" s="438">
        <v>2.7</v>
      </c>
      <c r="F48" s="433">
        <v>2.6</v>
      </c>
      <c r="G48" s="123">
        <v>0.6</v>
      </c>
    </row>
    <row r="49" spans="1:7" ht="14.1" customHeight="1" x14ac:dyDescent="0.2">
      <c r="A49" s="245" t="s">
        <v>53</v>
      </c>
      <c r="B49" s="452">
        <v>57.3</v>
      </c>
      <c r="C49" s="126">
        <v>25.4</v>
      </c>
      <c r="D49" s="127">
        <v>3.9</v>
      </c>
      <c r="E49" s="439">
        <v>2.1</v>
      </c>
      <c r="F49" s="434">
        <v>3.9</v>
      </c>
      <c r="G49" s="126">
        <v>0.6</v>
      </c>
    </row>
    <row r="50" spans="1:7" ht="14.1" customHeight="1" x14ac:dyDescent="0.2">
      <c r="A50" s="245" t="s">
        <v>54</v>
      </c>
      <c r="B50" s="452">
        <v>64.5</v>
      </c>
      <c r="C50" s="126">
        <v>8.9</v>
      </c>
      <c r="D50" s="127">
        <v>1.3</v>
      </c>
      <c r="E50" s="439">
        <v>6.3</v>
      </c>
      <c r="F50" s="434">
        <v>0</v>
      </c>
      <c r="G50" s="126">
        <v>0</v>
      </c>
    </row>
    <row r="51" spans="1:7" ht="14.1" customHeight="1" x14ac:dyDescent="0.2">
      <c r="A51" s="245" t="s">
        <v>55</v>
      </c>
      <c r="B51" s="452">
        <v>40.700000000000003</v>
      </c>
      <c r="C51" s="126">
        <v>10.6</v>
      </c>
      <c r="D51" s="127">
        <v>1.6</v>
      </c>
      <c r="E51" s="439">
        <v>5.7</v>
      </c>
      <c r="F51" s="434">
        <v>3.3</v>
      </c>
      <c r="G51" s="126">
        <v>0.8</v>
      </c>
    </row>
    <row r="52" spans="1:7" ht="14.1" customHeight="1" x14ac:dyDescent="0.2">
      <c r="A52" s="245" t="s">
        <v>56</v>
      </c>
      <c r="B52" s="452">
        <v>49.9</v>
      </c>
      <c r="C52" s="126">
        <v>16.100000000000001</v>
      </c>
      <c r="D52" s="127">
        <v>1.8</v>
      </c>
      <c r="E52" s="445">
        <v>0</v>
      </c>
      <c r="F52" s="434">
        <v>3.6</v>
      </c>
      <c r="G52" s="126">
        <v>1.8</v>
      </c>
    </row>
    <row r="53" spans="1:7" ht="14.1" customHeight="1" x14ac:dyDescent="0.2">
      <c r="A53" s="245" t="s">
        <v>57</v>
      </c>
      <c r="B53" s="452">
        <v>40.299999999999997</v>
      </c>
      <c r="C53" s="126">
        <v>15.1</v>
      </c>
      <c r="D53" s="127">
        <v>2</v>
      </c>
      <c r="E53" s="439">
        <v>6</v>
      </c>
      <c r="F53" s="434">
        <v>2</v>
      </c>
      <c r="G53" s="126">
        <v>0</v>
      </c>
    </row>
    <row r="54" spans="1:7" s="8" customFormat="1" ht="14.1" customHeight="1" x14ac:dyDescent="0.25">
      <c r="A54" s="245" t="s">
        <v>58</v>
      </c>
      <c r="B54" s="452">
        <v>51.6</v>
      </c>
      <c r="C54" s="126">
        <v>19.7</v>
      </c>
      <c r="D54" s="127">
        <v>6.2</v>
      </c>
      <c r="E54" s="439">
        <v>3</v>
      </c>
      <c r="F54" s="434">
        <v>1.6</v>
      </c>
      <c r="G54" s="126">
        <v>1</v>
      </c>
    </row>
    <row r="55" spans="1:7" ht="14.1" customHeight="1" x14ac:dyDescent="0.2">
      <c r="A55" s="245" t="s">
        <v>59</v>
      </c>
      <c r="B55" s="453">
        <v>57.2</v>
      </c>
      <c r="C55" s="105">
        <v>14.9</v>
      </c>
      <c r="D55" s="128">
        <v>2.5</v>
      </c>
      <c r="E55" s="440">
        <v>1.1000000000000001</v>
      </c>
      <c r="F55" s="436">
        <v>1.7</v>
      </c>
      <c r="G55" s="105">
        <v>0.6</v>
      </c>
    </row>
    <row r="56" spans="1:7" ht="14.1" customHeight="1" x14ac:dyDescent="0.2">
      <c r="A56" s="244" t="s">
        <v>60</v>
      </c>
      <c r="B56" s="451">
        <v>31.7</v>
      </c>
      <c r="C56" s="123">
        <v>12.2</v>
      </c>
      <c r="D56" s="124">
        <v>2.7</v>
      </c>
      <c r="E56" s="438">
        <v>1.3</v>
      </c>
      <c r="F56" s="433">
        <v>3</v>
      </c>
      <c r="G56" s="123">
        <v>0.3</v>
      </c>
    </row>
    <row r="57" spans="1:7" ht="14.1" customHeight="1" x14ac:dyDescent="0.2">
      <c r="A57" s="245" t="s">
        <v>61</v>
      </c>
      <c r="B57" s="452">
        <v>30.8</v>
      </c>
      <c r="C57" s="126">
        <v>13.5</v>
      </c>
      <c r="D57" s="127">
        <v>6.4</v>
      </c>
      <c r="E57" s="439">
        <v>0.7</v>
      </c>
      <c r="F57" s="434">
        <v>1.8</v>
      </c>
      <c r="G57" s="126">
        <v>0</v>
      </c>
    </row>
    <row r="58" spans="1:7" ht="14.1" customHeight="1" x14ac:dyDescent="0.2">
      <c r="A58" s="245" t="s">
        <v>62</v>
      </c>
      <c r="B58" s="452">
        <v>21.8</v>
      </c>
      <c r="C58" s="126">
        <v>7.3</v>
      </c>
      <c r="D58" s="127">
        <v>1</v>
      </c>
      <c r="E58" s="439">
        <v>3.1</v>
      </c>
      <c r="F58" s="434">
        <v>3.1</v>
      </c>
      <c r="G58" s="126">
        <v>1</v>
      </c>
    </row>
    <row r="59" spans="1:7" ht="14.1" customHeight="1" x14ac:dyDescent="0.2">
      <c r="A59" s="245" t="s">
        <v>63</v>
      </c>
      <c r="B59" s="452">
        <v>20.2</v>
      </c>
      <c r="C59" s="126">
        <v>13.9</v>
      </c>
      <c r="D59" s="127">
        <v>0</v>
      </c>
      <c r="E59" s="445">
        <v>0</v>
      </c>
      <c r="F59" s="434">
        <v>0</v>
      </c>
      <c r="G59" s="126">
        <v>1.3</v>
      </c>
    </row>
    <row r="60" spans="1:7" ht="14.1" customHeight="1" x14ac:dyDescent="0.2">
      <c r="A60" s="245" t="s">
        <v>64</v>
      </c>
      <c r="B60" s="452">
        <v>35.9</v>
      </c>
      <c r="C60" s="126">
        <v>9.3000000000000007</v>
      </c>
      <c r="D60" s="127">
        <v>1.1000000000000001</v>
      </c>
      <c r="E60" s="439">
        <v>1.8</v>
      </c>
      <c r="F60" s="434">
        <v>2</v>
      </c>
      <c r="G60" s="126">
        <v>0.2</v>
      </c>
    </row>
    <row r="61" spans="1:7" ht="14.1" customHeight="1" x14ac:dyDescent="0.2">
      <c r="A61" s="245" t="s">
        <v>65</v>
      </c>
      <c r="B61" s="452">
        <v>24.1</v>
      </c>
      <c r="C61" s="126">
        <v>13.2</v>
      </c>
      <c r="D61" s="127">
        <v>0.5</v>
      </c>
      <c r="E61" s="439">
        <v>1.4</v>
      </c>
      <c r="F61" s="434">
        <v>6.6</v>
      </c>
      <c r="G61" s="126">
        <v>0</v>
      </c>
    </row>
    <row r="62" spans="1:7" ht="14.1" customHeight="1" x14ac:dyDescent="0.2">
      <c r="A62" s="245" t="s">
        <v>66</v>
      </c>
      <c r="B62" s="452">
        <v>13.4</v>
      </c>
      <c r="C62" s="126">
        <v>7.9</v>
      </c>
      <c r="D62" s="127">
        <v>1.2</v>
      </c>
      <c r="E62" s="439">
        <v>2.4</v>
      </c>
      <c r="F62" s="434">
        <v>6.1</v>
      </c>
      <c r="G62" s="126">
        <v>0</v>
      </c>
    </row>
    <row r="63" spans="1:7" ht="14.1" customHeight="1" x14ac:dyDescent="0.2">
      <c r="A63" s="245" t="s">
        <v>67</v>
      </c>
      <c r="B63" s="452">
        <v>29.3</v>
      </c>
      <c r="C63" s="126">
        <v>15.7</v>
      </c>
      <c r="D63" s="127">
        <v>3.7</v>
      </c>
      <c r="E63" s="439">
        <v>1.6</v>
      </c>
      <c r="F63" s="434">
        <v>3.2</v>
      </c>
      <c r="G63" s="126">
        <v>0</v>
      </c>
    </row>
    <row r="64" spans="1:7" ht="14.1" customHeight="1" x14ac:dyDescent="0.2">
      <c r="A64" s="245" t="s">
        <v>68</v>
      </c>
      <c r="B64" s="452">
        <v>21.4</v>
      </c>
      <c r="C64" s="126">
        <v>13.5</v>
      </c>
      <c r="D64" s="127">
        <v>4.3</v>
      </c>
      <c r="E64" s="445">
        <v>0</v>
      </c>
      <c r="F64" s="434">
        <v>3.1</v>
      </c>
      <c r="G64" s="126">
        <v>0</v>
      </c>
    </row>
    <row r="65" spans="1:7" ht="14.1" customHeight="1" x14ac:dyDescent="0.2">
      <c r="A65" s="245" t="s">
        <v>69</v>
      </c>
      <c r="B65" s="452">
        <v>39.299999999999997</v>
      </c>
      <c r="C65" s="126">
        <v>13.9</v>
      </c>
      <c r="D65" s="127">
        <v>1.5</v>
      </c>
      <c r="E65" s="445">
        <v>0</v>
      </c>
      <c r="F65" s="434">
        <v>3.9</v>
      </c>
      <c r="G65" s="126">
        <v>0.5</v>
      </c>
    </row>
    <row r="66" spans="1:7" ht="14.1" customHeight="1" x14ac:dyDescent="0.2">
      <c r="A66" s="245" t="s">
        <v>70</v>
      </c>
      <c r="B66" s="452">
        <v>36.4</v>
      </c>
      <c r="C66" s="126">
        <v>11.5</v>
      </c>
      <c r="D66" s="127">
        <v>1.9</v>
      </c>
      <c r="E66" s="439">
        <v>1.1000000000000001</v>
      </c>
      <c r="F66" s="434">
        <v>5.9</v>
      </c>
      <c r="G66" s="126">
        <v>1.1000000000000001</v>
      </c>
    </row>
    <row r="67" spans="1:7" ht="14.1" customHeight="1" x14ac:dyDescent="0.2">
      <c r="A67" s="245" t="s">
        <v>71</v>
      </c>
      <c r="B67" s="452">
        <v>26.7</v>
      </c>
      <c r="C67" s="126">
        <v>13.7</v>
      </c>
      <c r="D67" s="127">
        <v>2.2000000000000002</v>
      </c>
      <c r="E67" s="439">
        <v>2.2000000000000002</v>
      </c>
      <c r="F67" s="434">
        <v>5.8</v>
      </c>
      <c r="G67" s="126">
        <v>1.4</v>
      </c>
    </row>
    <row r="68" spans="1:7" ht="14.1" customHeight="1" x14ac:dyDescent="0.2">
      <c r="A68" s="245" t="s">
        <v>72</v>
      </c>
      <c r="B68" s="452">
        <v>34</v>
      </c>
      <c r="C68" s="126">
        <v>8.1999999999999993</v>
      </c>
      <c r="D68" s="127">
        <v>1.5</v>
      </c>
      <c r="E68" s="439">
        <v>1.5</v>
      </c>
      <c r="F68" s="434">
        <v>0.7</v>
      </c>
      <c r="G68" s="126">
        <v>0.2</v>
      </c>
    </row>
    <row r="69" spans="1:7" s="8" customFormat="1" ht="14.1" customHeight="1" x14ac:dyDescent="0.25">
      <c r="A69" s="246" t="s">
        <v>73</v>
      </c>
      <c r="B69" s="452">
        <v>35.799999999999997</v>
      </c>
      <c r="C69" s="126">
        <v>13.9</v>
      </c>
      <c r="D69" s="127">
        <v>3.3</v>
      </c>
      <c r="E69" s="439">
        <v>2.2000000000000002</v>
      </c>
      <c r="F69" s="434">
        <v>2.2000000000000002</v>
      </c>
      <c r="G69" s="126">
        <v>0.7</v>
      </c>
    </row>
    <row r="70" spans="1:7" ht="14.1" customHeight="1" x14ac:dyDescent="0.2">
      <c r="A70" s="245" t="s">
        <v>74</v>
      </c>
      <c r="B70" s="453">
        <v>43.9</v>
      </c>
      <c r="C70" s="105">
        <v>17.100000000000001</v>
      </c>
      <c r="D70" s="128">
        <v>4.0999999999999996</v>
      </c>
      <c r="E70" s="446">
        <v>0</v>
      </c>
      <c r="F70" s="436">
        <v>0.7</v>
      </c>
      <c r="G70" s="105">
        <v>0</v>
      </c>
    </row>
    <row r="71" spans="1:7" ht="14.1" customHeight="1" x14ac:dyDescent="0.2">
      <c r="A71" s="249" t="s">
        <v>75</v>
      </c>
      <c r="B71" s="451">
        <v>25.9</v>
      </c>
      <c r="C71" s="123">
        <v>9.4</v>
      </c>
      <c r="D71" s="124">
        <v>2.2000000000000002</v>
      </c>
      <c r="E71" s="438">
        <v>3.3</v>
      </c>
      <c r="F71" s="433">
        <v>5.7</v>
      </c>
      <c r="G71" s="123">
        <v>0.3</v>
      </c>
    </row>
    <row r="72" spans="1:7" ht="14.1" customHeight="1" x14ac:dyDescent="0.2">
      <c r="A72" s="245" t="s">
        <v>76</v>
      </c>
      <c r="B72" s="452">
        <v>31.5</v>
      </c>
      <c r="C72" s="126">
        <v>8.3000000000000007</v>
      </c>
      <c r="D72" s="127">
        <v>0.9</v>
      </c>
      <c r="E72" s="439">
        <v>3.7</v>
      </c>
      <c r="F72" s="434">
        <v>11.1</v>
      </c>
      <c r="G72" s="126">
        <v>0.9</v>
      </c>
    </row>
    <row r="73" spans="1:7" ht="14.1" customHeight="1" x14ac:dyDescent="0.2">
      <c r="A73" s="245" t="s">
        <v>77</v>
      </c>
      <c r="B73" s="452">
        <v>24</v>
      </c>
      <c r="C73" s="126">
        <v>8.4</v>
      </c>
      <c r="D73" s="127">
        <v>2</v>
      </c>
      <c r="E73" s="439">
        <v>5</v>
      </c>
      <c r="F73" s="434">
        <v>9.1</v>
      </c>
      <c r="G73" s="126">
        <v>0.3</v>
      </c>
    </row>
    <row r="74" spans="1:7" ht="14.1" customHeight="1" x14ac:dyDescent="0.2">
      <c r="A74" s="245" t="s">
        <v>78</v>
      </c>
      <c r="B74" s="452">
        <v>21.3</v>
      </c>
      <c r="C74" s="126">
        <v>10.9</v>
      </c>
      <c r="D74" s="127">
        <v>2.8</v>
      </c>
      <c r="E74" s="439">
        <v>1.4</v>
      </c>
      <c r="F74" s="434">
        <v>2.6</v>
      </c>
      <c r="G74" s="126">
        <v>0.3</v>
      </c>
    </row>
    <row r="75" spans="1:7" ht="14.1" customHeight="1" x14ac:dyDescent="0.2">
      <c r="A75" s="245" t="s">
        <v>79</v>
      </c>
      <c r="B75" s="452">
        <v>22</v>
      </c>
      <c r="C75" s="126">
        <v>7.7</v>
      </c>
      <c r="D75" s="127">
        <v>3.1</v>
      </c>
      <c r="E75" s="439">
        <v>0.8</v>
      </c>
      <c r="F75" s="434">
        <v>1.5</v>
      </c>
      <c r="G75" s="126">
        <v>0.4</v>
      </c>
    </row>
    <row r="76" spans="1:7" s="8" customFormat="1" ht="14.1" customHeight="1" x14ac:dyDescent="0.25">
      <c r="A76" s="245" t="s">
        <v>80</v>
      </c>
      <c r="B76" s="452">
        <v>28.5</v>
      </c>
      <c r="C76" s="126">
        <v>9.5</v>
      </c>
      <c r="D76" s="127">
        <v>0</v>
      </c>
      <c r="E76" s="439">
        <v>1.2</v>
      </c>
      <c r="F76" s="434">
        <v>5.9</v>
      </c>
      <c r="G76" s="126">
        <v>0</v>
      </c>
    </row>
    <row r="77" spans="1:7" ht="14.1" customHeight="1" x14ac:dyDescent="0.2">
      <c r="A77" s="248" t="s">
        <v>319</v>
      </c>
      <c r="B77" s="452">
        <v>17.899999999999999</v>
      </c>
      <c r="C77" s="126">
        <v>14.9</v>
      </c>
      <c r="D77" s="127">
        <v>3.4</v>
      </c>
      <c r="E77" s="439">
        <v>2.1</v>
      </c>
      <c r="F77" s="434">
        <v>2.6</v>
      </c>
      <c r="G77" s="126">
        <v>0.4</v>
      </c>
    </row>
    <row r="78" spans="1:7" ht="14.1" customHeight="1" x14ac:dyDescent="0.2">
      <c r="A78" s="245" t="s">
        <v>81</v>
      </c>
      <c r="B78" s="453">
        <v>32.6</v>
      </c>
      <c r="C78" s="105">
        <v>9.1999999999999993</v>
      </c>
      <c r="D78" s="128">
        <v>2.1</v>
      </c>
      <c r="E78" s="440">
        <v>3.4</v>
      </c>
      <c r="F78" s="436">
        <v>3.8</v>
      </c>
      <c r="G78" s="105">
        <v>0</v>
      </c>
    </row>
    <row r="79" spans="1:7" ht="14.1" customHeight="1" x14ac:dyDescent="0.2">
      <c r="A79" s="244" t="s">
        <v>82</v>
      </c>
      <c r="B79" s="451">
        <v>30.9</v>
      </c>
      <c r="C79" s="123">
        <v>14</v>
      </c>
      <c r="D79" s="124">
        <v>3.8</v>
      </c>
      <c r="E79" s="438">
        <v>3.4</v>
      </c>
      <c r="F79" s="433">
        <v>5.5</v>
      </c>
      <c r="G79" s="123">
        <v>0.4</v>
      </c>
    </row>
    <row r="80" spans="1:7" ht="14.1" customHeight="1" x14ac:dyDescent="0.2">
      <c r="A80" s="245" t="s">
        <v>83</v>
      </c>
      <c r="B80" s="452">
        <v>40.799999999999997</v>
      </c>
      <c r="C80" s="126">
        <v>38.299999999999997</v>
      </c>
      <c r="D80" s="127">
        <v>2.6</v>
      </c>
      <c r="E80" s="439">
        <v>7.7</v>
      </c>
      <c r="F80" s="434">
        <v>0</v>
      </c>
      <c r="G80" s="126">
        <v>0</v>
      </c>
    </row>
    <row r="81" spans="1:13" ht="14.1" customHeight="1" x14ac:dyDescent="0.2">
      <c r="A81" s="245" t="s">
        <v>84</v>
      </c>
      <c r="B81" s="452">
        <v>28.8</v>
      </c>
      <c r="C81" s="126">
        <v>9.8000000000000007</v>
      </c>
      <c r="D81" s="127">
        <v>4.9000000000000004</v>
      </c>
      <c r="E81" s="439">
        <v>3.1</v>
      </c>
      <c r="F81" s="434">
        <v>9.8000000000000007</v>
      </c>
      <c r="G81" s="126">
        <v>0.6</v>
      </c>
    </row>
    <row r="82" spans="1:13" ht="14.1" customHeight="1" x14ac:dyDescent="0.2">
      <c r="A82" s="245" t="s">
        <v>85</v>
      </c>
      <c r="B82" s="452">
        <v>52.7</v>
      </c>
      <c r="C82" s="126">
        <v>16.2</v>
      </c>
      <c r="D82" s="127">
        <v>12.2</v>
      </c>
      <c r="E82" s="439">
        <v>4.0999999999999996</v>
      </c>
      <c r="F82" s="434">
        <v>16.2</v>
      </c>
      <c r="G82" s="126">
        <v>4.0999999999999996</v>
      </c>
    </row>
    <row r="83" spans="1:13" ht="14.1" customHeight="1" x14ac:dyDescent="0.2">
      <c r="A83" s="245" t="s">
        <v>86</v>
      </c>
      <c r="B83" s="452">
        <v>34</v>
      </c>
      <c r="C83" s="126">
        <v>14.4</v>
      </c>
      <c r="D83" s="127">
        <v>15.7</v>
      </c>
      <c r="E83" s="439">
        <v>9.1</v>
      </c>
      <c r="F83" s="434">
        <v>5.2</v>
      </c>
      <c r="G83" s="126">
        <v>0</v>
      </c>
    </row>
    <row r="84" spans="1:13" ht="14.1" customHeight="1" x14ac:dyDescent="0.2">
      <c r="A84" s="245" t="s">
        <v>87</v>
      </c>
      <c r="B84" s="452">
        <v>44.6</v>
      </c>
      <c r="C84" s="126">
        <v>13.1</v>
      </c>
      <c r="D84" s="127">
        <v>3.8</v>
      </c>
      <c r="E84" s="439">
        <v>3.8</v>
      </c>
      <c r="F84" s="434">
        <v>2.8</v>
      </c>
      <c r="G84" s="126">
        <v>0</v>
      </c>
      <c r="H84" s="3"/>
      <c r="I84" s="126"/>
      <c r="J84" s="3"/>
      <c r="K84" s="3"/>
      <c r="L84" s="3"/>
      <c r="M84" s="3"/>
    </row>
    <row r="85" spans="1:13" ht="14.1" customHeight="1" x14ac:dyDescent="0.2">
      <c r="A85" s="245" t="s">
        <v>88</v>
      </c>
      <c r="B85" s="452">
        <v>29.6</v>
      </c>
      <c r="C85" s="126">
        <v>11.9</v>
      </c>
      <c r="D85" s="127">
        <v>6.3</v>
      </c>
      <c r="E85" s="439">
        <v>1.9</v>
      </c>
      <c r="F85" s="434">
        <v>3.8</v>
      </c>
      <c r="G85" s="126">
        <v>0</v>
      </c>
    </row>
    <row r="86" spans="1:13" ht="14.1" customHeight="1" x14ac:dyDescent="0.2">
      <c r="A86" s="245" t="s">
        <v>89</v>
      </c>
      <c r="B86" s="452">
        <v>28.9</v>
      </c>
      <c r="C86" s="126">
        <v>9.6999999999999993</v>
      </c>
      <c r="D86" s="127">
        <v>3</v>
      </c>
      <c r="E86" s="439">
        <v>3.5</v>
      </c>
      <c r="F86" s="434">
        <v>9.5</v>
      </c>
      <c r="G86" s="126">
        <v>0.5</v>
      </c>
    </row>
    <row r="87" spans="1:13" ht="14.1" customHeight="1" x14ac:dyDescent="0.2">
      <c r="A87" s="245" t="s">
        <v>90</v>
      </c>
      <c r="B87" s="452">
        <v>27.8</v>
      </c>
      <c r="C87" s="126">
        <v>14.5</v>
      </c>
      <c r="D87" s="127">
        <v>2.8</v>
      </c>
      <c r="E87" s="439">
        <v>2.8</v>
      </c>
      <c r="F87" s="434">
        <v>6.1</v>
      </c>
      <c r="G87" s="126">
        <v>0.3</v>
      </c>
    </row>
    <row r="88" spans="1:13" ht="14.1" customHeight="1" x14ac:dyDescent="0.2">
      <c r="A88" s="245" t="s">
        <v>91</v>
      </c>
      <c r="B88" s="452">
        <v>27.9</v>
      </c>
      <c r="C88" s="126">
        <v>15.2</v>
      </c>
      <c r="D88" s="127">
        <v>3.3</v>
      </c>
      <c r="E88" s="439">
        <v>3.3</v>
      </c>
      <c r="F88" s="434">
        <v>5.5</v>
      </c>
      <c r="G88" s="126">
        <v>0.6</v>
      </c>
    </row>
    <row r="89" spans="1:13" s="8" customFormat="1" ht="14.1" customHeight="1" x14ac:dyDescent="0.25">
      <c r="A89" s="245" t="s">
        <v>92</v>
      </c>
      <c r="B89" s="452">
        <v>26.3</v>
      </c>
      <c r="C89" s="126">
        <v>19</v>
      </c>
      <c r="D89" s="127">
        <v>2.9</v>
      </c>
      <c r="E89" s="439">
        <v>2.6</v>
      </c>
      <c r="F89" s="434">
        <v>4.4000000000000004</v>
      </c>
      <c r="G89" s="126">
        <v>0</v>
      </c>
    </row>
    <row r="90" spans="1:13" ht="14.1" customHeight="1" x14ac:dyDescent="0.2">
      <c r="A90" s="245" t="s">
        <v>93</v>
      </c>
      <c r="B90" s="452">
        <v>33.799999999999997</v>
      </c>
      <c r="C90" s="126">
        <v>13.5</v>
      </c>
      <c r="D90" s="127">
        <v>1.1000000000000001</v>
      </c>
      <c r="E90" s="439">
        <v>4.0999999999999996</v>
      </c>
      <c r="F90" s="434">
        <v>0.4</v>
      </c>
      <c r="G90" s="126">
        <v>0</v>
      </c>
    </row>
    <row r="91" spans="1:13" ht="14.1" customHeight="1" x14ac:dyDescent="0.2">
      <c r="A91" s="245" t="s">
        <v>94</v>
      </c>
      <c r="B91" s="453">
        <v>18.899999999999999</v>
      </c>
      <c r="C91" s="105">
        <v>11.2</v>
      </c>
      <c r="D91" s="128">
        <v>2.8</v>
      </c>
      <c r="E91" s="440">
        <v>1.4</v>
      </c>
      <c r="F91" s="436">
        <v>4.2</v>
      </c>
      <c r="G91" s="105">
        <v>2.1</v>
      </c>
    </row>
    <row r="92" spans="1:13" ht="14.1" customHeight="1" x14ac:dyDescent="0.2">
      <c r="A92" s="249" t="s">
        <v>95</v>
      </c>
      <c r="B92" s="451">
        <v>30.6</v>
      </c>
      <c r="C92" s="123">
        <v>13.2</v>
      </c>
      <c r="D92" s="124">
        <v>5.5</v>
      </c>
      <c r="E92" s="438">
        <v>3.1</v>
      </c>
      <c r="F92" s="433">
        <v>3.8</v>
      </c>
      <c r="G92" s="123">
        <v>1.1000000000000001</v>
      </c>
    </row>
    <row r="93" spans="1:13" ht="14.1" customHeight="1" x14ac:dyDescent="0.2">
      <c r="A93" s="245" t="s">
        <v>96</v>
      </c>
      <c r="B93" s="452">
        <v>37.4</v>
      </c>
      <c r="C93" s="126">
        <v>12.3</v>
      </c>
      <c r="D93" s="127">
        <v>7.1</v>
      </c>
      <c r="E93" s="439">
        <v>1.9</v>
      </c>
      <c r="F93" s="434">
        <v>4.5</v>
      </c>
      <c r="G93" s="126">
        <v>0</v>
      </c>
    </row>
    <row r="94" spans="1:13" ht="14.1" customHeight="1" x14ac:dyDescent="0.2">
      <c r="A94" s="245" t="s">
        <v>97</v>
      </c>
      <c r="B94" s="452">
        <v>56.7</v>
      </c>
      <c r="C94" s="126">
        <v>9.9</v>
      </c>
      <c r="D94" s="127">
        <v>0</v>
      </c>
      <c r="E94" s="439">
        <v>9.9</v>
      </c>
      <c r="F94" s="434">
        <v>7.4</v>
      </c>
      <c r="G94" s="126">
        <v>2.5</v>
      </c>
    </row>
    <row r="95" spans="1:13" ht="14.1" customHeight="1" x14ac:dyDescent="0.2">
      <c r="A95" s="245" t="s">
        <v>98</v>
      </c>
      <c r="B95" s="452">
        <v>30.4</v>
      </c>
      <c r="C95" s="126">
        <v>15.2</v>
      </c>
      <c r="D95" s="127">
        <v>8.9</v>
      </c>
      <c r="E95" s="439">
        <v>0.8</v>
      </c>
      <c r="F95" s="434">
        <v>1.3</v>
      </c>
      <c r="G95" s="126">
        <v>1.3</v>
      </c>
    </row>
    <row r="96" spans="1:13" ht="14.1" customHeight="1" x14ac:dyDescent="0.2">
      <c r="A96" s="245" t="s">
        <v>99</v>
      </c>
      <c r="B96" s="452">
        <v>27.7</v>
      </c>
      <c r="C96" s="126">
        <v>10.5</v>
      </c>
      <c r="D96" s="127">
        <v>3.3</v>
      </c>
      <c r="E96" s="439">
        <v>7.2</v>
      </c>
      <c r="F96" s="434">
        <v>3.3</v>
      </c>
      <c r="G96" s="126">
        <v>0.6</v>
      </c>
    </row>
    <row r="97" spans="1:14" ht="14.1" customHeight="1" x14ac:dyDescent="0.2">
      <c r="A97" s="245" t="s">
        <v>100</v>
      </c>
      <c r="B97" s="452">
        <v>12.4</v>
      </c>
      <c r="C97" s="126">
        <v>17.2</v>
      </c>
      <c r="D97" s="127">
        <v>3.8</v>
      </c>
      <c r="E97" s="439">
        <v>1.9</v>
      </c>
      <c r="F97" s="434">
        <v>4.8</v>
      </c>
      <c r="G97" s="126">
        <v>1.9</v>
      </c>
    </row>
    <row r="98" spans="1:14" ht="14.1" customHeight="1" x14ac:dyDescent="0.2">
      <c r="A98" s="245" t="s">
        <v>101</v>
      </c>
      <c r="B98" s="452">
        <v>12</v>
      </c>
      <c r="C98" s="126">
        <v>6</v>
      </c>
      <c r="D98" s="127">
        <v>0</v>
      </c>
      <c r="E98" s="439">
        <v>6</v>
      </c>
      <c r="F98" s="434">
        <v>0</v>
      </c>
      <c r="G98" s="126">
        <v>6</v>
      </c>
    </row>
    <row r="99" spans="1:14" ht="14.1" customHeight="1" x14ac:dyDescent="0.2">
      <c r="A99" s="245" t="s">
        <v>102</v>
      </c>
      <c r="B99" s="452">
        <v>17.3</v>
      </c>
      <c r="C99" s="126">
        <v>5.8</v>
      </c>
      <c r="D99" s="127">
        <v>0</v>
      </c>
      <c r="E99" s="445">
        <v>0</v>
      </c>
      <c r="F99" s="434">
        <v>7.2</v>
      </c>
      <c r="G99" s="126">
        <v>0</v>
      </c>
    </row>
    <row r="100" spans="1:14" ht="14.1" customHeight="1" x14ac:dyDescent="0.25">
      <c r="A100" s="245" t="s">
        <v>103</v>
      </c>
      <c r="B100" s="452">
        <v>94</v>
      </c>
      <c r="C100" s="126">
        <v>31.3</v>
      </c>
      <c r="D100" s="127">
        <v>9</v>
      </c>
      <c r="E100" s="445">
        <v>0</v>
      </c>
      <c r="F100" s="434">
        <v>4.5</v>
      </c>
      <c r="G100" s="126">
        <v>4.5</v>
      </c>
      <c r="J100"/>
      <c r="K100"/>
      <c r="L100"/>
      <c r="M100"/>
      <c r="N100"/>
    </row>
    <row r="101" spans="1:14" ht="14.1" customHeight="1" x14ac:dyDescent="0.25">
      <c r="A101" s="320" t="s">
        <v>104</v>
      </c>
      <c r="B101" s="454">
        <v>58.7</v>
      </c>
      <c r="C101" s="349">
        <v>29.4</v>
      </c>
      <c r="D101" s="350">
        <v>29.4</v>
      </c>
      <c r="E101" s="441">
        <v>14.7</v>
      </c>
      <c r="F101" s="437">
        <v>29.4</v>
      </c>
      <c r="G101" s="349">
        <v>0</v>
      </c>
      <c r="J101"/>
      <c r="K101"/>
      <c r="L101"/>
      <c r="M101"/>
      <c r="N101"/>
    </row>
    <row r="102" spans="1:14" x14ac:dyDescent="0.2">
      <c r="A102" s="351"/>
      <c r="B102" s="352"/>
      <c r="C102" s="124"/>
      <c r="D102" s="123"/>
      <c r="E102" s="125"/>
      <c r="F102" s="123"/>
      <c r="G102" s="125"/>
    </row>
    <row r="105" spans="1:14" x14ac:dyDescent="0.2">
      <c r="B105" s="129"/>
      <c r="C105" s="129"/>
      <c r="D105" s="129"/>
      <c r="E105" s="129"/>
      <c r="F105" s="129"/>
      <c r="G105" s="129"/>
    </row>
    <row r="106" spans="1:14" ht="15" x14ac:dyDescent="0.25">
      <c r="B106" s="129"/>
      <c r="C106" s="129"/>
      <c r="D106" s="129"/>
      <c r="E106" s="129"/>
      <c r="F106" s="129"/>
      <c r="G106"/>
    </row>
    <row r="107" spans="1:14" x14ac:dyDescent="0.2">
      <c r="B107" s="126"/>
      <c r="C107" s="130"/>
      <c r="D107" s="126"/>
      <c r="E107" s="126"/>
      <c r="F107" s="126"/>
      <c r="G107" s="126"/>
    </row>
    <row r="108" spans="1:14" x14ac:dyDescent="0.2">
      <c r="B108" s="126"/>
      <c r="C108" s="130"/>
      <c r="D108" s="126"/>
      <c r="E108" s="126"/>
      <c r="F108" s="126"/>
      <c r="G108" s="126"/>
    </row>
    <row r="109" spans="1:14" x14ac:dyDescent="0.2">
      <c r="B109" s="126"/>
      <c r="C109" s="130"/>
      <c r="D109" s="126"/>
      <c r="E109" s="126"/>
      <c r="F109" s="126"/>
      <c r="G109" s="126"/>
    </row>
    <row r="110" spans="1:14" x14ac:dyDescent="0.2">
      <c r="B110" s="126"/>
      <c r="C110" s="130"/>
      <c r="D110" s="126"/>
      <c r="E110" s="126"/>
      <c r="F110" s="126"/>
      <c r="G110" s="126"/>
    </row>
    <row r="111" spans="1:14" x14ac:dyDescent="0.2">
      <c r="B111" s="126"/>
      <c r="C111" s="130"/>
      <c r="D111" s="126"/>
      <c r="E111" s="126"/>
      <c r="F111" s="126"/>
      <c r="G111" s="126"/>
    </row>
    <row r="112" spans="1:14" x14ac:dyDescent="0.2">
      <c r="B112" s="126"/>
      <c r="C112" s="130"/>
      <c r="D112" s="126"/>
      <c r="E112" s="126"/>
      <c r="F112" s="126"/>
      <c r="G112" s="126"/>
    </row>
    <row r="113" spans="2:7" s="9" customFormat="1" x14ac:dyDescent="0.2">
      <c r="B113" s="126"/>
      <c r="C113" s="130"/>
      <c r="D113" s="126"/>
      <c r="E113" s="126"/>
      <c r="F113" s="126"/>
      <c r="G113" s="126"/>
    </row>
    <row r="114" spans="2:7" s="9" customFormat="1" x14ac:dyDescent="0.2">
      <c r="B114" s="126"/>
      <c r="C114" s="130"/>
      <c r="D114" s="126"/>
      <c r="E114" s="126"/>
      <c r="F114" s="126"/>
      <c r="G114" s="126"/>
    </row>
    <row r="115" spans="2:7" s="9" customFormat="1" x14ac:dyDescent="0.2">
      <c r="B115" s="5"/>
      <c r="C115" s="132"/>
      <c r="D115" s="5"/>
      <c r="E115" s="133"/>
      <c r="F115" s="5"/>
      <c r="G115" s="133"/>
    </row>
    <row r="116" spans="2:7" s="9" customFormat="1" x14ac:dyDescent="0.2">
      <c r="B116" s="5"/>
      <c r="C116" s="132"/>
      <c r="D116" s="5"/>
      <c r="E116" s="5"/>
      <c r="F116" s="5"/>
      <c r="G116" s="133"/>
    </row>
    <row r="117" spans="2:7" s="9" customFormat="1" x14ac:dyDescent="0.2">
      <c r="B117" s="5"/>
      <c r="C117" s="132"/>
      <c r="D117" s="5"/>
      <c r="E117" s="5"/>
      <c r="F117" s="5"/>
      <c r="G117" s="133"/>
    </row>
    <row r="118" spans="2:7" s="9" customFormat="1" x14ac:dyDescent="0.2">
      <c r="B118" s="5"/>
      <c r="C118" s="5"/>
      <c r="D118" s="5"/>
      <c r="E118" s="5"/>
      <c r="F118" s="5"/>
      <c r="G118" s="133"/>
    </row>
    <row r="119" spans="2:7" s="9" customFormat="1" x14ac:dyDescent="0.2">
      <c r="B119" s="5"/>
      <c r="C119" s="5"/>
      <c r="D119" s="5"/>
      <c r="E119" s="5"/>
      <c r="F119" s="5"/>
      <c r="G119" s="133"/>
    </row>
  </sheetData>
  <mergeCells count="5">
    <mergeCell ref="A1:G1"/>
    <mergeCell ref="A2:G2"/>
    <mergeCell ref="A3:G3"/>
    <mergeCell ref="A4:A5"/>
    <mergeCell ref="B4:G4"/>
  </mergeCells>
  <phoneticPr fontId="49" type="noConversion"/>
  <printOptions horizontalCentered="1"/>
  <pageMargins left="0.59055118110236227" right="0.31496062992125984" top="0.62992125984251968" bottom="0.11811023622047245" header="0.31496062992125984" footer="0.43307086614173229"/>
  <pageSetup paperSize="9" firstPageNumber="48" orientation="landscape" useFirstPageNumber="1" horizontalDpi="300" verticalDpi="300" r:id="rId1"/>
  <headerFooter alignWithMargins="0">
    <oddHeader>&amp;C&amp;"Arial,обычный"&amp;10 &amp;P</oddHeader>
  </headerFooter>
  <rowBreaks count="2" manualBreakCount="2">
    <brk id="38" max="6" man="1"/>
    <brk id="70" max="6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P122"/>
  <sheetViews>
    <sheetView zoomScaleNormal="100" workbookViewId="0">
      <selection activeCell="F14" sqref="F14"/>
    </sheetView>
  </sheetViews>
  <sheetFormatPr defaultRowHeight="15" x14ac:dyDescent="0.25"/>
  <cols>
    <col min="1" max="1" width="44.28515625" customWidth="1"/>
    <col min="2" max="7" width="14.28515625" customWidth="1"/>
    <col min="8" max="9" width="9.7109375" bestFit="1" customWidth="1"/>
  </cols>
  <sheetData>
    <row r="1" spans="1:16" x14ac:dyDescent="0.25">
      <c r="A1" s="575" t="s">
        <v>311</v>
      </c>
      <c r="B1" s="534"/>
      <c r="C1" s="534"/>
      <c r="D1" s="534"/>
      <c r="E1" s="534"/>
      <c r="F1" s="534"/>
      <c r="G1" s="534"/>
    </row>
    <row r="2" spans="1:16" x14ac:dyDescent="0.25">
      <c r="A2" s="134"/>
      <c r="B2" s="134"/>
      <c r="C2" s="134"/>
      <c r="D2" s="134"/>
      <c r="E2" s="134"/>
      <c r="F2" s="134"/>
      <c r="G2" s="134"/>
    </row>
    <row r="3" spans="1:16" x14ac:dyDescent="0.25">
      <c r="A3" s="576"/>
      <c r="B3" s="577" t="s">
        <v>200</v>
      </c>
      <c r="C3" s="578"/>
      <c r="D3" s="579" t="s">
        <v>219</v>
      </c>
      <c r="E3" s="578" t="s">
        <v>201</v>
      </c>
      <c r="F3" s="578"/>
      <c r="G3" s="579" t="s">
        <v>231</v>
      </c>
    </row>
    <row r="4" spans="1:16" x14ac:dyDescent="0.25">
      <c r="A4" s="576"/>
      <c r="B4" s="309" t="s">
        <v>234</v>
      </c>
      <c r="C4" s="295" t="s">
        <v>230</v>
      </c>
      <c r="D4" s="579"/>
      <c r="E4" s="310" t="s">
        <v>234</v>
      </c>
      <c r="F4" s="310" t="s">
        <v>230</v>
      </c>
      <c r="G4" s="579"/>
      <c r="J4" s="180"/>
    </row>
    <row r="5" spans="1:16" ht="14.1" customHeight="1" x14ac:dyDescent="0.25">
      <c r="A5" s="276" t="s">
        <v>13</v>
      </c>
      <c r="B5" s="455">
        <v>985836</v>
      </c>
      <c r="C5" s="455">
        <v>1161068</v>
      </c>
      <c r="D5" s="173">
        <f>B5-C5</f>
        <v>-175232</v>
      </c>
      <c r="E5" s="173">
        <v>608336</v>
      </c>
      <c r="F5" s="455">
        <v>611646</v>
      </c>
      <c r="G5" s="173">
        <f>E5-F5</f>
        <v>-3310</v>
      </c>
      <c r="H5" s="135"/>
      <c r="K5" s="135"/>
      <c r="L5" s="135"/>
      <c r="M5" s="135"/>
      <c r="N5" s="135"/>
      <c r="O5" s="135"/>
      <c r="P5" s="135"/>
    </row>
    <row r="6" spans="1:16" ht="14.1" customHeight="1" x14ac:dyDescent="0.25">
      <c r="A6" s="308" t="s">
        <v>14</v>
      </c>
      <c r="B6" s="455">
        <v>263539</v>
      </c>
      <c r="C6" s="455">
        <v>313157</v>
      </c>
      <c r="D6" s="173">
        <f t="shared" ref="D6:D69" si="0">B6-C6</f>
        <v>-49618</v>
      </c>
      <c r="E6" s="173">
        <v>159704</v>
      </c>
      <c r="F6" s="455">
        <v>161463</v>
      </c>
      <c r="G6" s="173">
        <f t="shared" ref="G6:G69" si="1">E6-F6</f>
        <v>-1759</v>
      </c>
      <c r="H6" s="135"/>
      <c r="K6" s="180"/>
    </row>
    <row r="7" spans="1:16" ht="14.1" customHeight="1" x14ac:dyDescent="0.25">
      <c r="A7" s="245" t="s">
        <v>15</v>
      </c>
      <c r="B7" s="456">
        <v>9522</v>
      </c>
      <c r="C7" s="456">
        <v>12859</v>
      </c>
      <c r="D7" s="174">
        <f t="shared" si="0"/>
        <v>-3337</v>
      </c>
      <c r="E7" s="174">
        <v>6787</v>
      </c>
      <c r="F7" s="456">
        <v>6774</v>
      </c>
      <c r="G7" s="174">
        <f t="shared" si="1"/>
        <v>13</v>
      </c>
      <c r="H7" s="135"/>
      <c r="K7" s="180"/>
    </row>
    <row r="8" spans="1:16" ht="14.1" customHeight="1" x14ac:dyDescent="0.25">
      <c r="A8" s="245" t="s">
        <v>16</v>
      </c>
      <c r="B8" s="456">
        <v>7607</v>
      </c>
      <c r="C8" s="456">
        <v>9736</v>
      </c>
      <c r="D8" s="174">
        <f t="shared" si="0"/>
        <v>-2129</v>
      </c>
      <c r="E8" s="174">
        <v>5804</v>
      </c>
      <c r="F8" s="456">
        <v>5883</v>
      </c>
      <c r="G8" s="174">
        <f t="shared" si="1"/>
        <v>-79</v>
      </c>
      <c r="H8" s="135"/>
      <c r="K8" s="180"/>
    </row>
    <row r="9" spans="1:16" ht="14.1" customHeight="1" x14ac:dyDescent="0.25">
      <c r="A9" s="245" t="s">
        <v>17</v>
      </c>
      <c r="B9" s="456">
        <v>8931</v>
      </c>
      <c r="C9" s="456">
        <v>10716</v>
      </c>
      <c r="D9" s="174">
        <f t="shared" si="0"/>
        <v>-1785</v>
      </c>
      <c r="E9" s="174">
        <v>5592</v>
      </c>
      <c r="F9" s="456">
        <v>5861</v>
      </c>
      <c r="G9" s="174">
        <f t="shared" si="1"/>
        <v>-269</v>
      </c>
      <c r="H9" s="135"/>
      <c r="K9" s="180"/>
    </row>
    <row r="10" spans="1:16" ht="14.1" customHeight="1" x14ac:dyDescent="0.25">
      <c r="A10" s="245" t="s">
        <v>18</v>
      </c>
      <c r="B10" s="456">
        <v>14510</v>
      </c>
      <c r="C10" s="456">
        <v>18162</v>
      </c>
      <c r="D10" s="174">
        <f t="shared" si="0"/>
        <v>-3652</v>
      </c>
      <c r="E10" s="174">
        <v>9617</v>
      </c>
      <c r="F10" s="456">
        <v>9666</v>
      </c>
      <c r="G10" s="174">
        <f t="shared" si="1"/>
        <v>-49</v>
      </c>
      <c r="H10" s="135"/>
      <c r="K10" s="180"/>
    </row>
    <row r="11" spans="1:16" ht="14.1" customHeight="1" x14ac:dyDescent="0.25">
      <c r="A11" s="245" t="s">
        <v>19</v>
      </c>
      <c r="B11" s="456">
        <v>6547</v>
      </c>
      <c r="C11" s="456">
        <v>7629</v>
      </c>
      <c r="D11" s="174">
        <f t="shared" si="0"/>
        <v>-1082</v>
      </c>
      <c r="E11" s="174">
        <v>4217</v>
      </c>
      <c r="F11" s="456">
        <v>4255</v>
      </c>
      <c r="G11" s="174">
        <f t="shared" si="1"/>
        <v>-38</v>
      </c>
      <c r="H11" s="135"/>
      <c r="K11" s="180"/>
    </row>
    <row r="12" spans="1:16" ht="14.1" customHeight="1" x14ac:dyDescent="0.25">
      <c r="A12" s="245" t="s">
        <v>20</v>
      </c>
      <c r="B12" s="456">
        <v>6958</v>
      </c>
      <c r="C12" s="456">
        <v>8322</v>
      </c>
      <c r="D12" s="174">
        <f t="shared" si="0"/>
        <v>-1364</v>
      </c>
      <c r="E12" s="174">
        <v>4532</v>
      </c>
      <c r="F12" s="456">
        <v>4490</v>
      </c>
      <c r="G12" s="174">
        <f t="shared" si="1"/>
        <v>42</v>
      </c>
      <c r="H12" s="135"/>
      <c r="K12" s="180"/>
    </row>
    <row r="13" spans="1:16" ht="14.1" customHeight="1" x14ac:dyDescent="0.25">
      <c r="A13" s="246" t="s">
        <v>21</v>
      </c>
      <c r="B13" s="456">
        <v>4137</v>
      </c>
      <c r="C13" s="456">
        <v>5067</v>
      </c>
      <c r="D13" s="174">
        <f t="shared" si="0"/>
        <v>-930</v>
      </c>
      <c r="E13" s="174">
        <v>2735</v>
      </c>
      <c r="F13" s="456">
        <v>2809</v>
      </c>
      <c r="G13" s="174">
        <f t="shared" si="1"/>
        <v>-74</v>
      </c>
      <c r="H13" s="135"/>
      <c r="K13" s="180"/>
    </row>
    <row r="14" spans="1:16" ht="14.1" customHeight="1" x14ac:dyDescent="0.25">
      <c r="A14" s="245" t="s">
        <v>22</v>
      </c>
      <c r="B14" s="456">
        <v>6836</v>
      </c>
      <c r="C14" s="456">
        <v>8949</v>
      </c>
      <c r="D14" s="174">
        <f t="shared" si="0"/>
        <v>-2113</v>
      </c>
      <c r="E14" s="174">
        <v>4911</v>
      </c>
      <c r="F14" s="456">
        <v>5001</v>
      </c>
      <c r="G14" s="174">
        <f t="shared" si="1"/>
        <v>-90</v>
      </c>
      <c r="H14" s="135"/>
      <c r="K14" s="180"/>
    </row>
    <row r="15" spans="1:16" ht="14.1" customHeight="1" x14ac:dyDescent="0.25">
      <c r="A15" s="245" t="s">
        <v>23</v>
      </c>
      <c r="B15" s="456">
        <v>7209</v>
      </c>
      <c r="C15" s="456">
        <v>8732</v>
      </c>
      <c r="D15" s="174">
        <f t="shared" si="0"/>
        <v>-1523</v>
      </c>
      <c r="E15" s="174">
        <v>4885</v>
      </c>
      <c r="F15" s="456">
        <v>4930</v>
      </c>
      <c r="G15" s="174">
        <f t="shared" si="1"/>
        <v>-45</v>
      </c>
      <c r="H15" s="135"/>
      <c r="K15" s="180"/>
    </row>
    <row r="16" spans="1:16" ht="14.1" customHeight="1" x14ac:dyDescent="0.25">
      <c r="A16" s="245" t="s">
        <v>24</v>
      </c>
      <c r="B16" s="456">
        <v>55034</v>
      </c>
      <c r="C16" s="456">
        <v>63451</v>
      </c>
      <c r="D16" s="174">
        <f t="shared" si="0"/>
        <v>-8417</v>
      </c>
      <c r="E16" s="174">
        <v>33910</v>
      </c>
      <c r="F16" s="456">
        <v>33718</v>
      </c>
      <c r="G16" s="174">
        <f t="shared" si="1"/>
        <v>192</v>
      </c>
      <c r="H16" s="135"/>
      <c r="K16" s="180"/>
    </row>
    <row r="17" spans="1:11" ht="14.1" customHeight="1" x14ac:dyDescent="0.25">
      <c r="A17" s="245" t="s">
        <v>25</v>
      </c>
      <c r="B17" s="456">
        <v>4551</v>
      </c>
      <c r="C17" s="456">
        <v>5744</v>
      </c>
      <c r="D17" s="174">
        <f t="shared" si="0"/>
        <v>-1193</v>
      </c>
      <c r="E17" s="174">
        <v>3236</v>
      </c>
      <c r="F17" s="456">
        <v>3432</v>
      </c>
      <c r="G17" s="174">
        <f t="shared" si="1"/>
        <v>-196</v>
      </c>
      <c r="H17" s="135"/>
      <c r="K17" s="180"/>
    </row>
    <row r="18" spans="1:11" ht="14.1" customHeight="1" x14ac:dyDescent="0.25">
      <c r="A18" s="246" t="s">
        <v>26</v>
      </c>
      <c r="B18" s="456">
        <v>7236</v>
      </c>
      <c r="C18" s="456">
        <v>8750</v>
      </c>
      <c r="D18" s="174">
        <f t="shared" si="0"/>
        <v>-1514</v>
      </c>
      <c r="E18" s="174">
        <v>4839</v>
      </c>
      <c r="F18" s="456">
        <v>4992</v>
      </c>
      <c r="G18" s="174">
        <f t="shared" si="1"/>
        <v>-153</v>
      </c>
      <c r="H18" s="135"/>
      <c r="K18" s="180"/>
    </row>
    <row r="19" spans="1:11" ht="14.1" customHeight="1" x14ac:dyDescent="0.25">
      <c r="A19" s="245" t="s">
        <v>27</v>
      </c>
      <c r="B19" s="456">
        <v>5908</v>
      </c>
      <c r="C19" s="456">
        <v>7297</v>
      </c>
      <c r="D19" s="174">
        <f t="shared" si="0"/>
        <v>-1389</v>
      </c>
      <c r="E19" s="174">
        <v>4321</v>
      </c>
      <c r="F19" s="456">
        <v>4486</v>
      </c>
      <c r="G19" s="174">
        <f t="shared" si="1"/>
        <v>-165</v>
      </c>
      <c r="H19" s="135"/>
      <c r="K19" s="180"/>
    </row>
    <row r="20" spans="1:11" ht="14.1" customHeight="1" x14ac:dyDescent="0.25">
      <c r="A20" s="245" t="s">
        <v>28</v>
      </c>
      <c r="B20" s="456">
        <v>6075</v>
      </c>
      <c r="C20" s="456">
        <v>7262</v>
      </c>
      <c r="D20" s="174">
        <f t="shared" si="0"/>
        <v>-1187</v>
      </c>
      <c r="E20" s="174">
        <v>4116</v>
      </c>
      <c r="F20" s="456">
        <v>4283</v>
      </c>
      <c r="G20" s="174">
        <f t="shared" si="1"/>
        <v>-167</v>
      </c>
      <c r="H20" s="135"/>
      <c r="K20" s="180"/>
    </row>
    <row r="21" spans="1:11" ht="14.1" customHeight="1" x14ac:dyDescent="0.25">
      <c r="A21" s="245" t="s">
        <v>29</v>
      </c>
      <c r="B21" s="456">
        <v>8672</v>
      </c>
      <c r="C21" s="456">
        <v>9776</v>
      </c>
      <c r="D21" s="174">
        <f t="shared" si="0"/>
        <v>-1104</v>
      </c>
      <c r="E21" s="174">
        <v>5482</v>
      </c>
      <c r="F21" s="456">
        <v>5706</v>
      </c>
      <c r="G21" s="174">
        <f t="shared" si="1"/>
        <v>-224</v>
      </c>
      <c r="H21" s="135"/>
      <c r="K21" s="180"/>
    </row>
    <row r="22" spans="1:11" ht="14.1" customHeight="1" x14ac:dyDescent="0.25">
      <c r="A22" s="245" t="s">
        <v>30</v>
      </c>
      <c r="B22" s="456">
        <v>9529</v>
      </c>
      <c r="C22" s="456">
        <v>10968</v>
      </c>
      <c r="D22" s="174">
        <f t="shared" si="0"/>
        <v>-1439</v>
      </c>
      <c r="E22" s="174">
        <v>6237</v>
      </c>
      <c r="F22" s="456">
        <v>6172</v>
      </c>
      <c r="G22" s="174">
        <f t="shared" si="1"/>
        <v>65</v>
      </c>
      <c r="H22" s="135"/>
      <c r="K22" s="180"/>
    </row>
    <row r="23" spans="1:11" ht="14.1" customHeight="1" x14ac:dyDescent="0.25">
      <c r="A23" s="245" t="s">
        <v>31</v>
      </c>
      <c r="B23" s="456">
        <v>8430</v>
      </c>
      <c r="C23" s="456">
        <v>10017</v>
      </c>
      <c r="D23" s="174">
        <f t="shared" si="0"/>
        <v>-1587</v>
      </c>
      <c r="E23" s="174">
        <v>5195</v>
      </c>
      <c r="F23" s="456">
        <v>5445</v>
      </c>
      <c r="G23" s="174">
        <f t="shared" si="1"/>
        <v>-250</v>
      </c>
      <c r="H23" s="135"/>
      <c r="K23" s="180"/>
    </row>
    <row r="24" spans="1:11" ht="14.1" customHeight="1" x14ac:dyDescent="0.25">
      <c r="A24" s="245" t="s">
        <v>32</v>
      </c>
      <c r="B24" s="456">
        <v>85847</v>
      </c>
      <c r="C24" s="456">
        <v>99720</v>
      </c>
      <c r="D24" s="174">
        <f t="shared" si="0"/>
        <v>-13873</v>
      </c>
      <c r="E24" s="174">
        <v>43288</v>
      </c>
      <c r="F24" s="456">
        <v>43560</v>
      </c>
      <c r="G24" s="174">
        <f t="shared" si="1"/>
        <v>-272</v>
      </c>
      <c r="H24" s="135"/>
      <c r="K24" s="180"/>
    </row>
    <row r="25" spans="1:11" ht="14.1" customHeight="1" x14ac:dyDescent="0.25">
      <c r="A25" s="247" t="s">
        <v>33</v>
      </c>
      <c r="B25" s="457">
        <v>105765</v>
      </c>
      <c r="C25" s="457">
        <v>121496</v>
      </c>
      <c r="D25" s="173">
        <f t="shared" si="0"/>
        <v>-15731</v>
      </c>
      <c r="E25" s="173">
        <v>63888</v>
      </c>
      <c r="F25" s="457">
        <v>63216</v>
      </c>
      <c r="G25" s="460">
        <f t="shared" si="1"/>
        <v>672</v>
      </c>
      <c r="H25" s="135"/>
      <c r="K25" s="180"/>
    </row>
    <row r="26" spans="1:11" ht="14.1" customHeight="1" x14ac:dyDescent="0.25">
      <c r="A26" s="245" t="s">
        <v>34</v>
      </c>
      <c r="B26" s="456">
        <v>4232</v>
      </c>
      <c r="C26" s="456">
        <v>4938</v>
      </c>
      <c r="D26" s="174">
        <f t="shared" si="0"/>
        <v>-706</v>
      </c>
      <c r="E26" s="174">
        <v>2814</v>
      </c>
      <c r="F26" s="456">
        <v>2725</v>
      </c>
      <c r="G26" s="174">
        <f t="shared" si="1"/>
        <v>89</v>
      </c>
      <c r="H26" s="135"/>
      <c r="K26" s="180"/>
    </row>
    <row r="27" spans="1:11" ht="14.1" customHeight="1" x14ac:dyDescent="0.25">
      <c r="A27" s="245" t="s">
        <v>35</v>
      </c>
      <c r="B27" s="456">
        <v>5499</v>
      </c>
      <c r="C27" s="456">
        <v>7001</v>
      </c>
      <c r="D27" s="174">
        <f t="shared" si="0"/>
        <v>-1502</v>
      </c>
      <c r="E27" s="174">
        <v>4133</v>
      </c>
      <c r="F27" s="456">
        <v>4112</v>
      </c>
      <c r="G27" s="174">
        <f t="shared" si="1"/>
        <v>21</v>
      </c>
      <c r="H27" s="135"/>
      <c r="K27" s="180"/>
    </row>
    <row r="28" spans="1:11" ht="14.1" customHeight="1" x14ac:dyDescent="0.25">
      <c r="A28" s="245" t="s">
        <v>36</v>
      </c>
      <c r="B28" s="456">
        <v>7307</v>
      </c>
      <c r="C28" s="456">
        <v>9013</v>
      </c>
      <c r="D28" s="174">
        <f t="shared" si="0"/>
        <v>-1706</v>
      </c>
      <c r="E28" s="174">
        <v>5005</v>
      </c>
      <c r="F28" s="456">
        <v>5120</v>
      </c>
      <c r="G28" s="174">
        <f t="shared" si="1"/>
        <v>-115</v>
      </c>
      <c r="H28" s="135"/>
      <c r="K28" s="180"/>
    </row>
    <row r="29" spans="1:11" ht="14.1" customHeight="1" x14ac:dyDescent="0.25">
      <c r="A29" s="245" t="s">
        <v>37</v>
      </c>
      <c r="B29" s="456">
        <v>232</v>
      </c>
      <c r="C29" s="456">
        <v>306</v>
      </c>
      <c r="D29" s="174">
        <f t="shared" si="0"/>
        <v>-74</v>
      </c>
      <c r="E29" s="174">
        <v>185</v>
      </c>
      <c r="F29" s="456">
        <v>173</v>
      </c>
      <c r="G29" s="174">
        <f t="shared" si="1"/>
        <v>12</v>
      </c>
      <c r="H29" s="135"/>
      <c r="K29" s="180"/>
    </row>
    <row r="30" spans="1:11" ht="14.1" customHeight="1" x14ac:dyDescent="0.25">
      <c r="A30" s="248" t="s">
        <v>318</v>
      </c>
      <c r="B30" s="456">
        <v>7075</v>
      </c>
      <c r="C30" s="456">
        <v>8707</v>
      </c>
      <c r="D30" s="174">
        <f t="shared" si="0"/>
        <v>-1632</v>
      </c>
      <c r="E30" s="174">
        <v>4820</v>
      </c>
      <c r="F30" s="456">
        <v>4947</v>
      </c>
      <c r="G30" s="174">
        <f t="shared" si="1"/>
        <v>-127</v>
      </c>
      <c r="H30" s="135"/>
      <c r="K30" s="180"/>
    </row>
    <row r="31" spans="1:11" ht="14.1" customHeight="1" x14ac:dyDescent="0.25">
      <c r="A31" s="245" t="s">
        <v>38</v>
      </c>
      <c r="B31" s="456">
        <v>7202</v>
      </c>
      <c r="C31" s="456">
        <v>8973</v>
      </c>
      <c r="D31" s="174">
        <f t="shared" si="0"/>
        <v>-1771</v>
      </c>
      <c r="E31" s="174">
        <v>4640</v>
      </c>
      <c r="F31" s="456">
        <v>4380</v>
      </c>
      <c r="G31" s="174">
        <f t="shared" si="1"/>
        <v>260</v>
      </c>
      <c r="H31" s="135"/>
      <c r="K31" s="180"/>
    </row>
    <row r="32" spans="1:11" ht="14.1" customHeight="1" x14ac:dyDescent="0.25">
      <c r="A32" s="245" t="s">
        <v>39</v>
      </c>
      <c r="B32" s="456">
        <v>7441</v>
      </c>
      <c r="C32" s="456">
        <v>8392</v>
      </c>
      <c r="D32" s="174">
        <f t="shared" si="0"/>
        <v>-951</v>
      </c>
      <c r="E32" s="174">
        <v>5177</v>
      </c>
      <c r="F32" s="456">
        <v>5273</v>
      </c>
      <c r="G32" s="174">
        <f t="shared" si="1"/>
        <v>-96</v>
      </c>
      <c r="H32" s="135"/>
      <c r="K32" s="180"/>
    </row>
    <row r="33" spans="1:11" ht="14.1" customHeight="1" x14ac:dyDescent="0.25">
      <c r="A33" s="245" t="s">
        <v>40</v>
      </c>
      <c r="B33" s="456">
        <v>9037</v>
      </c>
      <c r="C33" s="456">
        <v>10031</v>
      </c>
      <c r="D33" s="174">
        <f t="shared" si="0"/>
        <v>-994</v>
      </c>
      <c r="E33" s="174">
        <v>7316</v>
      </c>
      <c r="F33" s="456">
        <v>7309</v>
      </c>
      <c r="G33" s="174">
        <f t="shared" si="1"/>
        <v>7</v>
      </c>
      <c r="H33" s="135"/>
      <c r="K33" s="180"/>
    </row>
    <row r="34" spans="1:11" ht="14.1" customHeight="1" x14ac:dyDescent="0.25">
      <c r="A34" s="245" t="s">
        <v>41</v>
      </c>
      <c r="B34" s="456">
        <v>5712</v>
      </c>
      <c r="C34" s="456">
        <v>6366</v>
      </c>
      <c r="D34" s="174">
        <f t="shared" si="0"/>
        <v>-654</v>
      </c>
      <c r="E34" s="174">
        <v>4160</v>
      </c>
      <c r="F34" s="456">
        <v>4107</v>
      </c>
      <c r="G34" s="174">
        <f t="shared" si="1"/>
        <v>53</v>
      </c>
      <c r="H34" s="135"/>
      <c r="K34" s="180"/>
    </row>
    <row r="35" spans="1:11" ht="14.1" customHeight="1" x14ac:dyDescent="0.25">
      <c r="A35" s="245" t="s">
        <v>42</v>
      </c>
      <c r="B35" s="456">
        <v>4564</v>
      </c>
      <c r="C35" s="456">
        <v>5036</v>
      </c>
      <c r="D35" s="174">
        <f t="shared" si="0"/>
        <v>-472</v>
      </c>
      <c r="E35" s="174">
        <v>2790</v>
      </c>
      <c r="F35" s="456">
        <v>2784</v>
      </c>
      <c r="G35" s="174">
        <f t="shared" si="1"/>
        <v>6</v>
      </c>
      <c r="H35" s="135"/>
      <c r="K35" s="180"/>
    </row>
    <row r="36" spans="1:11" ht="14.1" customHeight="1" x14ac:dyDescent="0.25">
      <c r="A36" s="245" t="s">
        <v>43</v>
      </c>
      <c r="B36" s="456">
        <v>4080</v>
      </c>
      <c r="C36" s="456">
        <v>4820</v>
      </c>
      <c r="D36" s="174">
        <f t="shared" si="0"/>
        <v>-740</v>
      </c>
      <c r="E36" s="174">
        <v>2800</v>
      </c>
      <c r="F36" s="456">
        <v>2752</v>
      </c>
      <c r="G36" s="174">
        <f t="shared" si="1"/>
        <v>48</v>
      </c>
      <c r="H36" s="135"/>
      <c r="K36" s="180"/>
    </row>
    <row r="37" spans="1:11" ht="14.1" customHeight="1" x14ac:dyDescent="0.25">
      <c r="A37" s="245" t="s">
        <v>44</v>
      </c>
      <c r="B37" s="456">
        <v>50691</v>
      </c>
      <c r="C37" s="456">
        <v>56926</v>
      </c>
      <c r="D37" s="174">
        <f t="shared" si="0"/>
        <v>-6235</v>
      </c>
      <c r="E37" s="174">
        <v>25053</v>
      </c>
      <c r="F37" s="456">
        <v>24654</v>
      </c>
      <c r="G37" s="174">
        <f t="shared" si="1"/>
        <v>399</v>
      </c>
      <c r="H37" s="135"/>
      <c r="K37" s="180"/>
    </row>
    <row r="38" spans="1:11" ht="14.1" customHeight="1" x14ac:dyDescent="0.25">
      <c r="A38" s="249" t="s">
        <v>45</v>
      </c>
      <c r="B38" s="458">
        <v>109579</v>
      </c>
      <c r="C38" s="458">
        <v>131528</v>
      </c>
      <c r="D38" s="427">
        <f t="shared" si="0"/>
        <v>-21949</v>
      </c>
      <c r="E38" s="427">
        <v>69000</v>
      </c>
      <c r="F38" s="458">
        <v>68695</v>
      </c>
      <c r="G38" s="461">
        <f t="shared" si="1"/>
        <v>305</v>
      </c>
      <c r="H38" s="428"/>
      <c r="I38" s="390"/>
      <c r="K38" s="180"/>
    </row>
    <row r="39" spans="1:11" ht="14.1" customHeight="1" x14ac:dyDescent="0.25">
      <c r="A39" s="245" t="s">
        <v>46</v>
      </c>
      <c r="B39" s="456">
        <v>2382</v>
      </c>
      <c r="C39" s="456">
        <v>2790</v>
      </c>
      <c r="D39" s="174">
        <f t="shared" si="0"/>
        <v>-408</v>
      </c>
      <c r="E39" s="174">
        <v>1651</v>
      </c>
      <c r="F39" s="456">
        <v>1581</v>
      </c>
      <c r="G39" s="174">
        <f t="shared" si="1"/>
        <v>70</v>
      </c>
      <c r="H39" s="135"/>
      <c r="K39" s="180"/>
    </row>
    <row r="40" spans="1:11" ht="14.1" customHeight="1" x14ac:dyDescent="0.25">
      <c r="A40" s="245" t="s">
        <v>47</v>
      </c>
      <c r="B40" s="456">
        <v>1426</v>
      </c>
      <c r="C40" s="456">
        <v>1823</v>
      </c>
      <c r="D40" s="174">
        <f t="shared" si="0"/>
        <v>-397</v>
      </c>
      <c r="E40" s="174">
        <v>1053</v>
      </c>
      <c r="F40" s="456">
        <v>1025</v>
      </c>
      <c r="G40" s="174">
        <f t="shared" si="1"/>
        <v>28</v>
      </c>
      <c r="H40" s="135"/>
      <c r="K40" s="180"/>
    </row>
    <row r="41" spans="1:11" ht="14.1" customHeight="1" x14ac:dyDescent="0.25">
      <c r="A41" s="245" t="s">
        <v>211</v>
      </c>
      <c r="B41" s="456">
        <v>13493</v>
      </c>
      <c r="C41" s="456">
        <v>17417</v>
      </c>
      <c r="D41" s="174">
        <f t="shared" si="0"/>
        <v>-3924</v>
      </c>
      <c r="E41" s="174">
        <v>6275</v>
      </c>
      <c r="F41" s="456">
        <v>5673</v>
      </c>
      <c r="G41" s="174">
        <f t="shared" si="1"/>
        <v>602</v>
      </c>
      <c r="K41" s="180"/>
    </row>
    <row r="42" spans="1:11" ht="14.1" customHeight="1" x14ac:dyDescent="0.25">
      <c r="A42" s="245" t="s">
        <v>48</v>
      </c>
      <c r="B42" s="456">
        <v>39932</v>
      </c>
      <c r="C42" s="456">
        <v>46232</v>
      </c>
      <c r="D42" s="174">
        <f t="shared" si="0"/>
        <v>-6300</v>
      </c>
      <c r="E42" s="174">
        <v>25321</v>
      </c>
      <c r="F42" s="456">
        <v>25427</v>
      </c>
      <c r="G42" s="174">
        <f t="shared" si="1"/>
        <v>-106</v>
      </c>
      <c r="H42" s="135"/>
      <c r="K42" s="180"/>
    </row>
    <row r="43" spans="1:11" ht="14.1" customHeight="1" x14ac:dyDescent="0.25">
      <c r="A43" s="245" t="s">
        <v>49</v>
      </c>
      <c r="B43" s="456">
        <v>6704</v>
      </c>
      <c r="C43" s="456">
        <v>7541</v>
      </c>
      <c r="D43" s="174">
        <f t="shared" si="0"/>
        <v>-837</v>
      </c>
      <c r="E43" s="174">
        <v>4251</v>
      </c>
      <c r="F43" s="456">
        <v>4378</v>
      </c>
      <c r="G43" s="174">
        <f t="shared" si="1"/>
        <v>-127</v>
      </c>
      <c r="H43" s="135"/>
      <c r="K43" s="180"/>
    </row>
    <row r="44" spans="1:11" ht="14.1" customHeight="1" x14ac:dyDescent="0.25">
      <c r="A44" s="245" t="s">
        <v>50</v>
      </c>
      <c r="B44" s="456">
        <v>15151</v>
      </c>
      <c r="C44" s="456">
        <v>17943</v>
      </c>
      <c r="D44" s="174">
        <f t="shared" si="0"/>
        <v>-2792</v>
      </c>
      <c r="E44" s="174">
        <v>10442</v>
      </c>
      <c r="F44" s="456">
        <v>10567</v>
      </c>
      <c r="G44" s="174">
        <f t="shared" si="1"/>
        <v>-125</v>
      </c>
      <c r="H44" s="135"/>
      <c r="K44" s="180"/>
    </row>
    <row r="45" spans="1:11" ht="14.1" customHeight="1" x14ac:dyDescent="0.25">
      <c r="A45" s="245" t="s">
        <v>51</v>
      </c>
      <c r="B45" s="456">
        <v>26490</v>
      </c>
      <c r="C45" s="456">
        <v>33107</v>
      </c>
      <c r="D45" s="174">
        <f t="shared" si="0"/>
        <v>-6617</v>
      </c>
      <c r="E45" s="174">
        <v>18117</v>
      </c>
      <c r="F45" s="456">
        <v>18414</v>
      </c>
      <c r="G45" s="174">
        <f t="shared" si="1"/>
        <v>-297</v>
      </c>
      <c r="H45" s="135"/>
      <c r="K45" s="180"/>
    </row>
    <row r="46" spans="1:11" ht="14.1" customHeight="1" x14ac:dyDescent="0.25">
      <c r="A46" s="245" t="s">
        <v>213</v>
      </c>
      <c r="B46" s="456">
        <v>4001</v>
      </c>
      <c r="C46" s="456">
        <v>4675</v>
      </c>
      <c r="D46" s="174">
        <f t="shared" si="0"/>
        <v>-674</v>
      </c>
      <c r="E46" s="174">
        <v>1890</v>
      </c>
      <c r="F46" s="456">
        <v>1630</v>
      </c>
      <c r="G46" s="174">
        <f t="shared" si="1"/>
        <v>260</v>
      </c>
      <c r="K46" s="180"/>
    </row>
    <row r="47" spans="1:11" ht="14.1" customHeight="1" x14ac:dyDescent="0.25">
      <c r="A47" s="250" t="s">
        <v>52</v>
      </c>
      <c r="B47" s="457">
        <v>54626</v>
      </c>
      <c r="C47" s="457">
        <v>59851</v>
      </c>
      <c r="D47" s="173">
        <f t="shared" si="0"/>
        <v>-5225</v>
      </c>
      <c r="E47" s="173">
        <v>22879</v>
      </c>
      <c r="F47" s="457">
        <v>22673</v>
      </c>
      <c r="G47" s="460">
        <f t="shared" si="1"/>
        <v>206</v>
      </c>
      <c r="H47" s="135"/>
      <c r="K47" s="180"/>
    </row>
    <row r="48" spans="1:11" ht="14.1" customHeight="1" x14ac:dyDescent="0.25">
      <c r="A48" s="245" t="s">
        <v>53</v>
      </c>
      <c r="B48" s="456">
        <v>17689</v>
      </c>
      <c r="C48" s="456">
        <v>19017</v>
      </c>
      <c r="D48" s="174">
        <f t="shared" si="0"/>
        <v>-1328</v>
      </c>
      <c r="E48" s="174">
        <v>4964</v>
      </c>
      <c r="F48" s="456">
        <v>4795</v>
      </c>
      <c r="G48" s="174">
        <f t="shared" si="1"/>
        <v>169</v>
      </c>
      <c r="H48" s="135"/>
      <c r="K48" s="180"/>
    </row>
    <row r="49" spans="1:11" ht="14.1" customHeight="1" x14ac:dyDescent="0.25">
      <c r="A49" s="245" t="s">
        <v>54</v>
      </c>
      <c r="B49" s="456">
        <v>1809</v>
      </c>
      <c r="C49" s="456">
        <v>1975</v>
      </c>
      <c r="D49" s="174">
        <f t="shared" si="0"/>
        <v>-166</v>
      </c>
      <c r="E49" s="174">
        <v>426</v>
      </c>
      <c r="F49" s="456">
        <v>389</v>
      </c>
      <c r="G49" s="174">
        <f t="shared" si="1"/>
        <v>37</v>
      </c>
      <c r="H49" s="135"/>
      <c r="K49" s="180"/>
    </row>
    <row r="50" spans="1:11" ht="14.1" customHeight="1" x14ac:dyDescent="0.25">
      <c r="A50" s="245" t="s">
        <v>55</v>
      </c>
      <c r="B50" s="456">
        <v>4853</v>
      </c>
      <c r="C50" s="456">
        <v>5340</v>
      </c>
      <c r="D50" s="174">
        <f t="shared" si="0"/>
        <v>-487</v>
      </c>
      <c r="E50" s="174">
        <v>2403</v>
      </c>
      <c r="F50" s="456">
        <v>2154</v>
      </c>
      <c r="G50" s="174">
        <f t="shared" si="1"/>
        <v>249</v>
      </c>
      <c r="H50" s="135"/>
      <c r="K50" s="180"/>
    </row>
    <row r="51" spans="1:11" ht="14.1" customHeight="1" x14ac:dyDescent="0.25">
      <c r="A51" s="245" t="s">
        <v>56</v>
      </c>
      <c r="B51" s="456">
        <v>2429</v>
      </c>
      <c r="C51" s="456">
        <v>2763</v>
      </c>
      <c r="D51" s="174">
        <f t="shared" si="0"/>
        <v>-334</v>
      </c>
      <c r="E51" s="174">
        <v>1462</v>
      </c>
      <c r="F51" s="456">
        <v>1605</v>
      </c>
      <c r="G51" s="174">
        <f t="shared" si="1"/>
        <v>-143</v>
      </c>
      <c r="H51" s="135"/>
      <c r="K51" s="180"/>
    </row>
    <row r="52" spans="1:11" ht="14.1" customHeight="1" x14ac:dyDescent="0.25">
      <c r="A52" s="245" t="s">
        <v>57</v>
      </c>
      <c r="B52" s="456">
        <v>3562</v>
      </c>
      <c r="C52" s="456">
        <v>4221</v>
      </c>
      <c r="D52" s="174">
        <f t="shared" si="0"/>
        <v>-659</v>
      </c>
      <c r="E52" s="174">
        <v>1830</v>
      </c>
      <c r="F52" s="456">
        <v>1848</v>
      </c>
      <c r="G52" s="174">
        <f t="shared" si="1"/>
        <v>-18</v>
      </c>
      <c r="H52" s="135"/>
      <c r="K52" s="180"/>
    </row>
    <row r="53" spans="1:11" ht="14.1" customHeight="1" x14ac:dyDescent="0.25">
      <c r="A53" s="245" t="s">
        <v>58</v>
      </c>
      <c r="B53" s="456">
        <v>8248</v>
      </c>
      <c r="C53" s="456">
        <v>7910</v>
      </c>
      <c r="D53" s="174">
        <f t="shared" si="0"/>
        <v>338</v>
      </c>
      <c r="E53" s="174">
        <v>1231</v>
      </c>
      <c r="F53" s="456">
        <v>1056</v>
      </c>
      <c r="G53" s="174">
        <f t="shared" si="1"/>
        <v>175</v>
      </c>
      <c r="H53" s="135"/>
      <c r="K53" s="180"/>
    </row>
    <row r="54" spans="1:11" ht="14.1" customHeight="1" x14ac:dyDescent="0.25">
      <c r="A54" s="245" t="s">
        <v>59</v>
      </c>
      <c r="B54" s="456">
        <v>16036</v>
      </c>
      <c r="C54" s="456">
        <v>18625</v>
      </c>
      <c r="D54" s="174">
        <f t="shared" si="0"/>
        <v>-2589</v>
      </c>
      <c r="E54" s="174">
        <v>10563</v>
      </c>
      <c r="F54" s="456">
        <v>10826</v>
      </c>
      <c r="G54" s="174">
        <f t="shared" si="1"/>
        <v>-263</v>
      </c>
      <c r="H54" s="135"/>
      <c r="K54" s="180"/>
    </row>
    <row r="55" spans="1:11" ht="14.1" customHeight="1" x14ac:dyDescent="0.25">
      <c r="A55" s="244" t="s">
        <v>60</v>
      </c>
      <c r="B55" s="457">
        <v>186096</v>
      </c>
      <c r="C55" s="457">
        <v>226799</v>
      </c>
      <c r="D55" s="173">
        <f t="shared" si="0"/>
        <v>-40703</v>
      </c>
      <c r="E55" s="173">
        <v>116245</v>
      </c>
      <c r="F55" s="457">
        <v>117212</v>
      </c>
      <c r="G55" s="460">
        <f t="shared" si="1"/>
        <v>-967</v>
      </c>
      <c r="H55" s="135"/>
      <c r="K55" s="180"/>
    </row>
    <row r="56" spans="1:11" ht="14.1" customHeight="1" x14ac:dyDescent="0.25">
      <c r="A56" s="245" t="s">
        <v>61</v>
      </c>
      <c r="B56" s="456">
        <v>25323</v>
      </c>
      <c r="C56" s="456">
        <v>31210</v>
      </c>
      <c r="D56" s="174">
        <f t="shared" si="0"/>
        <v>-5887</v>
      </c>
      <c r="E56" s="174">
        <v>15645</v>
      </c>
      <c r="F56" s="456">
        <v>15953</v>
      </c>
      <c r="G56" s="174">
        <f t="shared" si="1"/>
        <v>-308</v>
      </c>
      <c r="H56" s="135"/>
      <c r="K56" s="180"/>
    </row>
    <row r="57" spans="1:11" ht="14.1" customHeight="1" x14ac:dyDescent="0.25">
      <c r="A57" s="245" t="s">
        <v>62</v>
      </c>
      <c r="B57" s="456">
        <v>3695</v>
      </c>
      <c r="C57" s="456">
        <v>5095</v>
      </c>
      <c r="D57" s="174">
        <f t="shared" si="0"/>
        <v>-1400</v>
      </c>
      <c r="E57" s="174">
        <v>2544</v>
      </c>
      <c r="F57" s="456">
        <v>2548</v>
      </c>
      <c r="G57" s="174">
        <f t="shared" si="1"/>
        <v>-4</v>
      </c>
      <c r="H57" s="135"/>
      <c r="K57" s="180"/>
    </row>
    <row r="58" spans="1:11" ht="14.1" customHeight="1" x14ac:dyDescent="0.25">
      <c r="A58" s="245" t="s">
        <v>63</v>
      </c>
      <c r="B58" s="456">
        <v>4265</v>
      </c>
      <c r="C58" s="456">
        <v>5367</v>
      </c>
      <c r="D58" s="174">
        <f t="shared" si="0"/>
        <v>-1102</v>
      </c>
      <c r="E58" s="174">
        <v>2659</v>
      </c>
      <c r="F58" s="456">
        <v>2687</v>
      </c>
      <c r="G58" s="174">
        <f t="shared" si="1"/>
        <v>-28</v>
      </c>
      <c r="H58" s="135"/>
      <c r="K58" s="180"/>
    </row>
    <row r="59" spans="1:11" ht="14.1" customHeight="1" x14ac:dyDescent="0.25">
      <c r="A59" s="245" t="s">
        <v>64</v>
      </c>
      <c r="B59" s="456">
        <v>25777</v>
      </c>
      <c r="C59" s="456">
        <v>30571</v>
      </c>
      <c r="D59" s="174">
        <f t="shared" si="0"/>
        <v>-4794</v>
      </c>
      <c r="E59" s="174">
        <v>13450</v>
      </c>
      <c r="F59" s="456">
        <v>13450</v>
      </c>
      <c r="G59" s="174">
        <f t="shared" si="1"/>
        <v>0</v>
      </c>
      <c r="H59" s="135"/>
      <c r="K59" s="180"/>
    </row>
    <row r="60" spans="1:11" ht="14.1" customHeight="1" x14ac:dyDescent="0.25">
      <c r="A60" s="245" t="s">
        <v>65</v>
      </c>
      <c r="B60" s="456">
        <v>8604</v>
      </c>
      <c r="C60" s="456">
        <v>11400</v>
      </c>
      <c r="D60" s="174">
        <f t="shared" si="0"/>
        <v>-2796</v>
      </c>
      <c r="E60" s="174">
        <v>5338</v>
      </c>
      <c r="F60" s="456">
        <v>5274</v>
      </c>
      <c r="G60" s="174">
        <f t="shared" si="1"/>
        <v>64</v>
      </c>
      <c r="H60" s="135"/>
      <c r="K60" s="180"/>
    </row>
    <row r="61" spans="1:11" ht="14.1" customHeight="1" x14ac:dyDescent="0.25">
      <c r="A61" s="245" t="s">
        <v>66</v>
      </c>
      <c r="B61" s="456">
        <v>6641</v>
      </c>
      <c r="C61" s="456">
        <v>8803</v>
      </c>
      <c r="D61" s="174">
        <f t="shared" si="0"/>
        <v>-2162</v>
      </c>
      <c r="E61" s="174">
        <v>4077</v>
      </c>
      <c r="F61" s="456">
        <v>4025</v>
      </c>
      <c r="G61" s="174">
        <f t="shared" si="1"/>
        <v>52</v>
      </c>
      <c r="H61" s="135"/>
      <c r="K61" s="180"/>
    </row>
    <row r="62" spans="1:11" ht="14.1" customHeight="1" x14ac:dyDescent="0.25">
      <c r="A62" s="245" t="s">
        <v>67</v>
      </c>
      <c r="B62" s="456">
        <v>17566</v>
      </c>
      <c r="C62" s="456">
        <v>21657</v>
      </c>
      <c r="D62" s="174">
        <f t="shared" si="0"/>
        <v>-4091</v>
      </c>
      <c r="E62" s="174">
        <v>10952</v>
      </c>
      <c r="F62" s="456">
        <v>10667</v>
      </c>
      <c r="G62" s="174">
        <f t="shared" si="1"/>
        <v>285</v>
      </c>
      <c r="H62" s="135"/>
      <c r="K62" s="180"/>
    </row>
    <row r="63" spans="1:11" ht="14.1" customHeight="1" x14ac:dyDescent="0.25">
      <c r="A63" s="245" t="s">
        <v>68</v>
      </c>
      <c r="B63" s="456">
        <v>7421</v>
      </c>
      <c r="C63" s="456">
        <v>9323</v>
      </c>
      <c r="D63" s="174">
        <f t="shared" si="0"/>
        <v>-1902</v>
      </c>
      <c r="E63" s="174">
        <v>5297</v>
      </c>
      <c r="F63" s="456">
        <v>5275</v>
      </c>
      <c r="G63" s="174">
        <f t="shared" si="1"/>
        <v>22</v>
      </c>
      <c r="H63" s="135"/>
      <c r="K63" s="180"/>
    </row>
    <row r="64" spans="1:11" ht="14.1" customHeight="1" x14ac:dyDescent="0.25">
      <c r="A64" s="245" t="s">
        <v>69</v>
      </c>
      <c r="B64" s="456">
        <v>21562</v>
      </c>
      <c r="C64" s="456">
        <v>25530</v>
      </c>
      <c r="D64" s="174">
        <f t="shared" si="0"/>
        <v>-3968</v>
      </c>
      <c r="E64" s="174">
        <v>13144</v>
      </c>
      <c r="F64" s="456">
        <v>13385</v>
      </c>
      <c r="G64" s="174">
        <f t="shared" si="1"/>
        <v>-241</v>
      </c>
      <c r="H64" s="135"/>
      <c r="K64" s="180"/>
    </row>
    <row r="65" spans="1:11" ht="14.1" customHeight="1" x14ac:dyDescent="0.25">
      <c r="A65" s="245" t="s">
        <v>70</v>
      </c>
      <c r="B65" s="456">
        <v>12892</v>
      </c>
      <c r="C65" s="456">
        <v>15418</v>
      </c>
      <c r="D65" s="174">
        <f t="shared" si="0"/>
        <v>-2526</v>
      </c>
      <c r="E65" s="174">
        <v>8768</v>
      </c>
      <c r="F65" s="456">
        <v>8717</v>
      </c>
      <c r="G65" s="174">
        <f t="shared" si="1"/>
        <v>51</v>
      </c>
      <c r="H65" s="135"/>
      <c r="K65" s="180"/>
    </row>
    <row r="66" spans="1:11" ht="14.1" customHeight="1" x14ac:dyDescent="0.25">
      <c r="A66" s="245" t="s">
        <v>71</v>
      </c>
      <c r="B66" s="456">
        <v>7663</v>
      </c>
      <c r="C66" s="456">
        <v>9441</v>
      </c>
      <c r="D66" s="174">
        <f t="shared" si="0"/>
        <v>-1778</v>
      </c>
      <c r="E66" s="174">
        <v>5185</v>
      </c>
      <c r="F66" s="456">
        <v>5388</v>
      </c>
      <c r="G66" s="174">
        <f t="shared" si="1"/>
        <v>-203</v>
      </c>
      <c r="H66" s="135"/>
      <c r="K66" s="180"/>
    </row>
    <row r="67" spans="1:11" ht="14.1" customHeight="1" x14ac:dyDescent="0.25">
      <c r="A67" s="245" t="s">
        <v>72</v>
      </c>
      <c r="B67" s="456">
        <v>21553</v>
      </c>
      <c r="C67" s="456">
        <v>25794</v>
      </c>
      <c r="D67" s="174">
        <f t="shared" si="0"/>
        <v>-4241</v>
      </c>
      <c r="E67" s="174">
        <v>14070</v>
      </c>
      <c r="F67" s="456">
        <v>14224</v>
      </c>
      <c r="G67" s="174">
        <f t="shared" si="1"/>
        <v>-154</v>
      </c>
      <c r="H67" s="135"/>
      <c r="K67" s="180"/>
    </row>
    <row r="68" spans="1:11" ht="14.1" customHeight="1" x14ac:dyDescent="0.25">
      <c r="A68" s="246" t="s">
        <v>73</v>
      </c>
      <c r="B68" s="456">
        <v>14862</v>
      </c>
      <c r="C68" s="456">
        <v>17353</v>
      </c>
      <c r="D68" s="174">
        <f t="shared" si="0"/>
        <v>-2491</v>
      </c>
      <c r="E68" s="174">
        <v>10237</v>
      </c>
      <c r="F68" s="456">
        <v>10548</v>
      </c>
      <c r="G68" s="174">
        <f t="shared" si="1"/>
        <v>-311</v>
      </c>
      <c r="H68" s="135"/>
      <c r="K68" s="180"/>
    </row>
    <row r="69" spans="1:11" ht="14.1" customHeight="1" x14ac:dyDescent="0.25">
      <c r="A69" s="245" t="s">
        <v>74</v>
      </c>
      <c r="B69" s="456">
        <v>8272</v>
      </c>
      <c r="C69" s="456">
        <v>9837</v>
      </c>
      <c r="D69" s="174">
        <f t="shared" si="0"/>
        <v>-1565</v>
      </c>
      <c r="E69" s="174">
        <v>4879</v>
      </c>
      <c r="F69" s="456">
        <v>5071</v>
      </c>
      <c r="G69" s="174">
        <f t="shared" si="1"/>
        <v>-192</v>
      </c>
      <c r="H69" s="135"/>
      <c r="K69" s="180"/>
    </row>
    <row r="70" spans="1:11" ht="14.1" customHeight="1" x14ac:dyDescent="0.25">
      <c r="A70" s="249" t="s">
        <v>75</v>
      </c>
      <c r="B70" s="457">
        <v>87939</v>
      </c>
      <c r="C70" s="457">
        <v>102955</v>
      </c>
      <c r="D70" s="173">
        <f t="shared" ref="D70:D100" si="2">B70-C70</f>
        <v>-15016</v>
      </c>
      <c r="E70" s="173">
        <v>58707</v>
      </c>
      <c r="F70" s="457">
        <v>59017</v>
      </c>
      <c r="G70" s="460">
        <f t="shared" ref="G70:G100" si="3">E70-F70</f>
        <v>-310</v>
      </c>
      <c r="H70" s="135"/>
      <c r="K70" s="180"/>
    </row>
    <row r="71" spans="1:11" ht="14.1" customHeight="1" x14ac:dyDescent="0.25">
      <c r="A71" s="245" t="s">
        <v>76</v>
      </c>
      <c r="B71" s="456">
        <v>5374</v>
      </c>
      <c r="C71" s="456">
        <v>6417</v>
      </c>
      <c r="D71" s="174">
        <f t="shared" si="2"/>
        <v>-1043</v>
      </c>
      <c r="E71" s="174">
        <v>3983</v>
      </c>
      <c r="F71" s="456">
        <v>4127</v>
      </c>
      <c r="G71" s="174">
        <f t="shared" si="3"/>
        <v>-144</v>
      </c>
      <c r="H71" s="135"/>
      <c r="K71" s="180"/>
    </row>
    <row r="72" spans="1:11" ht="14.1" customHeight="1" x14ac:dyDescent="0.25">
      <c r="A72" s="245" t="s">
        <v>77</v>
      </c>
      <c r="B72" s="456">
        <v>31497</v>
      </c>
      <c r="C72" s="456">
        <v>36627</v>
      </c>
      <c r="D72" s="174">
        <f t="shared" si="2"/>
        <v>-5130</v>
      </c>
      <c r="E72" s="174">
        <v>19752</v>
      </c>
      <c r="F72" s="456">
        <v>19612</v>
      </c>
      <c r="G72" s="174">
        <f t="shared" si="3"/>
        <v>140</v>
      </c>
      <c r="H72" s="135"/>
      <c r="K72" s="180"/>
    </row>
    <row r="73" spans="1:11" ht="14.1" customHeight="1" x14ac:dyDescent="0.25">
      <c r="A73" s="245" t="s">
        <v>78</v>
      </c>
      <c r="B73" s="456">
        <v>27497</v>
      </c>
      <c r="C73" s="456">
        <v>32114</v>
      </c>
      <c r="D73" s="174">
        <f t="shared" si="2"/>
        <v>-4617</v>
      </c>
      <c r="E73" s="174">
        <v>18988</v>
      </c>
      <c r="F73" s="456">
        <v>19119</v>
      </c>
      <c r="G73" s="174">
        <f t="shared" si="3"/>
        <v>-131</v>
      </c>
      <c r="H73" s="135"/>
      <c r="K73" s="180"/>
    </row>
    <row r="74" spans="1:11" ht="14.1" customHeight="1" x14ac:dyDescent="0.25">
      <c r="A74" s="245" t="s">
        <v>79</v>
      </c>
      <c r="B74" s="456">
        <v>12781</v>
      </c>
      <c r="C74" s="456">
        <v>15015</v>
      </c>
      <c r="D74" s="174">
        <f t="shared" si="2"/>
        <v>-2234</v>
      </c>
      <c r="E74" s="174">
        <v>9170</v>
      </c>
      <c r="F74" s="456">
        <v>9206</v>
      </c>
      <c r="G74" s="174">
        <f t="shared" si="3"/>
        <v>-36</v>
      </c>
      <c r="H74" s="135"/>
      <c r="K74" s="180"/>
    </row>
    <row r="75" spans="1:11" ht="14.1" customHeight="1" x14ac:dyDescent="0.25">
      <c r="A75" s="245" t="s">
        <v>80</v>
      </c>
      <c r="B75" s="456">
        <v>4138</v>
      </c>
      <c r="C75" s="456">
        <v>4764</v>
      </c>
      <c r="D75" s="174">
        <f t="shared" si="2"/>
        <v>-626</v>
      </c>
      <c r="E75" s="174">
        <v>3034</v>
      </c>
      <c r="F75" s="456">
        <v>3083</v>
      </c>
      <c r="G75" s="174">
        <f t="shared" si="3"/>
        <v>-49</v>
      </c>
      <c r="H75" s="135"/>
      <c r="K75" s="180"/>
    </row>
    <row r="76" spans="1:11" ht="14.1" customHeight="1" x14ac:dyDescent="0.25">
      <c r="A76" s="248" t="s">
        <v>319</v>
      </c>
      <c r="B76" s="456">
        <v>10578</v>
      </c>
      <c r="C76" s="456">
        <v>12335</v>
      </c>
      <c r="D76" s="174">
        <f t="shared" si="2"/>
        <v>-1757</v>
      </c>
      <c r="E76" s="174">
        <v>6784</v>
      </c>
      <c r="F76" s="456">
        <v>6830</v>
      </c>
      <c r="G76" s="174">
        <f t="shared" si="3"/>
        <v>-46</v>
      </c>
      <c r="H76" s="135"/>
      <c r="K76" s="180"/>
    </row>
    <row r="77" spans="1:11" ht="14.1" customHeight="1" x14ac:dyDescent="0.25">
      <c r="A77" s="245" t="s">
        <v>81</v>
      </c>
      <c r="B77" s="456">
        <v>23571</v>
      </c>
      <c r="C77" s="456">
        <v>27797</v>
      </c>
      <c r="D77" s="174">
        <f t="shared" si="2"/>
        <v>-4226</v>
      </c>
      <c r="E77" s="174">
        <v>15984</v>
      </c>
      <c r="F77" s="456">
        <v>16159</v>
      </c>
      <c r="G77" s="174">
        <f t="shared" si="3"/>
        <v>-175</v>
      </c>
      <c r="H77" s="135"/>
      <c r="K77" s="180"/>
    </row>
    <row r="78" spans="1:11" ht="14.1" customHeight="1" x14ac:dyDescent="0.25">
      <c r="A78" s="244" t="s">
        <v>82</v>
      </c>
      <c r="B78" s="457">
        <v>131320</v>
      </c>
      <c r="C78" s="457">
        <v>152159</v>
      </c>
      <c r="D78" s="173">
        <f t="shared" si="2"/>
        <v>-20839</v>
      </c>
      <c r="E78" s="173">
        <v>86811</v>
      </c>
      <c r="F78" s="457">
        <v>87662</v>
      </c>
      <c r="G78" s="460">
        <f t="shared" si="3"/>
        <v>-851</v>
      </c>
      <c r="H78" s="135"/>
      <c r="K78" s="180"/>
    </row>
    <row r="79" spans="1:11" ht="14.1" customHeight="1" x14ac:dyDescent="0.25">
      <c r="A79" s="245" t="s">
        <v>83</v>
      </c>
      <c r="B79" s="456">
        <v>1419</v>
      </c>
      <c r="C79" s="456">
        <v>1587</v>
      </c>
      <c r="D79" s="174">
        <f t="shared" si="2"/>
        <v>-168</v>
      </c>
      <c r="E79" s="174">
        <v>934</v>
      </c>
      <c r="F79" s="456">
        <v>883</v>
      </c>
      <c r="G79" s="174">
        <f t="shared" si="3"/>
        <v>51</v>
      </c>
      <c r="H79" s="135"/>
      <c r="K79" s="180"/>
    </row>
    <row r="80" spans="1:11" ht="14.1" customHeight="1" x14ac:dyDescent="0.25">
      <c r="A80" s="245" t="s">
        <v>84</v>
      </c>
      <c r="B80" s="456">
        <v>5649</v>
      </c>
      <c r="C80" s="456">
        <v>7090</v>
      </c>
      <c r="D80" s="174">
        <f t="shared" si="2"/>
        <v>-1441</v>
      </c>
      <c r="E80" s="174">
        <v>3575</v>
      </c>
      <c r="F80" s="456">
        <v>3600</v>
      </c>
      <c r="G80" s="174">
        <f t="shared" si="3"/>
        <v>-25</v>
      </c>
      <c r="H80" s="135"/>
      <c r="K80" s="180"/>
    </row>
    <row r="81" spans="1:11" ht="14.1" customHeight="1" x14ac:dyDescent="0.25">
      <c r="A81" s="245" t="s">
        <v>85</v>
      </c>
      <c r="B81" s="456">
        <v>1756</v>
      </c>
      <c r="C81" s="456">
        <v>1754</v>
      </c>
      <c r="D81" s="174">
        <f t="shared" si="2"/>
        <v>2</v>
      </c>
      <c r="E81" s="174">
        <v>509</v>
      </c>
      <c r="F81" s="456">
        <v>536</v>
      </c>
      <c r="G81" s="174">
        <f t="shared" si="3"/>
        <v>-27</v>
      </c>
      <c r="H81" s="135"/>
      <c r="K81" s="180"/>
    </row>
    <row r="82" spans="1:11" ht="14.1" customHeight="1" x14ac:dyDescent="0.25">
      <c r="A82" s="245" t="s">
        <v>86</v>
      </c>
      <c r="B82" s="456">
        <v>3527</v>
      </c>
      <c r="C82" s="456">
        <v>4499</v>
      </c>
      <c r="D82" s="174">
        <f t="shared" si="2"/>
        <v>-972</v>
      </c>
      <c r="E82" s="174">
        <v>2484</v>
      </c>
      <c r="F82" s="456">
        <v>2475</v>
      </c>
      <c r="G82" s="174">
        <f t="shared" si="3"/>
        <v>9</v>
      </c>
      <c r="H82" s="135"/>
      <c r="K82" s="180"/>
    </row>
    <row r="83" spans="1:11" ht="14.1" customHeight="1" x14ac:dyDescent="0.25">
      <c r="A83" s="245" t="s">
        <v>87</v>
      </c>
      <c r="B83" s="456">
        <v>14456</v>
      </c>
      <c r="C83" s="456">
        <v>16209</v>
      </c>
      <c r="D83" s="174">
        <f t="shared" si="2"/>
        <v>-1753</v>
      </c>
      <c r="E83" s="174">
        <v>10369</v>
      </c>
      <c r="F83" s="456">
        <v>10662</v>
      </c>
      <c r="G83" s="174">
        <f t="shared" si="3"/>
        <v>-293</v>
      </c>
      <c r="H83" s="135"/>
      <c r="K83" s="180"/>
    </row>
    <row r="84" spans="1:11" ht="14.1" customHeight="1" x14ac:dyDescent="0.25">
      <c r="A84" s="245" t="s">
        <v>88</v>
      </c>
      <c r="B84" s="456">
        <v>7218</v>
      </c>
      <c r="C84" s="456">
        <v>8653</v>
      </c>
      <c r="D84" s="174">
        <f t="shared" si="2"/>
        <v>-1435</v>
      </c>
      <c r="E84" s="174">
        <v>4871</v>
      </c>
      <c r="F84" s="456">
        <v>4756</v>
      </c>
      <c r="G84" s="174">
        <f t="shared" si="3"/>
        <v>115</v>
      </c>
      <c r="H84" s="135"/>
      <c r="K84" s="180"/>
    </row>
    <row r="85" spans="1:11" ht="14.1" customHeight="1" x14ac:dyDescent="0.25">
      <c r="A85" s="245" t="s">
        <v>89</v>
      </c>
      <c r="B85" s="456">
        <v>20856</v>
      </c>
      <c r="C85" s="456">
        <v>24815</v>
      </c>
      <c r="D85" s="174">
        <f t="shared" si="2"/>
        <v>-3959</v>
      </c>
      <c r="E85" s="174">
        <v>13890</v>
      </c>
      <c r="F85" s="456">
        <v>13863</v>
      </c>
      <c r="G85" s="174">
        <f t="shared" si="3"/>
        <v>27</v>
      </c>
      <c r="H85" s="135"/>
      <c r="K85" s="180"/>
    </row>
    <row r="86" spans="1:11" ht="14.1" customHeight="1" x14ac:dyDescent="0.25">
      <c r="A86" s="245" t="s">
        <v>90</v>
      </c>
      <c r="B86" s="456">
        <v>17620</v>
      </c>
      <c r="C86" s="456">
        <v>21364</v>
      </c>
      <c r="D86" s="174">
        <f t="shared" si="2"/>
        <v>-3744</v>
      </c>
      <c r="E86" s="174">
        <v>11653</v>
      </c>
      <c r="F86" s="456">
        <v>11862</v>
      </c>
      <c r="G86" s="174">
        <f t="shared" si="3"/>
        <v>-209</v>
      </c>
      <c r="H86" s="135"/>
      <c r="K86" s="180"/>
    </row>
    <row r="87" spans="1:11" ht="14.1" customHeight="1" x14ac:dyDescent="0.25">
      <c r="A87" s="245" t="s">
        <v>91</v>
      </c>
      <c r="B87" s="456">
        <v>16909</v>
      </c>
      <c r="C87" s="456">
        <v>18960</v>
      </c>
      <c r="D87" s="174">
        <f t="shared" si="2"/>
        <v>-2051</v>
      </c>
      <c r="E87" s="174">
        <v>12141</v>
      </c>
      <c r="F87" s="456">
        <v>12185</v>
      </c>
      <c r="G87" s="174">
        <f t="shared" si="3"/>
        <v>-44</v>
      </c>
      <c r="H87" s="135"/>
      <c r="K87" s="180"/>
    </row>
    <row r="88" spans="1:11" ht="14.1" customHeight="1" x14ac:dyDescent="0.25">
      <c r="A88" s="245" t="s">
        <v>92</v>
      </c>
      <c r="B88" s="456">
        <v>20863</v>
      </c>
      <c r="C88" s="456">
        <v>23005</v>
      </c>
      <c r="D88" s="174">
        <f t="shared" si="2"/>
        <v>-2142</v>
      </c>
      <c r="E88" s="174">
        <v>13034</v>
      </c>
      <c r="F88" s="456">
        <v>13237</v>
      </c>
      <c r="G88" s="174">
        <f t="shared" si="3"/>
        <v>-203</v>
      </c>
      <c r="H88" s="135"/>
      <c r="K88" s="180"/>
    </row>
    <row r="89" spans="1:11" ht="14.1" customHeight="1" x14ac:dyDescent="0.25">
      <c r="A89" s="245" t="s">
        <v>93</v>
      </c>
      <c r="B89" s="456">
        <v>13370</v>
      </c>
      <c r="C89" s="456">
        <v>15592</v>
      </c>
      <c r="D89" s="174">
        <f t="shared" si="2"/>
        <v>-2222</v>
      </c>
      <c r="E89" s="174">
        <v>8649</v>
      </c>
      <c r="F89" s="456">
        <v>8684</v>
      </c>
      <c r="G89" s="174">
        <f t="shared" si="3"/>
        <v>-35</v>
      </c>
      <c r="H89" s="135"/>
      <c r="K89" s="180"/>
    </row>
    <row r="90" spans="1:11" ht="14.1" customHeight="1" x14ac:dyDescent="0.25">
      <c r="A90" s="245" t="s">
        <v>94</v>
      </c>
      <c r="B90" s="456">
        <v>7677</v>
      </c>
      <c r="C90" s="456">
        <v>8631</v>
      </c>
      <c r="D90" s="174">
        <f t="shared" si="2"/>
        <v>-954</v>
      </c>
      <c r="E90" s="174">
        <v>4702</v>
      </c>
      <c r="F90" s="456">
        <v>4919</v>
      </c>
      <c r="G90" s="174">
        <f t="shared" si="3"/>
        <v>-217</v>
      </c>
      <c r="H90" s="135"/>
      <c r="K90" s="180"/>
    </row>
    <row r="91" spans="1:11" ht="14.1" customHeight="1" x14ac:dyDescent="0.25">
      <c r="A91" s="249" t="s">
        <v>95</v>
      </c>
      <c r="B91" s="457">
        <v>46972</v>
      </c>
      <c r="C91" s="457">
        <v>53123</v>
      </c>
      <c r="D91" s="173">
        <f t="shared" si="2"/>
        <v>-6151</v>
      </c>
      <c r="E91" s="173">
        <v>31102</v>
      </c>
      <c r="F91" s="457">
        <v>31708</v>
      </c>
      <c r="G91" s="460">
        <f t="shared" si="3"/>
        <v>-606</v>
      </c>
      <c r="H91" s="135"/>
      <c r="K91" s="180"/>
    </row>
    <row r="92" spans="1:11" ht="14.1" customHeight="1" x14ac:dyDescent="0.25">
      <c r="A92" s="245" t="s">
        <v>96</v>
      </c>
      <c r="B92" s="456">
        <v>6296</v>
      </c>
      <c r="C92" s="456">
        <v>7668</v>
      </c>
      <c r="D92" s="174">
        <f t="shared" si="2"/>
        <v>-1372</v>
      </c>
      <c r="E92" s="174">
        <v>4159</v>
      </c>
      <c r="F92" s="456">
        <v>4087</v>
      </c>
      <c r="G92" s="174">
        <f t="shared" si="3"/>
        <v>72</v>
      </c>
      <c r="H92" s="135"/>
      <c r="K92" s="180"/>
    </row>
    <row r="93" spans="1:11" ht="14.1" customHeight="1" x14ac:dyDescent="0.25">
      <c r="A93" s="245" t="s">
        <v>97</v>
      </c>
      <c r="B93" s="456">
        <v>2704</v>
      </c>
      <c r="C93" s="456">
        <v>2982</v>
      </c>
      <c r="D93" s="174">
        <f t="shared" si="2"/>
        <v>-278</v>
      </c>
      <c r="E93" s="174">
        <v>1931</v>
      </c>
      <c r="F93" s="456">
        <v>1812</v>
      </c>
      <c r="G93" s="174">
        <f t="shared" si="3"/>
        <v>119</v>
      </c>
      <c r="H93" s="135"/>
      <c r="K93" s="180"/>
    </row>
    <row r="94" spans="1:11" ht="14.1" customHeight="1" x14ac:dyDescent="0.25">
      <c r="A94" s="245" t="s">
        <v>98</v>
      </c>
      <c r="B94" s="456">
        <v>15159</v>
      </c>
      <c r="C94" s="456">
        <v>17114</v>
      </c>
      <c r="D94" s="174">
        <f t="shared" si="2"/>
        <v>-1955</v>
      </c>
      <c r="E94" s="174">
        <v>9254</v>
      </c>
      <c r="F94" s="456">
        <v>9607</v>
      </c>
      <c r="G94" s="174">
        <f t="shared" si="3"/>
        <v>-353</v>
      </c>
      <c r="H94" s="135"/>
      <c r="K94" s="180"/>
    </row>
    <row r="95" spans="1:11" ht="14.1" customHeight="1" x14ac:dyDescent="0.25">
      <c r="A95" s="245" t="s">
        <v>99</v>
      </c>
      <c r="B95" s="456">
        <v>10288</v>
      </c>
      <c r="C95" s="456">
        <v>11660</v>
      </c>
      <c r="D95" s="174">
        <f t="shared" si="2"/>
        <v>-1372</v>
      </c>
      <c r="E95" s="174">
        <v>6914</v>
      </c>
      <c r="F95" s="456">
        <v>7160</v>
      </c>
      <c r="G95" s="174">
        <f t="shared" si="3"/>
        <v>-246</v>
      </c>
      <c r="H95" s="135"/>
      <c r="K95" s="180"/>
    </row>
    <row r="96" spans="1:11" ht="14.1" customHeight="1" x14ac:dyDescent="0.25">
      <c r="A96" s="245" t="s">
        <v>100</v>
      </c>
      <c r="B96" s="456">
        <v>5802</v>
      </c>
      <c r="C96" s="456">
        <v>6371</v>
      </c>
      <c r="D96" s="174">
        <f t="shared" si="2"/>
        <v>-569</v>
      </c>
      <c r="E96" s="174">
        <v>4088</v>
      </c>
      <c r="F96" s="456">
        <v>4151</v>
      </c>
      <c r="G96" s="174">
        <f t="shared" si="3"/>
        <v>-63</v>
      </c>
      <c r="H96" s="135"/>
      <c r="K96" s="180"/>
    </row>
    <row r="97" spans="1:11" ht="14.1" customHeight="1" x14ac:dyDescent="0.25">
      <c r="A97" s="245" t="s">
        <v>101</v>
      </c>
      <c r="B97" s="456">
        <v>1082</v>
      </c>
      <c r="C97" s="456">
        <v>1245</v>
      </c>
      <c r="D97" s="174">
        <f t="shared" si="2"/>
        <v>-163</v>
      </c>
      <c r="E97" s="174">
        <v>928</v>
      </c>
      <c r="F97" s="456">
        <v>911</v>
      </c>
      <c r="G97" s="174">
        <f t="shared" si="3"/>
        <v>17</v>
      </c>
      <c r="H97" s="135"/>
      <c r="K97" s="180"/>
    </row>
    <row r="98" spans="1:11" ht="14.1" customHeight="1" x14ac:dyDescent="0.25">
      <c r="A98" s="245" t="s">
        <v>102</v>
      </c>
      <c r="B98" s="456">
        <v>4059</v>
      </c>
      <c r="C98" s="456">
        <v>4335</v>
      </c>
      <c r="D98" s="174">
        <f t="shared" si="2"/>
        <v>-276</v>
      </c>
      <c r="E98" s="174">
        <v>2794</v>
      </c>
      <c r="F98" s="456">
        <v>2885</v>
      </c>
      <c r="G98" s="174">
        <f t="shared" si="3"/>
        <v>-91</v>
      </c>
      <c r="H98" s="135"/>
      <c r="K98" s="180"/>
    </row>
    <row r="99" spans="1:11" ht="14.1" customHeight="1" x14ac:dyDescent="0.25">
      <c r="A99" s="245" t="s">
        <v>103</v>
      </c>
      <c r="B99" s="456">
        <v>1226</v>
      </c>
      <c r="C99" s="456">
        <v>1330</v>
      </c>
      <c r="D99" s="174">
        <f t="shared" si="2"/>
        <v>-104</v>
      </c>
      <c r="E99" s="174">
        <v>773</v>
      </c>
      <c r="F99" s="456">
        <v>812</v>
      </c>
      <c r="G99" s="174">
        <f t="shared" si="3"/>
        <v>-39</v>
      </c>
      <c r="H99" s="135"/>
      <c r="K99" s="180"/>
    </row>
    <row r="100" spans="1:11" ht="14.1" customHeight="1" x14ac:dyDescent="0.25">
      <c r="A100" s="320" t="s">
        <v>104</v>
      </c>
      <c r="B100" s="459">
        <v>356</v>
      </c>
      <c r="C100" s="459">
        <v>418</v>
      </c>
      <c r="D100" s="353">
        <f t="shared" si="2"/>
        <v>-62</v>
      </c>
      <c r="E100" s="353">
        <v>261</v>
      </c>
      <c r="F100" s="459">
        <v>283</v>
      </c>
      <c r="G100" s="353">
        <f t="shared" si="3"/>
        <v>-22</v>
      </c>
      <c r="K100" s="180"/>
    </row>
    <row r="103" spans="1:11" x14ac:dyDescent="0.25">
      <c r="D103" s="158"/>
      <c r="F103" s="136"/>
      <c r="J103" s="135"/>
      <c r="K103" s="180"/>
    </row>
    <row r="104" spans="1:11" x14ac:dyDescent="0.25">
      <c r="F104" s="136"/>
    </row>
    <row r="105" spans="1:11" x14ac:dyDescent="0.25">
      <c r="F105" s="136"/>
    </row>
    <row r="106" spans="1:11" x14ac:dyDescent="0.25">
      <c r="F106" s="136"/>
    </row>
    <row r="107" spans="1:11" x14ac:dyDescent="0.25">
      <c r="F107" s="136"/>
    </row>
    <row r="108" spans="1:11" x14ac:dyDescent="0.25">
      <c r="F108" s="136"/>
    </row>
    <row r="109" spans="1:11" x14ac:dyDescent="0.25">
      <c r="F109" s="136"/>
    </row>
    <row r="110" spans="1:11" x14ac:dyDescent="0.25">
      <c r="F110" s="136"/>
    </row>
    <row r="111" spans="1:11" x14ac:dyDescent="0.25">
      <c r="F111" s="136"/>
    </row>
    <row r="112" spans="1:11" x14ac:dyDescent="0.25">
      <c r="F112" s="136"/>
    </row>
    <row r="113" spans="6:6" x14ac:dyDescent="0.25">
      <c r="F113" s="136"/>
    </row>
    <row r="114" spans="6:6" x14ac:dyDescent="0.25">
      <c r="F114" s="136"/>
    </row>
    <row r="115" spans="6:6" x14ac:dyDescent="0.25">
      <c r="F115" s="136"/>
    </row>
    <row r="116" spans="6:6" x14ac:dyDescent="0.25">
      <c r="F116" s="136"/>
    </row>
    <row r="117" spans="6:6" x14ac:dyDescent="0.25">
      <c r="F117" s="136"/>
    </row>
    <row r="118" spans="6:6" x14ac:dyDescent="0.25">
      <c r="F118" s="136"/>
    </row>
    <row r="119" spans="6:6" x14ac:dyDescent="0.25">
      <c r="F119" s="136"/>
    </row>
    <row r="120" spans="6:6" x14ac:dyDescent="0.25">
      <c r="F120" s="136"/>
    </row>
    <row r="121" spans="6:6" x14ac:dyDescent="0.25">
      <c r="F121" s="136"/>
    </row>
    <row r="122" spans="6:6" x14ac:dyDescent="0.25">
      <c r="F122" s="136"/>
    </row>
  </sheetData>
  <mergeCells count="6">
    <mergeCell ref="A1:G1"/>
    <mergeCell ref="A3:A4"/>
    <mergeCell ref="B3:C3"/>
    <mergeCell ref="D3:D4"/>
    <mergeCell ref="E3:F3"/>
    <mergeCell ref="G3:G4"/>
  </mergeCells>
  <phoneticPr fontId="49" type="noConversion"/>
  <printOptions horizontalCentered="1"/>
  <pageMargins left="0.70866141732283472" right="0.70866141732283472" top="0.70866141732283472" bottom="0.19685039370078741" header="0.31496062992125984" footer="0.31496062992125984"/>
  <pageSetup paperSize="9" firstPageNumber="51" orientation="landscape" useFirstPageNumber="1" r:id="rId1"/>
  <headerFooter>
    <oddHeader>&amp;C&amp;"Arial,обычный"&amp;10&amp;P</oddHeader>
  </headerFooter>
  <rowBreaks count="2" manualBreakCount="2">
    <brk id="37" max="16383" man="1"/>
    <brk id="69" max="16383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M108"/>
  <sheetViews>
    <sheetView zoomScaleNormal="100" workbookViewId="0">
      <selection activeCell="J16" sqref="J16"/>
    </sheetView>
  </sheetViews>
  <sheetFormatPr defaultRowHeight="15" x14ac:dyDescent="0.25"/>
  <cols>
    <col min="1" max="1" width="44.28515625" customWidth="1"/>
    <col min="2" max="7" width="13.42578125" customWidth="1"/>
  </cols>
  <sheetData>
    <row r="1" spans="1:13" x14ac:dyDescent="0.25">
      <c r="A1" s="575" t="s">
        <v>316</v>
      </c>
      <c r="B1" s="534"/>
      <c r="C1" s="534"/>
      <c r="D1" s="534"/>
      <c r="E1" s="534"/>
      <c r="F1" s="534"/>
      <c r="G1" s="534"/>
    </row>
    <row r="2" spans="1:13" ht="12.95" customHeight="1" x14ac:dyDescent="0.25">
      <c r="A2" s="134"/>
      <c r="B2" s="134"/>
      <c r="C2" s="134"/>
      <c r="D2" s="134"/>
      <c r="E2" s="134"/>
      <c r="F2" s="134"/>
      <c r="G2" s="134"/>
    </row>
    <row r="3" spans="1:13" ht="14.1" customHeight="1" x14ac:dyDescent="0.25">
      <c r="A3" s="576"/>
      <c r="B3" s="581" t="s">
        <v>313</v>
      </c>
      <c r="C3" s="582"/>
      <c r="D3" s="582" t="s">
        <v>314</v>
      </c>
      <c r="E3" s="582"/>
      <c r="F3" s="583" t="s">
        <v>315</v>
      </c>
      <c r="G3" s="584"/>
    </row>
    <row r="4" spans="1:13" ht="12" customHeight="1" x14ac:dyDescent="0.25">
      <c r="A4" s="576"/>
      <c r="B4" s="581"/>
      <c r="C4" s="582"/>
      <c r="D4" s="582"/>
      <c r="E4" s="582"/>
      <c r="F4" s="585"/>
      <c r="G4" s="586"/>
    </row>
    <row r="5" spans="1:13" x14ac:dyDescent="0.25">
      <c r="A5" s="576"/>
      <c r="B5" s="312" t="s">
        <v>234</v>
      </c>
      <c r="C5" s="310" t="s">
        <v>230</v>
      </c>
      <c r="D5" s="310" t="s">
        <v>234</v>
      </c>
      <c r="E5" s="310" t="s">
        <v>230</v>
      </c>
      <c r="F5" s="310" t="s">
        <v>234</v>
      </c>
      <c r="G5" s="295" t="s">
        <v>230</v>
      </c>
      <c r="H5" s="37"/>
    </row>
    <row r="6" spans="1:13" ht="14.1" customHeight="1" x14ac:dyDescent="0.25">
      <c r="A6" s="276" t="s">
        <v>13</v>
      </c>
      <c r="B6" s="147">
        <v>6.7</v>
      </c>
      <c r="C6" s="147">
        <v>7.9</v>
      </c>
      <c r="D6" s="147">
        <v>4.0999999999999996</v>
      </c>
      <c r="E6" s="147">
        <v>4.2</v>
      </c>
      <c r="F6" s="138">
        <f>ROUND(ТАБ_20!E5/ТАБ_20!B5*1000,0)</f>
        <v>617</v>
      </c>
      <c r="G6" s="138">
        <f>ROUND(ТАБ_20!F5/ТАБ_20!C5*1000,0)</f>
        <v>527</v>
      </c>
      <c r="J6" s="190"/>
      <c r="K6" s="139"/>
    </row>
    <row r="7" spans="1:13" ht="14.1" customHeight="1" x14ac:dyDescent="0.25">
      <c r="A7" s="244" t="s">
        <v>14</v>
      </c>
      <c r="B7" s="147">
        <v>6.7</v>
      </c>
      <c r="C7" s="147">
        <v>8</v>
      </c>
      <c r="D7" s="147">
        <v>4.0999999999999996</v>
      </c>
      <c r="E7" s="147">
        <v>4.0999999999999996</v>
      </c>
      <c r="F7" s="138">
        <f>ROUND(ТАБ_20!E6/ТАБ_20!B6*1000,0)</f>
        <v>606</v>
      </c>
      <c r="G7" s="138">
        <f>ROUND(ТАБ_20!F6/ТАБ_20!C6*1000,0)</f>
        <v>516</v>
      </c>
      <c r="J7" s="190"/>
      <c r="K7" s="139"/>
    </row>
    <row r="8" spans="1:13" ht="14.1" customHeight="1" x14ac:dyDescent="0.25">
      <c r="A8" s="245" t="s">
        <v>15</v>
      </c>
      <c r="B8" s="148">
        <v>6.1</v>
      </c>
      <c r="C8" s="148">
        <v>8.3000000000000007</v>
      </c>
      <c r="D8" s="148">
        <v>4.4000000000000004</v>
      </c>
      <c r="E8" s="148">
        <v>4.4000000000000004</v>
      </c>
      <c r="F8" s="140">
        <f>ROUND(ТАБ_20!E7/ТАБ_20!B7*1000,0)</f>
        <v>713</v>
      </c>
      <c r="G8" s="140">
        <f>ROUND(ТАБ_20!F7/ТАБ_20!C7*1000,0)</f>
        <v>527</v>
      </c>
      <c r="J8" s="197"/>
      <c r="K8" s="139"/>
    </row>
    <row r="9" spans="1:13" ht="14.1" customHeight="1" x14ac:dyDescent="0.25">
      <c r="A9" s="245" t="s">
        <v>16</v>
      </c>
      <c r="B9" s="148">
        <v>6.2</v>
      </c>
      <c r="C9" s="148">
        <v>7.9</v>
      </c>
      <c r="D9" s="148">
        <v>4.7</v>
      </c>
      <c r="E9" s="148">
        <v>4.8</v>
      </c>
      <c r="F9" s="140">
        <f>ROUND(ТАБ_20!E8/ТАБ_20!B8*1000,0)</f>
        <v>763</v>
      </c>
      <c r="G9" s="140">
        <f>ROUND(ТАБ_20!F8/ТАБ_20!C8*1000,0)</f>
        <v>604</v>
      </c>
      <c r="J9" s="197"/>
      <c r="K9" s="139"/>
    </row>
    <row r="10" spans="1:13" ht="14.1" customHeight="1" x14ac:dyDescent="0.25">
      <c r="A10" s="245" t="s">
        <v>17</v>
      </c>
      <c r="B10" s="148">
        <v>6.4</v>
      </c>
      <c r="C10" s="148">
        <v>7.6</v>
      </c>
      <c r="D10" s="148">
        <v>4</v>
      </c>
      <c r="E10" s="148">
        <v>4.2</v>
      </c>
      <c r="F10" s="140">
        <f>ROUND(ТАБ_20!E9/ТАБ_20!B9*1000,0)</f>
        <v>626</v>
      </c>
      <c r="G10" s="140">
        <f>ROUND(ТАБ_20!F9/ТАБ_20!C9*1000,0)</f>
        <v>547</v>
      </c>
      <c r="J10" s="197"/>
      <c r="K10" s="139"/>
    </row>
    <row r="11" spans="1:13" ht="14.1" customHeight="1" x14ac:dyDescent="0.25">
      <c r="A11" s="245" t="s">
        <v>18</v>
      </c>
      <c r="B11" s="148">
        <v>6.2</v>
      </c>
      <c r="C11" s="148">
        <v>7.8</v>
      </c>
      <c r="D11" s="148">
        <v>4.0999999999999996</v>
      </c>
      <c r="E11" s="148">
        <v>4.0999999999999996</v>
      </c>
      <c r="F11" s="140">
        <f>ROUND(ТАБ_20!E10/ТАБ_20!B10*1000,0)</f>
        <v>663</v>
      </c>
      <c r="G11" s="140">
        <f>ROUND(ТАБ_20!F10/ТАБ_20!C10*1000,0)</f>
        <v>532</v>
      </c>
      <c r="J11" s="197"/>
      <c r="K11" s="139"/>
    </row>
    <row r="12" spans="1:13" ht="14.1" customHeight="1" x14ac:dyDescent="0.25">
      <c r="A12" s="245" t="s">
        <v>19</v>
      </c>
      <c r="B12" s="148">
        <v>6.4</v>
      </c>
      <c r="C12" s="148">
        <v>7.4</v>
      </c>
      <c r="D12" s="148">
        <v>4.0999999999999996</v>
      </c>
      <c r="E12" s="148">
        <v>4.0999999999999996</v>
      </c>
      <c r="F12" s="140">
        <f>ROUND(ТАБ_20!E11/ТАБ_20!B11*1000,0)</f>
        <v>644</v>
      </c>
      <c r="G12" s="140">
        <f>ROUND(ТАБ_20!F11/ТАБ_20!C11*1000,0)</f>
        <v>558</v>
      </c>
      <c r="J12" s="197"/>
      <c r="K12" s="139"/>
    </row>
    <row r="13" spans="1:13" ht="14.1" customHeight="1" x14ac:dyDescent="0.25">
      <c r="A13" s="245" t="s">
        <v>20</v>
      </c>
      <c r="B13" s="148">
        <v>6.9</v>
      </c>
      <c r="C13" s="148">
        <v>8.1999999999999993</v>
      </c>
      <c r="D13" s="148">
        <v>4.5</v>
      </c>
      <c r="E13" s="148">
        <v>4.4000000000000004</v>
      </c>
      <c r="F13" s="140">
        <f>ROUND(ТАБ_20!E12/ТАБ_20!B12*1000,0)</f>
        <v>651</v>
      </c>
      <c r="G13" s="140">
        <f>ROUND(ТАБ_20!F12/ТАБ_20!C12*1000,0)</f>
        <v>540</v>
      </c>
      <c r="J13" s="197"/>
      <c r="K13" s="139"/>
    </row>
    <row r="14" spans="1:13" ht="14.1" customHeight="1" x14ac:dyDescent="0.25">
      <c r="A14" s="246" t="s">
        <v>21</v>
      </c>
      <c r="B14" s="148">
        <v>6.4</v>
      </c>
      <c r="C14" s="148">
        <v>7.8</v>
      </c>
      <c r="D14" s="148">
        <v>4.2</v>
      </c>
      <c r="E14" s="148">
        <v>4.3</v>
      </c>
      <c r="F14" s="140">
        <f>ROUND(ТАБ_20!E13/ТАБ_20!B13*1000,0)</f>
        <v>661</v>
      </c>
      <c r="G14" s="140">
        <f>ROUND(ТАБ_20!F13/ТАБ_20!C13*1000,0)</f>
        <v>554</v>
      </c>
      <c r="J14" s="197"/>
      <c r="K14" s="139"/>
    </row>
    <row r="15" spans="1:13" ht="14.1" customHeight="1" x14ac:dyDescent="0.25">
      <c r="A15" s="245" t="s">
        <v>22</v>
      </c>
      <c r="B15" s="148">
        <v>6.1</v>
      </c>
      <c r="C15" s="148">
        <v>8</v>
      </c>
      <c r="D15" s="148">
        <v>4.4000000000000004</v>
      </c>
      <c r="E15" s="148">
        <v>4.5</v>
      </c>
      <c r="F15" s="140">
        <f>ROUND(ТАБ_20!E14/ТАБ_20!B14*1000,0)</f>
        <v>718</v>
      </c>
      <c r="G15" s="140">
        <f>ROUND(ТАБ_20!F14/ТАБ_20!C14*1000,0)</f>
        <v>559</v>
      </c>
      <c r="J15" s="197"/>
      <c r="K15" s="139"/>
    </row>
    <row r="16" spans="1:13" ht="14.1" customHeight="1" x14ac:dyDescent="0.25">
      <c r="A16" s="245" t="s">
        <v>23</v>
      </c>
      <c r="B16" s="148">
        <v>6.2</v>
      </c>
      <c r="C16" s="148">
        <v>7.5</v>
      </c>
      <c r="D16" s="148">
        <v>4.2</v>
      </c>
      <c r="E16" s="148">
        <v>4.3</v>
      </c>
      <c r="F16" s="140">
        <f>ROUND(ТАБ_20!E15/ТАБ_20!B15*1000,0)</f>
        <v>678</v>
      </c>
      <c r="G16" s="140">
        <f>ROUND(ТАБ_20!F15/ТАБ_20!C15*1000,0)</f>
        <v>565</v>
      </c>
      <c r="J16" s="197"/>
      <c r="K16" s="139"/>
      <c r="L16" s="146"/>
      <c r="M16" s="146"/>
    </row>
    <row r="17" spans="1:11" ht="14.1" customHeight="1" x14ac:dyDescent="0.25">
      <c r="A17" s="245" t="s">
        <v>24</v>
      </c>
      <c r="B17" s="148">
        <v>7.5</v>
      </c>
      <c r="C17" s="148">
        <v>8.6999999999999993</v>
      </c>
      <c r="D17" s="148">
        <v>4.5999999999999996</v>
      </c>
      <c r="E17" s="148">
        <v>4.5999999999999996</v>
      </c>
      <c r="F17" s="140">
        <f>ROUND(ТАБ_20!E16/ТАБ_20!B16*1000,0)</f>
        <v>616</v>
      </c>
      <c r="G17" s="140">
        <f>ROUND(ТАБ_20!F16/ТАБ_20!C16*1000,0)</f>
        <v>531</v>
      </c>
      <c r="J17" s="197"/>
      <c r="K17" s="139"/>
    </row>
    <row r="18" spans="1:11" ht="14.1" customHeight="1" x14ac:dyDescent="0.25">
      <c r="A18" s="245" t="s">
        <v>25</v>
      </c>
      <c r="B18" s="148">
        <v>6</v>
      </c>
      <c r="C18" s="148">
        <v>7.5</v>
      </c>
      <c r="D18" s="148">
        <v>4.3</v>
      </c>
      <c r="E18" s="148">
        <v>4.5</v>
      </c>
      <c r="F18" s="140">
        <f>ROUND(ТАБ_20!E17/ТАБ_20!B17*1000,0)</f>
        <v>711</v>
      </c>
      <c r="G18" s="140">
        <f>ROUND(ТАБ_20!F17/ТАБ_20!C17*1000,0)</f>
        <v>597</v>
      </c>
      <c r="J18" s="197"/>
      <c r="K18" s="139"/>
    </row>
    <row r="19" spans="1:11" ht="14.1" customHeight="1" x14ac:dyDescent="0.25">
      <c r="A19" s="246" t="s">
        <v>26</v>
      </c>
      <c r="B19" s="148">
        <v>6.4</v>
      </c>
      <c r="C19" s="148">
        <v>7.7</v>
      </c>
      <c r="D19" s="148">
        <v>4.3</v>
      </c>
      <c r="E19" s="148">
        <v>4.4000000000000004</v>
      </c>
      <c r="F19" s="140">
        <f>ROUND(ТАБ_20!E18/ТАБ_20!B18*1000,0)</f>
        <v>669</v>
      </c>
      <c r="G19" s="140">
        <f>ROUND(ТАБ_20!F18/ТАБ_20!C18*1000,0)</f>
        <v>571</v>
      </c>
      <c r="J19" s="197"/>
      <c r="K19" s="139"/>
    </row>
    <row r="20" spans="1:11" ht="14.1" customHeight="1" x14ac:dyDescent="0.25">
      <c r="A20" s="245" t="s">
        <v>27</v>
      </c>
      <c r="B20" s="148">
        <v>6.2</v>
      </c>
      <c r="C20" s="148">
        <v>7.6</v>
      </c>
      <c r="D20" s="148">
        <v>4.5</v>
      </c>
      <c r="E20" s="148">
        <v>4.7</v>
      </c>
      <c r="F20" s="140">
        <f>ROUND(ТАБ_20!E19/ТАБ_20!B19*1000,0)</f>
        <v>731</v>
      </c>
      <c r="G20" s="140">
        <f>ROUND(ТАБ_20!F19/ТАБ_20!C19*1000,0)</f>
        <v>615</v>
      </c>
      <c r="J20" s="197"/>
      <c r="K20" s="139"/>
    </row>
    <row r="21" spans="1:11" ht="14.1" customHeight="1" x14ac:dyDescent="0.25">
      <c r="A21" s="245" t="s">
        <v>28</v>
      </c>
      <c r="B21" s="148">
        <v>5.8</v>
      </c>
      <c r="C21" s="148">
        <v>6.9</v>
      </c>
      <c r="D21" s="148">
        <v>3.9</v>
      </c>
      <c r="E21" s="148">
        <v>4.0999999999999996</v>
      </c>
      <c r="F21" s="140">
        <f>ROUND(ТАБ_20!E20/ТАБ_20!B20*1000,0)</f>
        <v>678</v>
      </c>
      <c r="G21" s="140">
        <f>ROUND(ТАБ_20!F20/ТАБ_20!C20*1000,0)</f>
        <v>590</v>
      </c>
      <c r="J21" s="197"/>
      <c r="K21" s="139"/>
    </row>
    <row r="22" spans="1:11" ht="14.1" customHeight="1" x14ac:dyDescent="0.25">
      <c r="A22" s="245" t="s">
        <v>29</v>
      </c>
      <c r="B22" s="148">
        <v>6.7</v>
      </c>
      <c r="C22" s="148">
        <v>7.5</v>
      </c>
      <c r="D22" s="148">
        <v>4.2</v>
      </c>
      <c r="E22" s="148">
        <v>4.4000000000000004</v>
      </c>
      <c r="F22" s="140">
        <f>ROUND(ТАБ_20!E21/ТАБ_20!B21*1000,0)</f>
        <v>632</v>
      </c>
      <c r="G22" s="140">
        <f>ROUND(ТАБ_20!F21/ТАБ_20!C21*1000,0)</f>
        <v>584</v>
      </c>
      <c r="J22" s="197"/>
      <c r="K22" s="139"/>
    </row>
    <row r="23" spans="1:11" ht="14.1" customHeight="1" x14ac:dyDescent="0.25">
      <c r="A23" s="245" t="s">
        <v>30</v>
      </c>
      <c r="B23" s="148">
        <v>6.3</v>
      </c>
      <c r="C23" s="148">
        <v>7.3</v>
      </c>
      <c r="D23" s="148">
        <v>4.0999999999999996</v>
      </c>
      <c r="E23" s="148">
        <v>4.0999999999999996</v>
      </c>
      <c r="F23" s="140">
        <f>ROUND(ТАБ_20!E22/ТАБ_20!B22*1000,0)</f>
        <v>655</v>
      </c>
      <c r="G23" s="140">
        <f>ROUND(ТАБ_20!F22/ТАБ_20!C22*1000,0)</f>
        <v>563</v>
      </c>
      <c r="J23" s="197"/>
      <c r="K23" s="139"/>
    </row>
    <row r="24" spans="1:11" ht="14.1" customHeight="1" x14ac:dyDescent="0.25">
      <c r="A24" s="245" t="s">
        <v>31</v>
      </c>
      <c r="B24" s="148">
        <v>6.6</v>
      </c>
      <c r="C24" s="148">
        <v>7.9</v>
      </c>
      <c r="D24" s="148">
        <v>4.0999999999999996</v>
      </c>
      <c r="E24" s="148">
        <v>4.3</v>
      </c>
      <c r="F24" s="140">
        <f>ROUND(ТАБ_20!E23/ТАБ_20!B23*1000,0)</f>
        <v>616</v>
      </c>
      <c r="G24" s="140">
        <f>ROUND(ТАБ_20!F23/ТАБ_20!C23*1000,0)</f>
        <v>544</v>
      </c>
      <c r="J24" s="197"/>
      <c r="K24" s="139"/>
    </row>
    <row r="25" spans="1:11" ht="14.1" customHeight="1" x14ac:dyDescent="0.25">
      <c r="A25" s="245" t="s">
        <v>32</v>
      </c>
      <c r="B25" s="148">
        <v>6.9</v>
      </c>
      <c r="C25" s="148">
        <v>8.1</v>
      </c>
      <c r="D25" s="148">
        <v>3.5</v>
      </c>
      <c r="E25" s="148">
        <v>3.6</v>
      </c>
      <c r="F25" s="140">
        <f>ROUND(ТАБ_20!E24/ТАБ_20!B24*1000,0)</f>
        <v>504</v>
      </c>
      <c r="G25" s="140">
        <f>ROUND(ТАБ_20!F24/ТАБ_20!C24*1000,0)</f>
        <v>437</v>
      </c>
      <c r="J25" s="197"/>
      <c r="K25" s="139"/>
    </row>
    <row r="26" spans="1:11" ht="14.1" customHeight="1" x14ac:dyDescent="0.25">
      <c r="A26" s="247" t="s">
        <v>33</v>
      </c>
      <c r="B26" s="147">
        <v>7.6</v>
      </c>
      <c r="C26" s="147">
        <v>8.8000000000000007</v>
      </c>
      <c r="D26" s="147">
        <v>4.5999999999999996</v>
      </c>
      <c r="E26" s="147">
        <v>4.5999999999999996</v>
      </c>
      <c r="F26" s="141">
        <f>ROUND(ТАБ_20!E25/ТАБ_20!B25*1000,0)</f>
        <v>604</v>
      </c>
      <c r="G26" s="141">
        <f>ROUND(ТАБ_20!F25/ТАБ_20!C25*1000,0)</f>
        <v>520</v>
      </c>
      <c r="J26" s="190"/>
      <c r="K26" s="139"/>
    </row>
    <row r="27" spans="1:11" ht="14.1" customHeight="1" x14ac:dyDescent="0.25">
      <c r="A27" s="245" t="s">
        <v>34</v>
      </c>
      <c r="B27" s="148">
        <v>6.7</v>
      </c>
      <c r="C27" s="148">
        <v>7.8</v>
      </c>
      <c r="D27" s="148">
        <v>4.5</v>
      </c>
      <c r="E27" s="148">
        <v>4.3</v>
      </c>
      <c r="F27" s="140">
        <f>ROUND(ТАБ_20!E26/ТАБ_20!B26*1000,0)</f>
        <v>665</v>
      </c>
      <c r="G27" s="140">
        <f>ROUND(ТАБ_20!F26/ТАБ_20!C26*1000,0)</f>
        <v>552</v>
      </c>
      <c r="J27" s="197"/>
      <c r="K27" s="139"/>
    </row>
    <row r="28" spans="1:11" ht="14.1" customHeight="1" x14ac:dyDescent="0.25">
      <c r="A28" s="245" t="s">
        <v>35</v>
      </c>
      <c r="B28" s="148">
        <v>6.4</v>
      </c>
      <c r="C28" s="148">
        <v>8.1</v>
      </c>
      <c r="D28" s="148">
        <v>4.8</v>
      </c>
      <c r="E28" s="148">
        <v>4.8</v>
      </c>
      <c r="F28" s="140">
        <f>ROUND(ТАБ_20!E27/ТАБ_20!B27*1000,0)</f>
        <v>752</v>
      </c>
      <c r="G28" s="140">
        <f>ROUND(ТАБ_20!F27/ТАБ_20!C27*1000,0)</f>
        <v>587</v>
      </c>
      <c r="J28" s="197"/>
      <c r="K28" s="139"/>
    </row>
    <row r="29" spans="1:11" ht="14.1" customHeight="1" x14ac:dyDescent="0.25">
      <c r="A29" s="245" t="s">
        <v>36</v>
      </c>
      <c r="B29" s="148">
        <v>6.2</v>
      </c>
      <c r="C29" s="148">
        <v>7.6</v>
      </c>
      <c r="D29" s="148">
        <v>4.3</v>
      </c>
      <c r="E29" s="148">
        <v>4.3</v>
      </c>
      <c r="F29" s="140">
        <f>ROUND(ТАБ_20!E28/ТАБ_20!B28*1000,0)</f>
        <v>685</v>
      </c>
      <c r="G29" s="140">
        <f>ROUND(ТАБ_20!F28/ТАБ_20!C28*1000,0)</f>
        <v>568</v>
      </c>
      <c r="J29" s="197"/>
      <c r="K29" s="139"/>
    </row>
    <row r="30" spans="1:11" ht="14.1" customHeight="1" x14ac:dyDescent="0.25">
      <c r="A30" s="245" t="s">
        <v>37</v>
      </c>
      <c r="B30" s="148">
        <v>5.3</v>
      </c>
      <c r="C30" s="148">
        <v>7</v>
      </c>
      <c r="D30" s="148">
        <v>4.2</v>
      </c>
      <c r="E30" s="148">
        <v>4</v>
      </c>
      <c r="F30" s="140">
        <f>ROUND(ТАБ_20!E29/ТАБ_20!B29*1000,0)</f>
        <v>797</v>
      </c>
      <c r="G30" s="140">
        <f>ROUND(ТАБ_20!F29/ТАБ_20!C29*1000,0)</f>
        <v>565</v>
      </c>
      <c r="J30" s="197"/>
      <c r="K30" s="139"/>
    </row>
    <row r="31" spans="1:11" ht="14.1" customHeight="1" x14ac:dyDescent="0.25">
      <c r="A31" s="248" t="s">
        <v>318</v>
      </c>
      <c r="B31" s="148">
        <v>6.3</v>
      </c>
      <c r="C31" s="148">
        <v>7.7</v>
      </c>
      <c r="D31" s="148">
        <v>4.3</v>
      </c>
      <c r="E31" s="148">
        <v>4.4000000000000004</v>
      </c>
      <c r="F31" s="140">
        <f>ROUND(ТАБ_20!E30/ТАБ_20!B30*1000,0)</f>
        <v>681</v>
      </c>
      <c r="G31" s="140">
        <f>ROUND(ТАБ_20!F30/ТАБ_20!C30*1000,0)</f>
        <v>568</v>
      </c>
      <c r="J31" s="197"/>
      <c r="K31" s="139"/>
    </row>
    <row r="32" spans="1:11" ht="14.1" customHeight="1" x14ac:dyDescent="0.25">
      <c r="A32" s="245" t="s">
        <v>38</v>
      </c>
      <c r="B32" s="148">
        <v>6.1</v>
      </c>
      <c r="C32" s="148">
        <v>7.5</v>
      </c>
      <c r="D32" s="148">
        <v>3.9</v>
      </c>
      <c r="E32" s="148">
        <v>3.7</v>
      </c>
      <c r="F32" s="140">
        <f>ROUND(ТАБ_20!E31/ТАБ_20!B31*1000,0)</f>
        <v>644</v>
      </c>
      <c r="G32" s="140">
        <f>ROUND(ТАБ_20!F31/ТАБ_20!C31*1000,0)</f>
        <v>488</v>
      </c>
      <c r="J32" s="197"/>
      <c r="K32" s="139"/>
    </row>
    <row r="33" spans="1:11" ht="14.1" customHeight="1" x14ac:dyDescent="0.25">
      <c r="A33" s="245" t="s">
        <v>39</v>
      </c>
      <c r="B33" s="148">
        <v>7.6</v>
      </c>
      <c r="C33" s="148">
        <v>8.6</v>
      </c>
      <c r="D33" s="148">
        <v>5.3</v>
      </c>
      <c r="E33" s="148">
        <v>5.4</v>
      </c>
      <c r="F33" s="140">
        <f>ROUND(ТАБ_20!E32/ТАБ_20!B32*1000,0)</f>
        <v>696</v>
      </c>
      <c r="G33" s="140">
        <f>ROUND(ТАБ_20!F32/ТАБ_20!C32*1000,0)</f>
        <v>628</v>
      </c>
      <c r="J33" s="197"/>
      <c r="K33" s="139"/>
    </row>
    <row r="34" spans="1:11" ht="14.1" customHeight="1" x14ac:dyDescent="0.25">
      <c r="A34" s="245" t="s">
        <v>40</v>
      </c>
      <c r="B34" s="148">
        <v>5.0999999999999996</v>
      </c>
      <c r="C34" s="148">
        <v>5.6</v>
      </c>
      <c r="D34" s="148">
        <v>4.0999999999999996</v>
      </c>
      <c r="E34" s="148">
        <v>4.0999999999999996</v>
      </c>
      <c r="F34" s="140">
        <f>ROUND(ТАБ_20!E33/ТАБ_20!B33*1000,0)</f>
        <v>810</v>
      </c>
      <c r="G34" s="140">
        <f>ROUND(ТАБ_20!F33/ТАБ_20!C33*1000,0)</f>
        <v>729</v>
      </c>
      <c r="I34" s="137"/>
      <c r="J34" s="426"/>
      <c r="K34" s="139"/>
    </row>
    <row r="35" spans="1:11" ht="14.1" customHeight="1" x14ac:dyDescent="0.25">
      <c r="A35" s="245" t="s">
        <v>41</v>
      </c>
      <c r="B35" s="148">
        <v>7.5</v>
      </c>
      <c r="C35" s="148">
        <v>8.3000000000000007</v>
      </c>
      <c r="D35" s="148">
        <v>5.5</v>
      </c>
      <c r="E35" s="148">
        <v>5.4</v>
      </c>
      <c r="F35" s="140">
        <f>ROUND(ТАБ_20!E34/ТАБ_20!B34*1000,0)</f>
        <v>728</v>
      </c>
      <c r="G35" s="140">
        <f>ROUND(ТАБ_20!F34/ТАБ_20!C34*1000,0)</f>
        <v>645</v>
      </c>
      <c r="J35" s="197"/>
      <c r="K35" s="139"/>
    </row>
    <row r="36" spans="1:11" ht="14.1" customHeight="1" x14ac:dyDescent="0.25">
      <c r="A36" s="245" t="s">
        <v>42</v>
      </c>
      <c r="B36" s="148">
        <v>7.4</v>
      </c>
      <c r="C36" s="148">
        <v>8.1999999999999993</v>
      </c>
      <c r="D36" s="148">
        <v>4.5</v>
      </c>
      <c r="E36" s="148">
        <v>4.5</v>
      </c>
      <c r="F36" s="140">
        <f>ROUND(ТАБ_20!E35/ТАБ_20!B35*1000,0)</f>
        <v>611</v>
      </c>
      <c r="G36" s="140">
        <f>ROUND(ТАБ_20!F35/ТАБ_20!C35*1000,0)</f>
        <v>553</v>
      </c>
      <c r="J36" s="197"/>
      <c r="K36" s="139"/>
    </row>
    <row r="37" spans="1:11" ht="14.1" customHeight="1" x14ac:dyDescent="0.25">
      <c r="A37" s="245" t="s">
        <v>43</v>
      </c>
      <c r="B37" s="148">
        <v>6.3</v>
      </c>
      <c r="C37" s="148">
        <v>7.4</v>
      </c>
      <c r="D37" s="148">
        <v>4.3</v>
      </c>
      <c r="E37" s="148">
        <v>4.2</v>
      </c>
      <c r="F37" s="140">
        <f>ROUND(ТАБ_20!E36/ТАБ_20!B36*1000,0)</f>
        <v>686</v>
      </c>
      <c r="G37" s="140">
        <f>ROUND(ТАБ_20!F36/ТАБ_20!C36*1000,0)</f>
        <v>571</v>
      </c>
      <c r="J37" s="197"/>
      <c r="K37" s="139"/>
    </row>
    <row r="38" spans="1:11" ht="14.1" customHeight="1" x14ac:dyDescent="0.25">
      <c r="A38" s="245" t="s">
        <v>44</v>
      </c>
      <c r="B38" s="148">
        <v>9.6</v>
      </c>
      <c r="C38" s="148">
        <v>10.9</v>
      </c>
      <c r="D38" s="148">
        <v>4.8</v>
      </c>
      <c r="E38" s="148">
        <v>4.7</v>
      </c>
      <c r="F38" s="140">
        <f>ROUND(ТАБ_20!E37/ТАБ_20!B37*1000,0)</f>
        <v>494</v>
      </c>
      <c r="G38" s="140">
        <f>ROUND(ТАБ_20!F37/ТАБ_20!C37*1000,0)</f>
        <v>433</v>
      </c>
      <c r="J38" s="197"/>
      <c r="K38" s="139"/>
    </row>
    <row r="39" spans="1:11" ht="14.1" customHeight="1" x14ac:dyDescent="0.25">
      <c r="A39" s="249" t="s">
        <v>45</v>
      </c>
      <c r="B39" s="462">
        <v>6.7</v>
      </c>
      <c r="C39" s="462">
        <v>8.1</v>
      </c>
      <c r="D39" s="462">
        <v>4.2</v>
      </c>
      <c r="E39" s="462">
        <v>4.2</v>
      </c>
      <c r="F39" s="463">
        <f>ROUND(ТАБ_20!E38/ТАБ_20!B38*1000,0)</f>
        <v>630</v>
      </c>
      <c r="G39" s="463">
        <v>522</v>
      </c>
      <c r="J39" s="190"/>
      <c r="K39" s="139"/>
    </row>
    <row r="40" spans="1:11" ht="14.1" customHeight="1" x14ac:dyDescent="0.25">
      <c r="A40" s="245" t="s">
        <v>46</v>
      </c>
      <c r="B40" s="148">
        <v>5.3</v>
      </c>
      <c r="C40" s="148">
        <v>6.2</v>
      </c>
      <c r="D40" s="148">
        <v>3.6</v>
      </c>
      <c r="E40" s="148">
        <v>3.5</v>
      </c>
      <c r="F40" s="140">
        <f>ROUND(ТАБ_20!E39/ТАБ_20!B39*1000,0)</f>
        <v>693</v>
      </c>
      <c r="G40" s="140">
        <f>ROUND(ТАБ_20!F39/ТАБ_20!C39*1000,0)</f>
        <v>567</v>
      </c>
      <c r="J40" s="197"/>
      <c r="K40" s="139"/>
    </row>
    <row r="41" spans="1:11" ht="14.1" customHeight="1" x14ac:dyDescent="0.25">
      <c r="A41" s="245" t="s">
        <v>47</v>
      </c>
      <c r="B41" s="148">
        <v>5.0999999999999996</v>
      </c>
      <c r="C41" s="148">
        <v>6.5</v>
      </c>
      <c r="D41" s="148">
        <v>3.8</v>
      </c>
      <c r="E41" s="148">
        <v>3.7</v>
      </c>
      <c r="F41" s="140">
        <f>ROUND(ТАБ_20!E40/ТАБ_20!B40*1000,0)</f>
        <v>738</v>
      </c>
      <c r="G41" s="140">
        <f>ROUND(ТАБ_20!F40/ТАБ_20!C40*1000,0)</f>
        <v>562</v>
      </c>
      <c r="J41" s="197"/>
      <c r="K41" s="139"/>
    </row>
    <row r="42" spans="1:11" s="142" customFormat="1" ht="14.1" customHeight="1" x14ac:dyDescent="0.25">
      <c r="A42" s="245" t="s">
        <v>211</v>
      </c>
      <c r="B42" s="148">
        <v>7.1</v>
      </c>
      <c r="C42" s="148">
        <v>9.1999999999999993</v>
      </c>
      <c r="D42" s="148">
        <v>3.3</v>
      </c>
      <c r="E42" s="148">
        <v>3</v>
      </c>
      <c r="F42" s="140">
        <f>ROUND(ТАБ_20!E41/ТАБ_20!B41*1000,0)</f>
        <v>465</v>
      </c>
      <c r="G42" s="140">
        <f>ROUND(ТАБ_20!F41/ТАБ_20!C41*1000,0)</f>
        <v>326</v>
      </c>
      <c r="H42"/>
      <c r="J42" s="197"/>
      <c r="K42" s="139"/>
    </row>
    <row r="43" spans="1:11" ht="14.1" customHeight="1" x14ac:dyDescent="0.25">
      <c r="A43" s="245" t="s">
        <v>48</v>
      </c>
      <c r="B43" s="148">
        <v>7.2</v>
      </c>
      <c r="C43" s="148">
        <v>8.4</v>
      </c>
      <c r="D43" s="148">
        <v>4.5999999999999996</v>
      </c>
      <c r="E43" s="148">
        <v>4.5999999999999996</v>
      </c>
      <c r="F43" s="140">
        <f>ROUND(ТАБ_20!E42/ТАБ_20!B42*1000,0)</f>
        <v>634</v>
      </c>
      <c r="G43" s="140">
        <f>ROUND(ТАБ_20!F42/ТАБ_20!C42*1000,0)</f>
        <v>550</v>
      </c>
      <c r="J43" s="197"/>
      <c r="K43" s="139"/>
    </row>
    <row r="44" spans="1:11" ht="14.1" customHeight="1" x14ac:dyDescent="0.25">
      <c r="A44" s="245" t="s">
        <v>49</v>
      </c>
      <c r="B44" s="148">
        <v>6.6</v>
      </c>
      <c r="C44" s="148">
        <v>7.4</v>
      </c>
      <c r="D44" s="148">
        <v>4.2</v>
      </c>
      <c r="E44" s="148">
        <v>4.3</v>
      </c>
      <c r="F44" s="140">
        <f>ROUND(ТАБ_20!E43/ТАБ_20!B43*1000,0)</f>
        <v>634</v>
      </c>
      <c r="G44" s="140">
        <f>ROUND(ТАБ_20!F43/ТАБ_20!C43*1000,0)</f>
        <v>581</v>
      </c>
      <c r="J44" s="197"/>
      <c r="K44" s="139"/>
    </row>
    <row r="45" spans="1:11" ht="14.1" customHeight="1" x14ac:dyDescent="0.25">
      <c r="A45" s="245" t="s">
        <v>50</v>
      </c>
      <c r="B45" s="148">
        <v>6</v>
      </c>
      <c r="C45" s="148">
        <v>7</v>
      </c>
      <c r="D45" s="148">
        <v>4.0999999999999996</v>
      </c>
      <c r="E45" s="148">
        <v>4.0999999999999996</v>
      </c>
      <c r="F45" s="140">
        <f>ROUND(ТАБ_20!E44/ТАБ_20!B44*1000,0)</f>
        <v>689</v>
      </c>
      <c r="G45" s="140">
        <f>ROUND(ТАБ_20!F44/ТАБ_20!C44*1000,0)</f>
        <v>589</v>
      </c>
      <c r="J45" s="197"/>
      <c r="K45" s="139"/>
    </row>
    <row r="46" spans="1:11" ht="14.1" customHeight="1" x14ac:dyDescent="0.25">
      <c r="A46" s="245" t="s">
        <v>51</v>
      </c>
      <c r="B46" s="148">
        <v>6.3</v>
      </c>
      <c r="C46" s="148">
        <v>7.8</v>
      </c>
      <c r="D46" s="148">
        <v>4.3</v>
      </c>
      <c r="E46" s="148">
        <v>4.3</v>
      </c>
      <c r="F46" s="140">
        <f>ROUND(ТАБ_20!E45/ТАБ_20!B45*1000,0)</f>
        <v>684</v>
      </c>
      <c r="G46" s="140">
        <f>ROUND(ТАБ_20!F45/ТАБ_20!C45*1000,0)</f>
        <v>556</v>
      </c>
      <c r="J46" s="197"/>
      <c r="K46" s="139"/>
    </row>
    <row r="47" spans="1:11" s="142" customFormat="1" ht="14.1" customHeight="1" x14ac:dyDescent="0.25">
      <c r="A47" s="245" t="s">
        <v>213</v>
      </c>
      <c r="B47" s="148">
        <v>9.5</v>
      </c>
      <c r="C47" s="148">
        <v>11.5</v>
      </c>
      <c r="D47" s="148">
        <v>4.5</v>
      </c>
      <c r="E47" s="148">
        <v>4</v>
      </c>
      <c r="F47" s="140">
        <f>ROUND(ТАБ_20!E46/ТАБ_20!B46*1000,0)</f>
        <v>472</v>
      </c>
      <c r="G47" s="140">
        <f>ROUND(ТАБ_20!F46/ТАБ_20!C46*1000,0)</f>
        <v>349</v>
      </c>
      <c r="H47"/>
      <c r="J47" s="197"/>
      <c r="K47" s="139"/>
    </row>
    <row r="48" spans="1:11" ht="14.1" customHeight="1" x14ac:dyDescent="0.25">
      <c r="A48" s="250" t="s">
        <v>52</v>
      </c>
      <c r="B48" s="147">
        <v>5.6</v>
      </c>
      <c r="C48" s="147">
        <v>6.2</v>
      </c>
      <c r="D48" s="147">
        <v>2.2999999999999998</v>
      </c>
      <c r="E48" s="147">
        <v>2.2999999999999998</v>
      </c>
      <c r="F48" s="141">
        <f>ROUND(ТАБ_20!E47/ТАБ_20!B47*1000,0)</f>
        <v>419</v>
      </c>
      <c r="G48" s="141">
        <f>ROUND(ТАБ_20!F47/ТАБ_20!C47*1000,0)</f>
        <v>379</v>
      </c>
      <c r="J48" s="190"/>
      <c r="K48" s="139"/>
    </row>
    <row r="49" spans="1:11" ht="14.1" customHeight="1" x14ac:dyDescent="0.25">
      <c r="A49" s="245" t="s">
        <v>53</v>
      </c>
      <c r="B49" s="148">
        <v>5.8</v>
      </c>
      <c r="C49" s="148">
        <v>6.3</v>
      </c>
      <c r="D49" s="148">
        <v>1.6</v>
      </c>
      <c r="E49" s="148">
        <v>1.6</v>
      </c>
      <c r="F49" s="140">
        <f>ROUND(ТАБ_20!E48/ТАБ_20!B48*1000,0)</f>
        <v>281</v>
      </c>
      <c r="G49" s="140">
        <f>ROUND(ТАБ_20!F48/ТАБ_20!C48*1000,0)</f>
        <v>252</v>
      </c>
      <c r="J49" s="197"/>
      <c r="K49" s="139"/>
    </row>
    <row r="50" spans="1:11" ht="14.1" customHeight="1" x14ac:dyDescent="0.25">
      <c r="A50" s="245" t="s">
        <v>54</v>
      </c>
      <c r="B50" s="148">
        <v>3.8</v>
      </c>
      <c r="C50" s="148">
        <v>4.2</v>
      </c>
      <c r="D50" s="148">
        <v>0.9</v>
      </c>
      <c r="E50" s="148">
        <v>0.8</v>
      </c>
      <c r="F50" s="140">
        <f>ROUND(ТАБ_20!E49/ТАБ_20!B49*1000,0)</f>
        <v>235</v>
      </c>
      <c r="G50" s="140">
        <f>ROUND(ТАБ_20!F49/ТАБ_20!C49*1000,0)</f>
        <v>197</v>
      </c>
      <c r="J50" s="197"/>
      <c r="K50" s="139"/>
    </row>
    <row r="51" spans="1:11" ht="14.1" customHeight="1" x14ac:dyDescent="0.25">
      <c r="A51" s="245" t="s">
        <v>55</v>
      </c>
      <c r="B51" s="148">
        <v>5.6</v>
      </c>
      <c r="C51" s="148">
        <v>6.2</v>
      </c>
      <c r="D51" s="148">
        <v>2.8</v>
      </c>
      <c r="E51" s="148">
        <v>2.5</v>
      </c>
      <c r="F51" s="140">
        <f>ROUND(ТАБ_20!E50/ТАБ_20!B50*1000,0)</f>
        <v>495</v>
      </c>
      <c r="G51" s="140">
        <f>ROUND(ТАБ_20!F50/ТАБ_20!C50*1000,0)</f>
        <v>403</v>
      </c>
      <c r="J51" s="197"/>
      <c r="K51" s="139"/>
    </row>
    <row r="52" spans="1:11" ht="14.1" customHeight="1" x14ac:dyDescent="0.25">
      <c r="A52" s="245" t="s">
        <v>56</v>
      </c>
      <c r="B52" s="148">
        <v>5.2</v>
      </c>
      <c r="C52" s="148">
        <v>5.9</v>
      </c>
      <c r="D52" s="148">
        <v>3.1</v>
      </c>
      <c r="E52" s="148">
        <v>3.4</v>
      </c>
      <c r="F52" s="140">
        <f>ROUND(ТАБ_20!E51/ТАБ_20!B51*1000,0)</f>
        <v>602</v>
      </c>
      <c r="G52" s="140">
        <f>ROUND(ТАБ_20!F51/ТАБ_20!C51*1000,0)</f>
        <v>581</v>
      </c>
      <c r="J52" s="197"/>
      <c r="K52" s="139"/>
    </row>
    <row r="53" spans="1:11" ht="14.1" customHeight="1" x14ac:dyDescent="0.25">
      <c r="A53" s="245" t="s">
        <v>57</v>
      </c>
      <c r="B53" s="148">
        <v>5.0999999999999996</v>
      </c>
      <c r="C53" s="148">
        <v>6</v>
      </c>
      <c r="D53" s="148">
        <v>2.6</v>
      </c>
      <c r="E53" s="148">
        <v>2.6</v>
      </c>
      <c r="F53" s="140">
        <f>ROUND(ТАБ_20!E52/ТАБ_20!B52*1000,0)</f>
        <v>514</v>
      </c>
      <c r="G53" s="140">
        <f>ROUND(ТАБ_20!F52/ТАБ_20!C52*1000,0)</f>
        <v>438</v>
      </c>
      <c r="J53" s="197"/>
      <c r="K53" s="139"/>
    </row>
    <row r="54" spans="1:11" ht="14.1" customHeight="1" x14ac:dyDescent="0.25">
      <c r="A54" s="245" t="s">
        <v>58</v>
      </c>
      <c r="B54" s="148">
        <v>5.9</v>
      </c>
      <c r="C54" s="148">
        <v>5.7</v>
      </c>
      <c r="D54" s="148">
        <v>0.9</v>
      </c>
      <c r="E54" s="148">
        <v>0.8</v>
      </c>
      <c r="F54" s="140">
        <f>ROUND(ТАБ_20!E53/ТАБ_20!B53*1000,0)</f>
        <v>149</v>
      </c>
      <c r="G54" s="140">
        <f>ROUND(ТАБ_20!F53/ТАБ_20!C53*1000,0)</f>
        <v>134</v>
      </c>
      <c r="J54" s="197"/>
      <c r="K54" s="139"/>
    </row>
    <row r="55" spans="1:11" ht="14.1" customHeight="1" x14ac:dyDescent="0.25">
      <c r="A55" s="245" t="s">
        <v>59</v>
      </c>
      <c r="B55" s="148">
        <v>5.7</v>
      </c>
      <c r="C55" s="148">
        <v>6.7</v>
      </c>
      <c r="D55" s="148">
        <v>3.8</v>
      </c>
      <c r="E55" s="148">
        <v>3.9</v>
      </c>
      <c r="F55" s="140">
        <f>ROUND(ТАБ_20!E54/ТАБ_20!B54*1000,0)</f>
        <v>659</v>
      </c>
      <c r="G55" s="140">
        <f>ROUND(ТАБ_20!F54/ТАБ_20!C54*1000,0)</f>
        <v>581</v>
      </c>
      <c r="J55" s="197"/>
      <c r="K55" s="139"/>
    </row>
    <row r="56" spans="1:11" ht="14.1" customHeight="1" x14ac:dyDescent="0.25">
      <c r="A56" s="244" t="s">
        <v>60</v>
      </c>
      <c r="B56" s="147">
        <v>6.3</v>
      </c>
      <c r="C56" s="147">
        <v>7.6</v>
      </c>
      <c r="D56" s="147">
        <v>3.9</v>
      </c>
      <c r="E56" s="147">
        <v>3.9</v>
      </c>
      <c r="F56" s="141">
        <f>ROUND(ТАБ_20!E55/ТАБ_20!B55*1000,0)</f>
        <v>625</v>
      </c>
      <c r="G56" s="141">
        <f>ROUND(ТАБ_20!F55/ТАБ_20!C55*1000,0)</f>
        <v>517</v>
      </c>
      <c r="J56" s="190"/>
      <c r="K56" s="139"/>
    </row>
    <row r="57" spans="1:11" ht="14.1" customHeight="1" x14ac:dyDescent="0.25">
      <c r="A57" s="245" t="s">
        <v>61</v>
      </c>
      <c r="B57" s="148">
        <v>6.2</v>
      </c>
      <c r="C57" s="148">
        <v>7.7</v>
      </c>
      <c r="D57" s="148">
        <v>3.8</v>
      </c>
      <c r="E57" s="148">
        <v>3.9</v>
      </c>
      <c r="F57" s="140">
        <f>ROUND(ТАБ_20!E56/ТАБ_20!B56*1000,0)</f>
        <v>618</v>
      </c>
      <c r="G57" s="140">
        <f>ROUND(ТАБ_20!F56/ТАБ_20!C56*1000,0)</f>
        <v>511</v>
      </c>
      <c r="J57" s="197"/>
      <c r="K57" s="139"/>
    </row>
    <row r="58" spans="1:11" ht="14.1" customHeight="1" x14ac:dyDescent="0.25">
      <c r="A58" s="245" t="s">
        <v>62</v>
      </c>
      <c r="B58" s="148">
        <v>5.4</v>
      </c>
      <c r="C58" s="148">
        <v>7.4</v>
      </c>
      <c r="D58" s="148">
        <v>3.7</v>
      </c>
      <c r="E58" s="148">
        <v>3.7</v>
      </c>
      <c r="F58" s="140">
        <f>ROUND(ТАБ_20!E57/ТАБ_20!B57*1000,0)</f>
        <v>688</v>
      </c>
      <c r="G58" s="140">
        <f>ROUND(ТАБ_20!F57/ТАБ_20!C57*1000,0)</f>
        <v>500</v>
      </c>
      <c r="J58" s="197"/>
      <c r="K58" s="139"/>
    </row>
    <row r="59" spans="1:11" ht="14.1" customHeight="1" x14ac:dyDescent="0.25">
      <c r="A59" s="245" t="s">
        <v>63</v>
      </c>
      <c r="B59" s="148">
        <v>5.3</v>
      </c>
      <c r="C59" s="148">
        <v>6.6</v>
      </c>
      <c r="D59" s="148">
        <v>3.3</v>
      </c>
      <c r="E59" s="148">
        <v>3.3</v>
      </c>
      <c r="F59" s="140">
        <f>ROUND(ТАБ_20!E58/ТАБ_20!B58*1000,0)</f>
        <v>623</v>
      </c>
      <c r="G59" s="140">
        <f>ROUND(ТАБ_20!F58/ТАБ_20!C58*1000,0)</f>
        <v>501</v>
      </c>
      <c r="J59" s="197"/>
      <c r="K59" s="139"/>
    </row>
    <row r="60" spans="1:11" ht="14.1" customHeight="1" x14ac:dyDescent="0.25">
      <c r="A60" s="245" t="s">
        <v>64</v>
      </c>
      <c r="B60" s="148">
        <v>6.6</v>
      </c>
      <c r="C60" s="148">
        <v>7.9</v>
      </c>
      <c r="D60" s="148">
        <v>3.5</v>
      </c>
      <c r="E60" s="148">
        <v>3.5</v>
      </c>
      <c r="F60" s="140">
        <f>ROUND(ТАБ_20!E59/ТАБ_20!B59*1000,0)</f>
        <v>522</v>
      </c>
      <c r="G60" s="140">
        <f>ROUND(ТАБ_20!F59/ТАБ_20!C59*1000,0)</f>
        <v>440</v>
      </c>
      <c r="J60" s="197"/>
      <c r="K60" s="139"/>
    </row>
    <row r="61" spans="1:11" ht="14.1" customHeight="1" x14ac:dyDescent="0.25">
      <c r="A61" s="245" t="s">
        <v>65</v>
      </c>
      <c r="B61" s="148">
        <v>5.7</v>
      </c>
      <c r="C61" s="148">
        <v>7.5</v>
      </c>
      <c r="D61" s="148">
        <v>3.5</v>
      </c>
      <c r="E61" s="148">
        <v>3.5</v>
      </c>
      <c r="F61" s="140">
        <f>ROUND(ТАБ_20!E60/ТАБ_20!B60*1000,0)</f>
        <v>620</v>
      </c>
      <c r="G61" s="140">
        <f>ROUND(ТАБ_20!F60/ТАБ_20!C60*1000,0)</f>
        <v>463</v>
      </c>
      <c r="J61" s="197"/>
      <c r="K61" s="139"/>
    </row>
    <row r="62" spans="1:11" ht="14.1" customHeight="1" x14ac:dyDescent="0.25">
      <c r="A62" s="245" t="s">
        <v>66</v>
      </c>
      <c r="B62" s="148">
        <v>5.4</v>
      </c>
      <c r="C62" s="148">
        <v>7.1</v>
      </c>
      <c r="D62" s="148">
        <v>3.3</v>
      </c>
      <c r="E62" s="148">
        <v>3.3</v>
      </c>
      <c r="F62" s="140">
        <f>ROUND(ТАБ_20!E61/ТАБ_20!B61*1000,0)</f>
        <v>614</v>
      </c>
      <c r="G62" s="140">
        <f>ROUND(ТАБ_20!F61/ТАБ_20!C61*1000,0)</f>
        <v>457</v>
      </c>
      <c r="J62" s="197"/>
      <c r="K62" s="139"/>
    </row>
    <row r="63" spans="1:11" ht="14.1" customHeight="1" x14ac:dyDescent="0.25">
      <c r="A63" s="245" t="s">
        <v>67</v>
      </c>
      <c r="B63" s="148">
        <v>6.7</v>
      </c>
      <c r="C63" s="148">
        <v>8.1999999999999993</v>
      </c>
      <c r="D63" s="148">
        <v>4.2</v>
      </c>
      <c r="E63" s="148">
        <v>4</v>
      </c>
      <c r="F63" s="140">
        <f>ROUND(ТАБ_20!E62/ТАБ_20!B62*1000,0)</f>
        <v>623</v>
      </c>
      <c r="G63" s="140">
        <f>ROUND(ТАБ_20!F62/ТАБ_20!C62*1000,0)</f>
        <v>493</v>
      </c>
      <c r="J63" s="197"/>
      <c r="K63" s="139"/>
    </row>
    <row r="64" spans="1:11" ht="14.1" customHeight="1" x14ac:dyDescent="0.25">
      <c r="A64" s="245" t="s">
        <v>68</v>
      </c>
      <c r="B64" s="148">
        <v>5.7</v>
      </c>
      <c r="C64" s="148">
        <v>7.2</v>
      </c>
      <c r="D64" s="148">
        <v>4.0999999999999996</v>
      </c>
      <c r="E64" s="148">
        <v>4.0999999999999996</v>
      </c>
      <c r="F64" s="140">
        <f>ROUND(ТАБ_20!E63/ТАБ_20!B63*1000,0)</f>
        <v>714</v>
      </c>
      <c r="G64" s="140">
        <f>ROUND(ТАБ_20!F63/ТАБ_20!C63*1000,0)</f>
        <v>566</v>
      </c>
      <c r="J64" s="197"/>
      <c r="K64" s="139"/>
    </row>
    <row r="65" spans="1:11" ht="14.1" customHeight="1" x14ac:dyDescent="0.25">
      <c r="A65" s="245" t="s">
        <v>69</v>
      </c>
      <c r="B65" s="148">
        <v>6.6</v>
      </c>
      <c r="C65" s="148">
        <v>7.8</v>
      </c>
      <c r="D65" s="148">
        <v>4</v>
      </c>
      <c r="E65" s="148">
        <v>4.0999999999999996</v>
      </c>
      <c r="F65" s="140">
        <f>ROUND(ТАБ_20!E64/ТАБ_20!B64*1000,0)</f>
        <v>610</v>
      </c>
      <c r="G65" s="140">
        <f>ROUND(ТАБ_20!F64/ТАБ_20!C64*1000,0)</f>
        <v>524</v>
      </c>
      <c r="J65" s="197"/>
      <c r="K65" s="139"/>
    </row>
    <row r="66" spans="1:11" ht="14.1" customHeight="1" x14ac:dyDescent="0.25">
      <c r="A66" s="245" t="s">
        <v>70</v>
      </c>
      <c r="B66" s="148">
        <v>6.5</v>
      </c>
      <c r="C66" s="148">
        <v>7.7</v>
      </c>
      <c r="D66" s="148">
        <v>4.4000000000000004</v>
      </c>
      <c r="E66" s="148">
        <v>4.4000000000000004</v>
      </c>
      <c r="F66" s="140">
        <f>ROUND(ТАБ_20!E65/ТАБ_20!B65*1000,0)</f>
        <v>680</v>
      </c>
      <c r="G66" s="140">
        <f>ROUND(ТАБ_20!F65/ТАБ_20!C65*1000,0)</f>
        <v>565</v>
      </c>
      <c r="J66" s="197"/>
      <c r="K66" s="139"/>
    </row>
    <row r="67" spans="1:11" ht="14.1" customHeight="1" x14ac:dyDescent="0.25">
      <c r="A67" s="245" t="s">
        <v>71</v>
      </c>
      <c r="B67" s="148">
        <v>5.7</v>
      </c>
      <c r="C67" s="148">
        <v>7</v>
      </c>
      <c r="D67" s="148">
        <v>3.9</v>
      </c>
      <c r="E67" s="148">
        <v>4</v>
      </c>
      <c r="F67" s="140">
        <f>ROUND(ТАБ_20!E66/ТАБ_20!B66*1000,0)</f>
        <v>677</v>
      </c>
      <c r="G67" s="140">
        <f>ROUND(ТАБ_20!F66/ТАБ_20!C66*1000,0)</f>
        <v>571</v>
      </c>
      <c r="J67" s="197"/>
      <c r="K67" s="139"/>
    </row>
    <row r="68" spans="1:11" ht="14.1" customHeight="1" x14ac:dyDescent="0.25">
      <c r="A68" s="245" t="s">
        <v>72</v>
      </c>
      <c r="B68" s="148">
        <v>6.7</v>
      </c>
      <c r="C68" s="148">
        <v>8</v>
      </c>
      <c r="D68" s="148">
        <v>4.4000000000000004</v>
      </c>
      <c r="E68" s="148">
        <v>4.4000000000000004</v>
      </c>
      <c r="F68" s="140">
        <f>ROUND(ТАБ_20!E67/ТАБ_20!B67*1000,0)</f>
        <v>653</v>
      </c>
      <c r="G68" s="140">
        <f>ROUND(ТАБ_20!F67/ТАБ_20!C67*1000,0)</f>
        <v>551</v>
      </c>
      <c r="J68" s="197"/>
      <c r="K68" s="139"/>
    </row>
    <row r="69" spans="1:11" ht="14.1" customHeight="1" x14ac:dyDescent="0.25">
      <c r="A69" s="246" t="s">
        <v>73</v>
      </c>
      <c r="B69" s="148">
        <v>6</v>
      </c>
      <c r="C69" s="148">
        <v>7</v>
      </c>
      <c r="D69" s="148">
        <v>4.0999999999999996</v>
      </c>
      <c r="E69" s="148">
        <v>4.2</v>
      </c>
      <c r="F69" s="140">
        <f>ROUND(ТАБ_20!E68/ТАБ_20!B68*1000,0)</f>
        <v>689</v>
      </c>
      <c r="G69" s="140">
        <f>ROUND(ТАБ_20!F68/ТАБ_20!C68*1000,0)</f>
        <v>608</v>
      </c>
      <c r="J69" s="197"/>
      <c r="K69" s="139"/>
    </row>
    <row r="70" spans="1:11" ht="14.1" customHeight="1" x14ac:dyDescent="0.25">
      <c r="A70" s="245" t="s">
        <v>74</v>
      </c>
      <c r="B70" s="148">
        <v>6.6</v>
      </c>
      <c r="C70" s="148">
        <v>7.8</v>
      </c>
      <c r="D70" s="148">
        <v>3.9</v>
      </c>
      <c r="E70" s="148">
        <v>4</v>
      </c>
      <c r="F70" s="140">
        <f>ROUND(ТАБ_20!E69/ТАБ_20!B69*1000,0)</f>
        <v>590</v>
      </c>
      <c r="G70" s="140">
        <f>ROUND(ТАБ_20!F69/ТАБ_20!C69*1000,0)</f>
        <v>516</v>
      </c>
      <c r="J70" s="197"/>
      <c r="K70" s="139"/>
    </row>
    <row r="71" spans="1:11" ht="14.1" customHeight="1" x14ac:dyDescent="0.25">
      <c r="A71" s="249" t="s">
        <v>75</v>
      </c>
      <c r="B71" s="147">
        <v>7.1</v>
      </c>
      <c r="C71" s="147">
        <v>8.4</v>
      </c>
      <c r="D71" s="147">
        <v>4.8</v>
      </c>
      <c r="E71" s="147">
        <v>4.8</v>
      </c>
      <c r="F71" s="141">
        <f>ROUND(ТАБ_20!E70/ТАБ_20!B70*1000,0)</f>
        <v>668</v>
      </c>
      <c r="G71" s="141">
        <f>ROUND(ТАБ_20!F70/ТАБ_20!C70*1000,0)</f>
        <v>573</v>
      </c>
      <c r="J71" s="190"/>
      <c r="K71" s="139"/>
    </row>
    <row r="72" spans="1:11" ht="14.1" customHeight="1" x14ac:dyDescent="0.25">
      <c r="A72" s="245" t="s">
        <v>76</v>
      </c>
      <c r="B72" s="148">
        <v>6.3</v>
      </c>
      <c r="C72" s="148">
        <v>7.4</v>
      </c>
      <c r="D72" s="148">
        <v>4.5999999999999996</v>
      </c>
      <c r="E72" s="148">
        <v>4.8</v>
      </c>
      <c r="F72" s="140">
        <f>ROUND(ТАБ_20!E71/ТАБ_20!B71*1000,0)</f>
        <v>741</v>
      </c>
      <c r="G72" s="140">
        <f>ROUND(ТАБ_20!F71/ТАБ_20!C71*1000,0)</f>
        <v>643</v>
      </c>
      <c r="J72" s="197"/>
      <c r="K72" s="139"/>
    </row>
    <row r="73" spans="1:11" ht="14.1" customHeight="1" x14ac:dyDescent="0.25">
      <c r="A73" s="245" t="s">
        <v>77</v>
      </c>
      <c r="B73" s="148">
        <v>7.3</v>
      </c>
      <c r="C73" s="148">
        <v>8.5</v>
      </c>
      <c r="D73" s="148">
        <v>4.5999999999999996</v>
      </c>
      <c r="E73" s="148">
        <v>4.5</v>
      </c>
      <c r="F73" s="140">
        <f>ROUND(ТАБ_20!E72/ТАБ_20!B72*1000,0)</f>
        <v>627</v>
      </c>
      <c r="G73" s="140">
        <f>ROUND(ТАБ_20!F72/ТАБ_20!C72*1000,0)</f>
        <v>535</v>
      </c>
      <c r="J73" s="197"/>
      <c r="K73" s="139"/>
    </row>
    <row r="74" spans="1:11" ht="14.1" customHeight="1" x14ac:dyDescent="0.25">
      <c r="A74" s="245" t="s">
        <v>78</v>
      </c>
      <c r="B74" s="148">
        <v>7.6</v>
      </c>
      <c r="C74" s="148">
        <v>8.9</v>
      </c>
      <c r="D74" s="148">
        <v>5.2</v>
      </c>
      <c r="E74" s="148">
        <v>5.3</v>
      </c>
      <c r="F74" s="140">
        <f>ROUND(ТАБ_20!E73/ТАБ_20!B73*1000,0)</f>
        <v>691</v>
      </c>
      <c r="G74" s="140">
        <f>ROUND(ТАБ_20!F73/ТАБ_20!C73*1000,0)</f>
        <v>595</v>
      </c>
      <c r="J74" s="197"/>
      <c r="K74" s="139"/>
    </row>
    <row r="75" spans="1:11" ht="14.1" customHeight="1" x14ac:dyDescent="0.25">
      <c r="A75" s="245" t="s">
        <v>79</v>
      </c>
      <c r="B75" s="148">
        <v>7.8</v>
      </c>
      <c r="C75" s="148">
        <v>9.3000000000000007</v>
      </c>
      <c r="D75" s="148">
        <v>5.6</v>
      </c>
      <c r="E75" s="148">
        <v>5.7</v>
      </c>
      <c r="F75" s="140">
        <f>ROUND(ТАБ_20!E74/ТАБ_20!B74*1000,0)</f>
        <v>717</v>
      </c>
      <c r="G75" s="140">
        <f>ROUND(ТАБ_20!F74/ТАБ_20!C74*1000,0)</f>
        <v>613</v>
      </c>
      <c r="J75" s="197"/>
      <c r="K75" s="139"/>
    </row>
    <row r="76" spans="1:11" ht="14.1" customHeight="1" x14ac:dyDescent="0.25">
      <c r="A76" s="245" t="s">
        <v>80</v>
      </c>
      <c r="B76" s="148">
        <v>7.7</v>
      </c>
      <c r="C76" s="148">
        <v>8.9</v>
      </c>
      <c r="D76" s="148">
        <v>5.7</v>
      </c>
      <c r="E76" s="148">
        <v>5.7</v>
      </c>
      <c r="F76" s="140">
        <f>ROUND(ТАБ_20!E75/ТАБ_20!B75*1000,0)</f>
        <v>733</v>
      </c>
      <c r="G76" s="140">
        <f>ROUND(ТАБ_20!F75/ТАБ_20!C75*1000,0)</f>
        <v>647</v>
      </c>
      <c r="J76" s="197"/>
      <c r="K76" s="139"/>
    </row>
    <row r="77" spans="1:11" ht="14.1" customHeight="1" x14ac:dyDescent="0.25">
      <c r="A77" s="248" t="s">
        <v>319</v>
      </c>
      <c r="B77" s="148">
        <v>7.2</v>
      </c>
      <c r="C77" s="148">
        <v>8.6</v>
      </c>
      <c r="D77" s="148">
        <v>4.5999999999999996</v>
      </c>
      <c r="E77" s="148">
        <v>4.7</v>
      </c>
      <c r="F77" s="140">
        <f>ROUND(ТАБ_20!E76/ТАБ_20!B76*1000,0)</f>
        <v>641</v>
      </c>
      <c r="G77" s="140">
        <f>ROUND(ТАБ_20!F76/ТАБ_20!C76*1000,0)</f>
        <v>554</v>
      </c>
      <c r="J77" s="197"/>
      <c r="K77" s="139"/>
    </row>
    <row r="78" spans="1:11" ht="14.1" customHeight="1" x14ac:dyDescent="0.25">
      <c r="A78" s="245" t="s">
        <v>81</v>
      </c>
      <c r="B78" s="148">
        <v>6.7</v>
      </c>
      <c r="C78" s="148">
        <v>7.9</v>
      </c>
      <c r="D78" s="148">
        <v>4.5999999999999996</v>
      </c>
      <c r="E78" s="148">
        <v>4.5999999999999996</v>
      </c>
      <c r="F78" s="140">
        <f>ROUND(ТАБ_20!E77/ТАБ_20!B77*1000,0)</f>
        <v>678</v>
      </c>
      <c r="G78" s="140">
        <f>ROUND(ТАБ_20!F77/ТАБ_20!C77*1000,0)</f>
        <v>581</v>
      </c>
      <c r="J78" s="197"/>
      <c r="K78" s="139"/>
    </row>
    <row r="79" spans="1:11" ht="14.1" customHeight="1" x14ac:dyDescent="0.25">
      <c r="A79" s="244" t="s">
        <v>82</v>
      </c>
      <c r="B79" s="147">
        <v>6.8</v>
      </c>
      <c r="C79" s="147">
        <v>7.9</v>
      </c>
      <c r="D79" s="147">
        <v>4.5</v>
      </c>
      <c r="E79" s="147">
        <v>4.5</v>
      </c>
      <c r="F79" s="141">
        <f>ROUND(ТАБ_20!E78/ТАБ_20!B78*1000,0)</f>
        <v>661</v>
      </c>
      <c r="G79" s="141">
        <f>ROUND(ТАБ_20!F78/ТАБ_20!C78*1000,0)</f>
        <v>576</v>
      </c>
      <c r="J79" s="190"/>
      <c r="K79" s="139"/>
    </row>
    <row r="80" spans="1:11" ht="14.1" customHeight="1" x14ac:dyDescent="0.25">
      <c r="A80" s="245" t="s">
        <v>83</v>
      </c>
      <c r="B80" s="148">
        <v>6.6</v>
      </c>
      <c r="C80" s="148">
        <v>7.4</v>
      </c>
      <c r="D80" s="148">
        <v>4.3</v>
      </c>
      <c r="E80" s="148">
        <v>4.0999999999999996</v>
      </c>
      <c r="F80" s="140">
        <f>ROUND(ТАБ_20!E79/ТАБ_20!B79*1000,0)</f>
        <v>658</v>
      </c>
      <c r="G80" s="140">
        <f>ROUND(ТАБ_20!F79/ТАБ_20!C79*1000,0)</f>
        <v>556</v>
      </c>
      <c r="J80" s="197"/>
      <c r="K80" s="139"/>
    </row>
    <row r="81" spans="1:11" ht="14.1" customHeight="1" x14ac:dyDescent="0.25">
      <c r="A81" s="245" t="s">
        <v>84</v>
      </c>
      <c r="B81" s="148">
        <v>5.7</v>
      </c>
      <c r="C81" s="148">
        <v>7.2</v>
      </c>
      <c r="D81" s="148">
        <v>3.6</v>
      </c>
      <c r="E81" s="148">
        <v>3.7</v>
      </c>
      <c r="F81" s="140">
        <f>ROUND(ТАБ_20!E80/ТАБ_20!B80*1000,0)</f>
        <v>633</v>
      </c>
      <c r="G81" s="140">
        <f>ROUND(ТАБ_20!F80/ТАБ_20!C80*1000,0)</f>
        <v>508</v>
      </c>
      <c r="J81" s="197"/>
      <c r="K81" s="139"/>
    </row>
    <row r="82" spans="1:11" ht="14.1" customHeight="1" x14ac:dyDescent="0.25">
      <c r="A82" s="245" t="s">
        <v>85</v>
      </c>
      <c r="B82" s="148">
        <v>5.5</v>
      </c>
      <c r="C82" s="148">
        <v>5.6</v>
      </c>
      <c r="D82" s="148">
        <v>1.6</v>
      </c>
      <c r="E82" s="148">
        <v>1.7</v>
      </c>
      <c r="F82" s="140">
        <f>ROUND(ТАБ_20!E81/ТАБ_20!B81*1000,0)</f>
        <v>290</v>
      </c>
      <c r="G82" s="140">
        <f>ROUND(ТАБ_20!F81/ТАБ_20!C81*1000,0)</f>
        <v>306</v>
      </c>
      <c r="J82" s="197"/>
      <c r="K82" s="139"/>
    </row>
    <row r="83" spans="1:11" ht="14.1" customHeight="1" x14ac:dyDescent="0.25">
      <c r="A83" s="245" t="s">
        <v>86</v>
      </c>
      <c r="B83" s="148">
        <v>6.6</v>
      </c>
      <c r="C83" s="148">
        <v>8.4</v>
      </c>
      <c r="D83" s="148">
        <v>4.5999999999999996</v>
      </c>
      <c r="E83" s="148">
        <v>4.5999999999999996</v>
      </c>
      <c r="F83" s="140">
        <f>ROUND(ТАБ_20!E82/ТАБ_20!B82*1000,0)</f>
        <v>704</v>
      </c>
      <c r="G83" s="140">
        <f>ROUND(ТАБ_20!F82/ТАБ_20!C82*1000,0)</f>
        <v>550</v>
      </c>
      <c r="J83" s="197"/>
      <c r="K83" s="139"/>
    </row>
    <row r="84" spans="1:11" ht="14.1" customHeight="1" x14ac:dyDescent="0.25">
      <c r="A84" s="245" t="s">
        <v>87</v>
      </c>
      <c r="B84" s="148">
        <v>6.1</v>
      </c>
      <c r="C84" s="148">
        <v>6.8</v>
      </c>
      <c r="D84" s="148">
        <v>4.4000000000000004</v>
      </c>
      <c r="E84" s="148">
        <v>4.5</v>
      </c>
      <c r="F84" s="140">
        <f>ROUND(ТАБ_20!E83/ТАБ_20!B83*1000,0)</f>
        <v>717</v>
      </c>
      <c r="G84" s="140">
        <f>ROUND(ТАБ_20!F83/ТАБ_20!C83*1000,0)</f>
        <v>658</v>
      </c>
      <c r="J84" s="197"/>
      <c r="K84" s="139"/>
    </row>
    <row r="85" spans="1:11" ht="14.1" customHeight="1" x14ac:dyDescent="0.25">
      <c r="A85" s="245" t="s">
        <v>88</v>
      </c>
      <c r="B85" s="148">
        <v>6.7</v>
      </c>
      <c r="C85" s="148">
        <v>8</v>
      </c>
      <c r="D85" s="148">
        <v>4.5</v>
      </c>
      <c r="E85" s="148">
        <v>4.4000000000000004</v>
      </c>
      <c r="F85" s="140">
        <f>ROUND(ТАБ_20!E84/ТАБ_20!B84*1000,0)</f>
        <v>675</v>
      </c>
      <c r="G85" s="140">
        <f>ROUND(ТАБ_20!F84/ТАБ_20!C84*1000,0)</f>
        <v>550</v>
      </c>
      <c r="J85" s="197"/>
      <c r="K85" s="139"/>
    </row>
    <row r="86" spans="1:11" ht="14.1" customHeight="1" x14ac:dyDescent="0.25">
      <c r="A86" s="245" t="s">
        <v>89</v>
      </c>
      <c r="B86" s="148">
        <v>7.3</v>
      </c>
      <c r="C86" s="148">
        <v>8.6999999999999993</v>
      </c>
      <c r="D86" s="148">
        <v>4.8</v>
      </c>
      <c r="E86" s="148">
        <v>4.8</v>
      </c>
      <c r="F86" s="140">
        <f>ROUND(ТАБ_20!E85/ТАБ_20!B85*1000,0)</f>
        <v>666</v>
      </c>
      <c r="G86" s="140">
        <f>ROUND(ТАБ_20!F85/ТАБ_20!C85*1000,0)</f>
        <v>559</v>
      </c>
      <c r="J86" s="197"/>
      <c r="K86" s="139"/>
    </row>
    <row r="87" spans="1:11" ht="14.1" customHeight="1" x14ac:dyDescent="0.25">
      <c r="A87" s="245" t="s">
        <v>90</v>
      </c>
      <c r="B87" s="148">
        <v>7.3</v>
      </c>
      <c r="C87" s="148">
        <v>8.9</v>
      </c>
      <c r="D87" s="148">
        <v>4.8</v>
      </c>
      <c r="E87" s="148">
        <v>4.9000000000000004</v>
      </c>
      <c r="F87" s="140">
        <f>ROUND(ТАБ_20!E86/ТАБ_20!B86*1000,0)</f>
        <v>661</v>
      </c>
      <c r="G87" s="140">
        <f>ROUND(ТАБ_20!F86/ТАБ_20!C86*1000,0)</f>
        <v>555</v>
      </c>
      <c r="J87" s="197"/>
      <c r="K87" s="139"/>
    </row>
    <row r="88" spans="1:11" ht="14.1" customHeight="1" x14ac:dyDescent="0.25">
      <c r="A88" s="245" t="s">
        <v>91</v>
      </c>
      <c r="B88" s="148">
        <v>6.2</v>
      </c>
      <c r="C88" s="148">
        <v>7</v>
      </c>
      <c r="D88" s="148">
        <v>4.5</v>
      </c>
      <c r="E88" s="148">
        <v>4.5</v>
      </c>
      <c r="F88" s="140">
        <f>ROUND(ТАБ_20!E87/ТАБ_20!B87*1000,0)</f>
        <v>718</v>
      </c>
      <c r="G88" s="140">
        <f>ROUND(ТАБ_20!F87/ТАБ_20!C87*1000,0)</f>
        <v>643</v>
      </c>
      <c r="J88" s="197"/>
      <c r="K88" s="139"/>
    </row>
    <row r="89" spans="1:11" ht="14.1" customHeight="1" x14ac:dyDescent="0.25">
      <c r="A89" s="245" t="s">
        <v>92</v>
      </c>
      <c r="B89" s="148">
        <v>7.5</v>
      </c>
      <c r="C89" s="148">
        <v>8.4</v>
      </c>
      <c r="D89" s="148">
        <v>4.7</v>
      </c>
      <c r="E89" s="148">
        <v>4.8</v>
      </c>
      <c r="F89" s="140">
        <f>ROUND(ТАБ_20!E88/ТАБ_20!B88*1000,0)</f>
        <v>625</v>
      </c>
      <c r="G89" s="140">
        <f>ROUND(ТАБ_20!F88/ТАБ_20!C88*1000,0)</f>
        <v>575</v>
      </c>
      <c r="J89" s="197"/>
      <c r="K89" s="139"/>
    </row>
    <row r="90" spans="1:11" ht="14.1" customHeight="1" x14ac:dyDescent="0.25">
      <c r="A90" s="245" t="s">
        <v>93</v>
      </c>
      <c r="B90" s="148">
        <v>6.8</v>
      </c>
      <c r="C90" s="148">
        <v>7.9</v>
      </c>
      <c r="D90" s="148">
        <v>4.4000000000000004</v>
      </c>
      <c r="E90" s="148">
        <v>4.4000000000000004</v>
      </c>
      <c r="F90" s="140">
        <f>ROUND(ТАБ_20!E89/ТАБ_20!B89*1000,0)</f>
        <v>647</v>
      </c>
      <c r="G90" s="140">
        <f>ROUND(ТАБ_20!F89/ТАБ_20!C89*1000,0)</f>
        <v>557</v>
      </c>
      <c r="J90" s="197"/>
      <c r="K90" s="139"/>
    </row>
    <row r="91" spans="1:11" ht="14.1" customHeight="1" x14ac:dyDescent="0.25">
      <c r="A91" s="245" t="s">
        <v>94</v>
      </c>
      <c r="B91" s="148">
        <v>7.1</v>
      </c>
      <c r="C91" s="148">
        <v>8</v>
      </c>
      <c r="D91" s="148">
        <v>4.4000000000000004</v>
      </c>
      <c r="E91" s="148">
        <v>4.5999999999999996</v>
      </c>
      <c r="F91" s="140">
        <f>ROUND(ТАБ_20!E90/ТАБ_20!B90*1000,0)</f>
        <v>612</v>
      </c>
      <c r="G91" s="140">
        <f>ROUND(ТАБ_20!F90/ТАБ_20!C90*1000,0)</f>
        <v>570</v>
      </c>
      <c r="J91" s="197"/>
      <c r="K91" s="139"/>
    </row>
    <row r="92" spans="1:11" ht="14.1" customHeight="1" x14ac:dyDescent="0.25">
      <c r="A92" s="249" t="s">
        <v>95</v>
      </c>
      <c r="B92" s="147">
        <v>7.6</v>
      </c>
      <c r="C92" s="147">
        <v>8.6</v>
      </c>
      <c r="D92" s="147">
        <v>5</v>
      </c>
      <c r="E92" s="147">
        <v>5.0999999999999996</v>
      </c>
      <c r="F92" s="141">
        <f>ROUND(ТАБ_20!E91/ТАБ_20!B91*1000,0)</f>
        <v>662</v>
      </c>
      <c r="G92" s="141">
        <f>ROUND(ТАБ_20!F91/ТАБ_20!C91*1000,0)</f>
        <v>597</v>
      </c>
      <c r="J92" s="190"/>
      <c r="K92" s="139"/>
    </row>
    <row r="93" spans="1:11" ht="14.1" customHeight="1" x14ac:dyDescent="0.25">
      <c r="A93" s="245" t="s">
        <v>96</v>
      </c>
      <c r="B93" s="148">
        <v>6.5</v>
      </c>
      <c r="C93" s="148">
        <v>8</v>
      </c>
      <c r="D93" s="148">
        <v>4.3</v>
      </c>
      <c r="E93" s="148">
        <v>4.3</v>
      </c>
      <c r="F93" s="140">
        <f>ROUND(ТАБ_20!E92/ТАБ_20!B92*1000,0)</f>
        <v>661</v>
      </c>
      <c r="G93" s="140">
        <f>ROUND(ТАБ_20!F92/ТАБ_20!C92*1000,0)</f>
        <v>533</v>
      </c>
      <c r="J93" s="197"/>
      <c r="K93" s="139"/>
    </row>
    <row r="94" spans="1:11" ht="14.1" customHeight="1" x14ac:dyDescent="0.25">
      <c r="A94" s="245" t="s">
        <v>97</v>
      </c>
      <c r="B94" s="148">
        <v>8.6</v>
      </c>
      <c r="C94" s="148">
        <v>9.4</v>
      </c>
      <c r="D94" s="148">
        <v>6.1</v>
      </c>
      <c r="E94" s="148">
        <v>5.7</v>
      </c>
      <c r="F94" s="140">
        <f>ROUND(ТАБ_20!E93/ТАБ_20!B93*1000,0)</f>
        <v>714</v>
      </c>
      <c r="G94" s="140">
        <f>ROUND(ТАБ_20!F93/ТАБ_20!C93*1000,0)</f>
        <v>608</v>
      </c>
      <c r="J94" s="197"/>
      <c r="K94" s="139"/>
    </row>
    <row r="95" spans="1:11" ht="14.1" customHeight="1" x14ac:dyDescent="0.25">
      <c r="A95" s="245" t="s">
        <v>98</v>
      </c>
      <c r="B95" s="148">
        <v>7.9</v>
      </c>
      <c r="C95" s="148">
        <v>8.9</v>
      </c>
      <c r="D95" s="148">
        <v>4.8</v>
      </c>
      <c r="E95" s="148">
        <v>5</v>
      </c>
      <c r="F95" s="140">
        <f>ROUND(ТАБ_20!E94/ТАБ_20!B94*1000,0)</f>
        <v>610</v>
      </c>
      <c r="G95" s="140">
        <f>ROUND(ТАБ_20!F94/ТАБ_20!C94*1000,0)</f>
        <v>561</v>
      </c>
      <c r="J95" s="197"/>
      <c r="K95" s="139"/>
    </row>
    <row r="96" spans="1:11" ht="14.1" customHeight="1" x14ac:dyDescent="0.25">
      <c r="A96" s="245" t="s">
        <v>99</v>
      </c>
      <c r="B96" s="148">
        <v>7.7</v>
      </c>
      <c r="C96" s="148">
        <v>8.6999999999999993</v>
      </c>
      <c r="D96" s="148">
        <v>5.2</v>
      </c>
      <c r="E96" s="148">
        <v>5.4</v>
      </c>
      <c r="F96" s="140">
        <f>ROUND(ТАБ_20!E95/ТАБ_20!B95*1000,0)</f>
        <v>672</v>
      </c>
      <c r="G96" s="140">
        <f>ROUND(ТАБ_20!F95/ТАБ_20!C95*1000,0)</f>
        <v>614</v>
      </c>
      <c r="J96" s="197"/>
      <c r="K96" s="139"/>
    </row>
    <row r="97" spans="1:11" ht="14.1" customHeight="1" x14ac:dyDescent="0.25">
      <c r="A97" s="245" t="s">
        <v>100</v>
      </c>
      <c r="B97" s="148">
        <v>7.2</v>
      </c>
      <c r="C97" s="148">
        <v>7.9</v>
      </c>
      <c r="D97" s="148">
        <v>5.0999999999999996</v>
      </c>
      <c r="E97" s="148">
        <v>5.0999999999999996</v>
      </c>
      <c r="F97" s="140">
        <f>ROUND(ТАБ_20!E96/ТАБ_20!B96*1000,0)</f>
        <v>705</v>
      </c>
      <c r="G97" s="140">
        <f>ROUND(ТАБ_20!F96/ТАБ_20!C96*1000,0)</f>
        <v>652</v>
      </c>
      <c r="J97" s="197"/>
      <c r="K97" s="139"/>
    </row>
    <row r="98" spans="1:11" ht="14.1" customHeight="1" x14ac:dyDescent="0.25">
      <c r="A98" s="245" t="s">
        <v>101</v>
      </c>
      <c r="B98" s="148">
        <v>7.4</v>
      </c>
      <c r="C98" s="148">
        <v>8.5</v>
      </c>
      <c r="D98" s="148">
        <v>6.4</v>
      </c>
      <c r="E98" s="148">
        <v>6.2</v>
      </c>
      <c r="F98" s="140">
        <f>ROUND(ТАБ_20!E97/ТАБ_20!B97*1000,0)</f>
        <v>858</v>
      </c>
      <c r="G98" s="140">
        <f>ROUND(ТАБ_20!F97/ТАБ_20!C97*1000,0)</f>
        <v>732</v>
      </c>
      <c r="J98" s="197"/>
      <c r="K98" s="139"/>
    </row>
    <row r="99" spans="1:11" ht="14.1" customHeight="1" x14ac:dyDescent="0.25">
      <c r="A99" s="245" t="s">
        <v>102</v>
      </c>
      <c r="B99" s="148">
        <v>8.3000000000000007</v>
      </c>
      <c r="C99" s="148">
        <v>8.9</v>
      </c>
      <c r="D99" s="148">
        <v>5.7</v>
      </c>
      <c r="E99" s="148">
        <v>5.9</v>
      </c>
      <c r="F99" s="140">
        <f>ROUND(ТАБ_20!E98/ТАБ_20!B98*1000,0)</f>
        <v>688</v>
      </c>
      <c r="G99" s="140">
        <f>ROUND(ТАБ_20!F98/ТАБ_20!C98*1000,0)</f>
        <v>666</v>
      </c>
      <c r="J99" s="197"/>
      <c r="K99" s="139"/>
    </row>
    <row r="100" spans="1:11" ht="14.1" customHeight="1" x14ac:dyDescent="0.25">
      <c r="A100" s="245" t="s">
        <v>103</v>
      </c>
      <c r="B100" s="148">
        <v>7.4</v>
      </c>
      <c r="C100" s="148">
        <v>8</v>
      </c>
      <c r="D100" s="148">
        <v>4.7</v>
      </c>
      <c r="E100" s="148">
        <v>4.9000000000000004</v>
      </c>
      <c r="F100" s="140">
        <f>ROUND(ТАБ_20!E99/ТАБ_20!B99*1000,0)</f>
        <v>631</v>
      </c>
      <c r="G100" s="140">
        <f>ROUND(ТАБ_20!F99/ТАБ_20!C99*1000,0)</f>
        <v>611</v>
      </c>
      <c r="J100" s="197"/>
      <c r="K100" s="139"/>
    </row>
    <row r="101" spans="1:11" s="142" customFormat="1" ht="14.1" customHeight="1" x14ac:dyDescent="0.25">
      <c r="A101" s="320" t="s">
        <v>104</v>
      </c>
      <c r="B101" s="354">
        <v>7.1</v>
      </c>
      <c r="C101" s="354">
        <v>8.3000000000000007</v>
      </c>
      <c r="D101" s="354">
        <v>5.2</v>
      </c>
      <c r="E101" s="354">
        <v>5.6</v>
      </c>
      <c r="F101" s="355">
        <f>ROUND(ТАБ_20!E100/ТАБ_20!B100*1000,0)</f>
        <v>733</v>
      </c>
      <c r="G101" s="355">
        <f>ROUND(ТАБ_20!F100/ТАБ_20!C100*1000,0)</f>
        <v>677</v>
      </c>
      <c r="H101"/>
      <c r="J101" s="197"/>
      <c r="K101" s="139"/>
    </row>
    <row r="103" spans="1:11" x14ac:dyDescent="0.25">
      <c r="A103" s="129" t="s">
        <v>202</v>
      </c>
      <c r="B103" s="131" t="s">
        <v>203</v>
      </c>
      <c r="C103" s="129"/>
      <c r="D103" s="131"/>
      <c r="E103" s="129"/>
      <c r="F103" s="129"/>
      <c r="H103" s="142"/>
      <c r="I103" s="142"/>
      <c r="J103" s="142"/>
    </row>
    <row r="104" spans="1:11" x14ac:dyDescent="0.25">
      <c r="A104" s="5"/>
      <c r="B104" s="129" t="s">
        <v>204</v>
      </c>
      <c r="C104" s="129"/>
      <c r="D104" s="129"/>
      <c r="E104" s="129"/>
      <c r="F104" s="580" t="s">
        <v>312</v>
      </c>
      <c r="G104" s="580"/>
      <c r="H104" s="311"/>
      <c r="I104" s="142"/>
    </row>
    <row r="105" spans="1:11" x14ac:dyDescent="0.25">
      <c r="A105" s="5"/>
      <c r="B105" s="129"/>
      <c r="C105" s="129"/>
      <c r="D105" s="129"/>
      <c r="E105" s="129"/>
      <c r="F105" s="356"/>
      <c r="G105" s="356"/>
      <c r="H105" s="311"/>
      <c r="I105" s="142"/>
    </row>
    <row r="107" spans="1:11" x14ac:dyDescent="0.25">
      <c r="B107" s="129"/>
      <c r="C107" s="129"/>
      <c r="D107" s="129"/>
      <c r="E107" s="129"/>
      <c r="F107" s="129"/>
      <c r="G107" s="129"/>
    </row>
    <row r="108" spans="1:11" x14ac:dyDescent="0.25">
      <c r="B108" s="129"/>
      <c r="D108" s="129"/>
    </row>
  </sheetData>
  <mergeCells count="6">
    <mergeCell ref="F104:G104"/>
    <mergeCell ref="A1:G1"/>
    <mergeCell ref="A3:A5"/>
    <mergeCell ref="B3:C4"/>
    <mergeCell ref="D3:E4"/>
    <mergeCell ref="F3:G4"/>
  </mergeCells>
  <phoneticPr fontId="49" type="noConversion"/>
  <printOptions horizontalCentered="1"/>
  <pageMargins left="0.70866141732283472" right="0.70866141732283472" top="0.70866141732283472" bottom="0.11811023622047245" header="0.31496062992125984" footer="0.31496062992125984"/>
  <pageSetup paperSize="9" firstPageNumber="54" orientation="landscape" useFirstPageNumber="1" r:id="rId1"/>
  <headerFooter>
    <oddHeader>&amp;C&amp;"Arial,обычный"&amp;10&amp;P</oddHeader>
  </headerFooter>
  <rowBreaks count="2" manualBreakCount="2">
    <brk id="38" max="16383" man="1"/>
    <brk id="7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25</vt:i4>
      </vt:variant>
      <vt:variant>
        <vt:lpstr>Именованные диапазоны</vt:lpstr>
      </vt:variant>
      <vt:variant>
        <vt:i4>29</vt:i4>
      </vt:variant>
    </vt:vector>
  </HeadingPairs>
  <TitlesOfParts>
    <vt:vector size="54" baseType="lpstr">
      <vt:lpstr>обложка</vt:lpstr>
      <vt:lpstr>титул</vt:lpstr>
      <vt:lpstr>содержание</vt:lpstr>
      <vt:lpstr>предисловие</vt:lpstr>
      <vt:lpstr>ТАБ_1 </vt:lpstr>
      <vt:lpstr>ТАБ_2</vt:lpstr>
      <vt:lpstr>ТАБ_3</vt:lpstr>
      <vt:lpstr>ТАБ_4</vt:lpstr>
      <vt:lpstr>ТАБ_5</vt:lpstr>
      <vt:lpstr>ТАБ_6</vt:lpstr>
      <vt:lpstr>ТАБ_7</vt:lpstr>
      <vt:lpstr>ТАБ_8</vt:lpstr>
      <vt:lpstr>ТАБ_9</vt:lpstr>
      <vt:lpstr>ТАБ_10</vt:lpstr>
      <vt:lpstr>ТАБ_11</vt:lpstr>
      <vt:lpstr>ТАБ_12</vt:lpstr>
      <vt:lpstr>ТАБ_13</vt:lpstr>
      <vt:lpstr>ТАБ_14</vt:lpstr>
      <vt:lpstr>ТАБ_15</vt:lpstr>
      <vt:lpstr>ТАБ_16</vt:lpstr>
      <vt:lpstr>ТАБ_17</vt:lpstr>
      <vt:lpstr>ТАБ_18</vt:lpstr>
      <vt:lpstr>ТАБ_19</vt:lpstr>
      <vt:lpstr>ТАБ_20</vt:lpstr>
      <vt:lpstr>ТАБ_21</vt:lpstr>
      <vt:lpstr>ТАБ_10!Заголовки_для_печати</vt:lpstr>
      <vt:lpstr>ТАБ_11!Заголовки_для_печати</vt:lpstr>
      <vt:lpstr>ТАБ_12!Заголовки_для_печати</vt:lpstr>
      <vt:lpstr>ТАБ_13!Заголовки_для_печати</vt:lpstr>
      <vt:lpstr>ТАБ_14!Заголовки_для_печати</vt:lpstr>
      <vt:lpstr>ТАБ_15!Заголовки_для_печати</vt:lpstr>
      <vt:lpstr>ТАБ_16!Заголовки_для_печати</vt:lpstr>
      <vt:lpstr>ТАБ_17!Заголовки_для_печати</vt:lpstr>
      <vt:lpstr>ТАБ_18!Заголовки_для_печати</vt:lpstr>
      <vt:lpstr>ТАБ_19!Заголовки_для_печати</vt:lpstr>
      <vt:lpstr>ТАБ_2!Заголовки_для_печати</vt:lpstr>
      <vt:lpstr>ТАБ_20!Заголовки_для_печати</vt:lpstr>
      <vt:lpstr>ТАБ_21!Заголовки_для_печати</vt:lpstr>
      <vt:lpstr>ТАБ_3!Заголовки_для_печати</vt:lpstr>
      <vt:lpstr>ТАБ_4!Заголовки_для_печати</vt:lpstr>
      <vt:lpstr>ТАБ_5!Заголовки_для_печати</vt:lpstr>
      <vt:lpstr>ТАБ_6!Заголовки_для_печати</vt:lpstr>
      <vt:lpstr>ТАБ_8!Заголовки_для_печати</vt:lpstr>
      <vt:lpstr>ТАБ_9!Заголовки_для_печати</vt:lpstr>
      <vt:lpstr>обложка!Область_печати</vt:lpstr>
      <vt:lpstr>содержание!Область_печати</vt:lpstr>
      <vt:lpstr>'ТАБ_1 '!Область_печати</vt:lpstr>
      <vt:lpstr>ТАБ_16!Область_печати</vt:lpstr>
      <vt:lpstr>ТАБ_17!Область_печати</vt:lpstr>
      <vt:lpstr>ТАБ_19!Область_печати</vt:lpstr>
      <vt:lpstr>ТАБ_21!Область_печати</vt:lpstr>
      <vt:lpstr>ТАБ_6!Область_печати</vt:lpstr>
      <vt:lpstr>ТАБ_8!Область_печати</vt:lpstr>
      <vt:lpstr>титул!Область_печати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Antipova</dc:creator>
  <cp:lastModifiedBy>Лялина Е.А.</cp:lastModifiedBy>
  <cp:lastPrinted>2017-05-19T11:20:52Z</cp:lastPrinted>
  <dcterms:created xsi:type="dcterms:W3CDTF">2014-05-20T10:03:23Z</dcterms:created>
  <dcterms:modified xsi:type="dcterms:W3CDTF">2017-05-30T11:41:57Z</dcterms:modified>
</cp:coreProperties>
</file>