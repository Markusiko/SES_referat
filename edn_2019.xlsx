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 defaultThemeVersion="124226"/>
  <bookViews>
    <workbookView xWindow="6780" yWindow="555" windowWidth="16200" windowHeight="9555" firstSheet="3" activeTab="15"/>
  </bookViews>
  <sheets>
    <sheet name="обложка" sheetId="1" r:id="rId1"/>
    <sheet name="титул" sheetId="2" r:id="rId2"/>
    <sheet name="содержание" sheetId="3" r:id="rId3"/>
    <sheet name="предисловие" sheetId="4" r:id="rId4"/>
    <sheet name="ТАБ_1 " sheetId="5" r:id="rId5"/>
    <sheet name="ТАБ_2" sheetId="6" r:id="rId6"/>
    <sheet name="ТАБ_3" sheetId="7" r:id="rId7"/>
    <sheet name="ТАБ_4" sheetId="8" r:id="rId8"/>
    <sheet name="ТАБ_5" sheetId="9" r:id="rId9"/>
    <sheet name="ТАБ_6" sheetId="25" r:id="rId10"/>
    <sheet name="ТАБ_7" sheetId="10" r:id="rId11"/>
    <sheet name="ТАБ_8" sheetId="11" r:id="rId12"/>
    <sheet name="ТАБ_9" sheetId="12" r:id="rId13"/>
    <sheet name="ТАБ_10" sheetId="13" r:id="rId14"/>
    <sheet name="ТАБ_11" sheetId="14" r:id="rId15"/>
    <sheet name="ТАБ_12" sheetId="15" r:id="rId16"/>
    <sheet name="ТАБ_13" sheetId="16" r:id="rId17"/>
    <sheet name="ТАБ_14" sheetId="17" r:id="rId18"/>
    <sheet name="ТАБ_15" sheetId="18" r:id="rId19"/>
    <sheet name="ТАБ_16" sheetId="19" r:id="rId20"/>
    <sheet name="ТАБ_17" sheetId="20" r:id="rId21"/>
    <sheet name="ТАБ_18" sheetId="21" r:id="rId22"/>
    <sheet name="ТАБ_19" sheetId="22" r:id="rId23"/>
    <sheet name="ТАБ_20" sheetId="23" r:id="rId24"/>
    <sheet name="ТАБ_21" sheetId="24" r:id="rId25"/>
  </sheets>
  <definedNames>
    <definedName name="_xlnm.Print_Titles" localSheetId="13">ТАБ_10!$4:$5</definedName>
    <definedName name="_xlnm.Print_Titles" localSheetId="14">ТАБ_11!$4:$5</definedName>
    <definedName name="_xlnm.Print_Titles" localSheetId="15">ТАБ_12!$4:$5</definedName>
    <definedName name="_xlnm.Print_Titles" localSheetId="16">ТАБ_13!$3:$4</definedName>
    <definedName name="_xlnm.Print_Titles" localSheetId="17">ТАБ_14!$3:$4</definedName>
    <definedName name="_xlnm.Print_Titles" localSheetId="18">ТАБ_15!$3:$4</definedName>
    <definedName name="_xlnm.Print_Titles" localSheetId="19">ТАБ_16!$3:$5</definedName>
    <definedName name="_xlnm.Print_Titles" localSheetId="20">ТАБ_17!$3:$5</definedName>
    <definedName name="_xlnm.Print_Titles" localSheetId="21">ТАБ_18!$4:$5</definedName>
    <definedName name="_xlnm.Print_Titles" localSheetId="22">ТАБ_19!$4:$5</definedName>
    <definedName name="_xlnm.Print_Titles" localSheetId="5">ТАБ_2!$3:$5</definedName>
    <definedName name="_xlnm.Print_Titles" localSheetId="23">ТАБ_20!$3:$4</definedName>
    <definedName name="_xlnm.Print_Titles" localSheetId="24">ТАБ_21!$3:$5</definedName>
    <definedName name="_xlnm.Print_Titles" localSheetId="6">ТАБ_3!$4:$6</definedName>
    <definedName name="_xlnm.Print_Titles" localSheetId="7">ТАБ_4!$4:$5</definedName>
    <definedName name="_xlnm.Print_Titles" localSheetId="8">ТАБ_5!$4:$4</definedName>
    <definedName name="_xlnm.Print_Titles" localSheetId="9">ТАБ_6!$4:$5</definedName>
    <definedName name="_xlnm.Print_Titles" localSheetId="11">ТАБ_8!$3:$5</definedName>
    <definedName name="_xlnm.Print_Area" localSheetId="0">обложка!$A$1:$L$31</definedName>
    <definedName name="_xlnm.Print_Area" localSheetId="2">содержание!$A$1:$D$35</definedName>
    <definedName name="_xlnm.Print_Area" localSheetId="4">'ТАБ_1 '!$A$1:$F$23</definedName>
    <definedName name="_xlnm.Print_Area" localSheetId="19">ТАБ_16!$A$1:$F$102</definedName>
    <definedName name="_xlnm.Print_Area" localSheetId="20">ТАБ_17!$A$1:$F$31</definedName>
    <definedName name="_xlnm.Print_Area" localSheetId="22">ТАБ_19!$A$1:$H$101</definedName>
    <definedName name="_xlnm.Print_Area" localSheetId="24">ТАБ_21!$A$1:$G$106</definedName>
    <definedName name="_xlnm.Print_Area" localSheetId="9">ТАБ_6!$A$1:$H$57</definedName>
    <definedName name="_xlnm.Print_Area" localSheetId="11">ТАБ_8!$A$1:$F$53</definedName>
    <definedName name="_xlnm.Print_Area" localSheetId="1">титул!$A$1:$L$31</definedName>
  </definedNames>
  <calcPr calcId="145621"/>
  <fileRecoveryPr autoRecover="0"/>
</workbook>
</file>

<file path=xl/calcChain.xml><?xml version="1.0" encoding="utf-8"?>
<calcChain xmlns="http://schemas.openxmlformats.org/spreadsheetml/2006/main">
  <c r="D22" i="11" l="1"/>
  <c r="D8" i="20" l="1"/>
  <c r="D10" i="20"/>
  <c r="D11" i="20"/>
  <c r="D12" i="20"/>
  <c r="D13" i="20"/>
  <c r="D14" i="20"/>
  <c r="D15" i="20"/>
  <c r="D17" i="20"/>
  <c r="D18" i="20"/>
  <c r="D19" i="20"/>
  <c r="D20" i="20"/>
  <c r="D22" i="20"/>
  <c r="D23" i="20"/>
  <c r="D24" i="20"/>
  <c r="D26" i="20"/>
  <c r="D27" i="20"/>
  <c r="D28" i="20"/>
  <c r="D29" i="20"/>
  <c r="D30" i="20"/>
  <c r="D31" i="20"/>
  <c r="D6" i="20"/>
  <c r="B8" i="18" l="1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6" i="18"/>
  <c r="B7" i="18"/>
  <c r="B5" i="18"/>
  <c r="D42" i="11" l="1"/>
  <c r="D43" i="11"/>
  <c r="D41" i="11"/>
  <c r="D32" i="11"/>
  <c r="D33" i="11"/>
  <c r="D7" i="11" l="1"/>
  <c r="D9" i="11"/>
  <c r="D10" i="11"/>
  <c r="D11" i="11"/>
  <c r="D12" i="11"/>
  <c r="D13" i="11"/>
  <c r="D14" i="11"/>
  <c r="D16" i="11"/>
  <c r="D17" i="11"/>
  <c r="D18" i="11"/>
  <c r="D19" i="11"/>
  <c r="D20" i="11"/>
  <c r="D21" i="11"/>
  <c r="D23" i="11"/>
  <c r="D24" i="11"/>
  <c r="D25" i="11"/>
  <c r="D28" i="11"/>
  <c r="D29" i="11"/>
  <c r="D30" i="11"/>
  <c r="D31" i="11"/>
  <c r="D34" i="11"/>
  <c r="D35" i="11"/>
  <c r="D36" i="11"/>
  <c r="D37" i="11"/>
  <c r="D38" i="11"/>
  <c r="D39" i="11"/>
  <c r="D40" i="11"/>
  <c r="D45" i="11"/>
  <c r="D46" i="11"/>
  <c r="D6" i="11"/>
  <c r="F7" i="24" l="1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81" i="24"/>
  <c r="F82" i="24"/>
  <c r="F83" i="24"/>
  <c r="F84" i="24"/>
  <c r="F85" i="24"/>
  <c r="F86" i="24"/>
  <c r="F87" i="24"/>
  <c r="F88" i="24"/>
  <c r="F89" i="24"/>
  <c r="F90" i="24"/>
  <c r="F91" i="24"/>
  <c r="F92" i="24"/>
  <c r="F93" i="24"/>
  <c r="F94" i="24"/>
  <c r="F95" i="24"/>
  <c r="F96" i="24"/>
  <c r="F97" i="24"/>
  <c r="F98" i="24"/>
  <c r="F99" i="24"/>
  <c r="F100" i="24"/>
  <c r="F101" i="24"/>
  <c r="F6" i="24"/>
  <c r="C7" i="8" l="1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6" i="8"/>
  <c r="F8" i="7" l="1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7" i="7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6" i="23"/>
  <c r="G7" i="23"/>
  <c r="G5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6" i="23"/>
  <c r="D7" i="23"/>
  <c r="D5" i="23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7" i="19"/>
  <c r="D8" i="19"/>
  <c r="D6" i="19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6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7" i="6"/>
  <c r="G8" i="6"/>
  <c r="G6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7" i="6"/>
  <c r="D8" i="6"/>
  <c r="D6" i="6"/>
  <c r="D11" i="5"/>
  <c r="D10" i="5"/>
  <c r="D8" i="5"/>
  <c r="D7" i="5"/>
  <c r="D6" i="5"/>
  <c r="G7" i="24" l="1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G60" i="24"/>
  <c r="G61" i="24"/>
  <c r="G62" i="24"/>
  <c r="G63" i="24"/>
  <c r="G64" i="24"/>
  <c r="G65" i="24"/>
  <c r="G66" i="24"/>
  <c r="G67" i="24"/>
  <c r="G68" i="24"/>
  <c r="G69" i="24"/>
  <c r="G70" i="24"/>
  <c r="G71" i="24"/>
  <c r="G72" i="24"/>
  <c r="G73" i="24"/>
  <c r="G74" i="24"/>
  <c r="G75" i="24"/>
  <c r="G76" i="24"/>
  <c r="G77" i="24"/>
  <c r="G78" i="24"/>
  <c r="G79" i="24"/>
  <c r="G80" i="24"/>
  <c r="G81" i="24"/>
  <c r="G82" i="24"/>
  <c r="G83" i="24"/>
  <c r="G84" i="24"/>
  <c r="G85" i="24"/>
  <c r="G86" i="24"/>
  <c r="G87" i="24"/>
  <c r="G88" i="24"/>
  <c r="G89" i="24"/>
  <c r="G90" i="24"/>
  <c r="G91" i="24"/>
  <c r="G92" i="24"/>
  <c r="G93" i="24"/>
  <c r="G94" i="24"/>
  <c r="G95" i="24"/>
  <c r="G96" i="24"/>
  <c r="G97" i="24"/>
  <c r="G98" i="24"/>
  <c r="G99" i="24"/>
  <c r="G100" i="24"/>
  <c r="G101" i="24"/>
  <c r="G6" i="24"/>
  <c r="E90" i="8" l="1"/>
  <c r="E7" i="8" l="1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91" i="8"/>
  <c r="E81" i="8"/>
  <c r="E82" i="8"/>
  <c r="E83" i="8"/>
  <c r="E93" i="8"/>
  <c r="E84" i="8"/>
  <c r="E85" i="8"/>
  <c r="E86" i="8"/>
  <c r="E87" i="8"/>
  <c r="E88" i="8"/>
  <c r="E89" i="8"/>
  <c r="E92" i="8"/>
  <c r="E94" i="8"/>
  <c r="E95" i="8"/>
  <c r="E96" i="8"/>
  <c r="E97" i="8"/>
  <c r="E98" i="8"/>
  <c r="E99" i="8"/>
  <c r="E100" i="8"/>
  <c r="E101" i="8"/>
  <c r="E6" i="8"/>
</calcChain>
</file>

<file path=xl/sharedStrings.xml><?xml version="1.0" encoding="utf-8"?>
<sst xmlns="http://schemas.openxmlformats.org/spreadsheetml/2006/main" count="1824" uniqueCount="371">
  <si>
    <t xml:space="preserve">ФЕДЕРАЛЬНАЯ СЛУЖБА ГОСУДАРСТВЕННОЙ СТАТИСТИКИ </t>
  </si>
  <si>
    <t>ЕСТЕСТВЕННОЕ ДВИЖЕНИЕ НАСЕЛЕНИЯ</t>
  </si>
  <si>
    <t>РОССИЙСКОЙ ФЕДЕРАЦИИ</t>
  </si>
  <si>
    <t>(Статистический бюллетень)</t>
  </si>
  <si>
    <t>№ табл.</t>
  </si>
  <si>
    <t>СОДЕРЖАНИЕ</t>
  </si>
  <si>
    <t>стр.</t>
  </si>
  <si>
    <t xml:space="preserve">   Естественный прирост, (убыль)          </t>
  </si>
  <si>
    <t>2. РОДИВШИЕСЯ, УМЕРШИЕ И ЕСТЕСТВЕННЫЙ ПРИРОСТ НАСЕЛЕНИЯ ПО СУБЪЕКТАМ РОССИЙСКОЙ ФЕДЕРАЦИИ</t>
  </si>
  <si>
    <t xml:space="preserve">  Число родившихся</t>
  </si>
  <si>
    <t>Прирост, снижение           /-/</t>
  </si>
  <si>
    <t xml:space="preserve">  Число  умерших</t>
  </si>
  <si>
    <t>Естественный прирост, убыль (-)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</si>
  <si>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</si>
  <si>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</si>
  <si>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</si>
  <si>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</si>
  <si>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</si>
  <si>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</si>
  <si>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</si>
  <si>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</si>
  <si>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</si>
  <si>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</si>
  <si>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</si>
  <si>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</si>
  <si>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</si>
  <si>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</si>
  <si>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</si>
  <si>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</si>
  <si>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</si>
  <si>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</si>
  <si>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</si>
  <si>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</si>
  <si>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</si>
  <si>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</si>
  <si>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</si>
  <si>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</si>
  <si>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</si>
  <si>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</si>
  <si>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</si>
  <si>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</si>
  <si>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</si>
  <si>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</si>
  <si>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</si>
  <si>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</si>
  <si>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</si>
  <si>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</si>
  <si>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</si>
  <si>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</si>
  <si>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</si>
  <si>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</si>
  <si>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</si>
  <si>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</si>
  <si>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</si>
  <si>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</si>
  <si>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</si>
  <si>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</si>
  <si>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</si>
  <si>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</si>
  <si>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</si>
  <si>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</si>
  <si>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</si>
  <si>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</si>
  <si>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</si>
  <si>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</si>
  <si>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</si>
  <si>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</si>
  <si>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</si>
  <si>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</si>
  <si>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</si>
  <si>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</si>
  <si>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</si>
  <si>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</si>
  <si>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</si>
  <si>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</si>
  <si>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</si>
  <si>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</si>
  <si>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</si>
  <si>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</si>
  <si>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Ханты-Мансийский автономный округ - Югра</t>
  </si>
  <si>
    <t xml:space="preserve">  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</si>
  <si>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</si>
  <si>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</si>
  <si>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</si>
  <si>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</si>
  <si>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</si>
  <si>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</si>
  <si>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</si>
  <si>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</si>
  <si>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</si>
  <si>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</si>
  <si>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</si>
  <si>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</si>
  <si>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Oмская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</si>
  <si>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</si>
  <si>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</si>
  <si>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</si>
  <si>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</si>
  <si>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</si>
  <si>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</si>
  <si>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</si>
  <si>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</si>
  <si>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</si>
  <si>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</si>
  <si>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</si>
  <si>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 xml:space="preserve">3. ОБЩИЕ КОЭФФИЦИЕНТЫ РОЖДАЕМОСТИ, СМЕРТНОСТИ, ЕСТЕСТВЕННОГО  ПРИРОСТА НАСЕЛЕНИЯ </t>
  </si>
  <si>
    <t xml:space="preserve"> ПО СУБЪЕКТАМ РОССИЙСКОЙ ФЕДЕРАЦИИ</t>
  </si>
  <si>
    <t>Естественный прирост, убыль ( - )</t>
  </si>
  <si>
    <t xml:space="preserve">4. РОДИВШИЕСЯ ЖИВЫМИ У ЖЕНЩИН, НЕ СОСТОЯВШИХ В ЗАРЕГИСТРИРОВАННОМ БРАКЕ,    </t>
  </si>
  <si>
    <t>ПО СУБЪЕКТАМ  РОССИЙСКОЙ ФЕДЕРАЦИИ</t>
  </si>
  <si>
    <t xml:space="preserve"> % к общему числу родившихся</t>
  </si>
  <si>
    <t>5. РОДИВШИЕСЯ ВНЕ БРАКА ПО ВОЗРАСТУ МАТЕРИ</t>
  </si>
  <si>
    <t>14 и моложе</t>
  </si>
  <si>
    <t>15-17</t>
  </si>
  <si>
    <t>18-19</t>
  </si>
  <si>
    <t>20-24</t>
  </si>
  <si>
    <t>25-29</t>
  </si>
  <si>
    <t>30-34</t>
  </si>
  <si>
    <t>35-39</t>
  </si>
  <si>
    <t>40-44</t>
  </si>
  <si>
    <t>45-49</t>
  </si>
  <si>
    <t>50-54</t>
  </si>
  <si>
    <t>55 и более</t>
  </si>
  <si>
    <t>неиз-вестно</t>
  </si>
  <si>
    <t>Образование</t>
  </si>
  <si>
    <t>всего</t>
  </si>
  <si>
    <t>в том числе:</t>
  </si>
  <si>
    <t>Всего</t>
  </si>
  <si>
    <t xml:space="preserve">  высшее профессиональное</t>
  </si>
  <si>
    <t xml:space="preserve">  неполное высшее профессиональное</t>
  </si>
  <si>
    <t xml:space="preserve">  среднее профессиональное</t>
  </si>
  <si>
    <t xml:space="preserve">  начальное профессиональное</t>
  </si>
  <si>
    <t xml:space="preserve">  среднее (полное) общее</t>
  </si>
  <si>
    <t xml:space="preserve">  основное общее</t>
  </si>
  <si>
    <t xml:space="preserve">  начальное общее</t>
  </si>
  <si>
    <t xml:space="preserve">  не имеющие начального общего </t>
  </si>
  <si>
    <t xml:space="preserve">  не указавшие </t>
  </si>
  <si>
    <t xml:space="preserve">Число умерших </t>
  </si>
  <si>
    <t xml:space="preserve">       из них от:</t>
  </si>
  <si>
    <t xml:space="preserve">       ишемических болезней сердца</t>
  </si>
  <si>
    <t xml:space="preserve">       цереброваскулярных болезней</t>
  </si>
  <si>
    <t>ЗА</t>
  </si>
  <si>
    <t>1998 год</t>
  </si>
  <si>
    <t>некоторых инфекционных и паразитарных болезней</t>
  </si>
  <si>
    <t>в том числе от туберкулеза</t>
  </si>
  <si>
    <t xml:space="preserve"> новообразова-ний</t>
  </si>
  <si>
    <t xml:space="preserve">болезней системы кровообраще-ния </t>
  </si>
  <si>
    <t>болезней органов дыхания</t>
  </si>
  <si>
    <t xml:space="preserve"> болезней органов пищеварения</t>
  </si>
  <si>
    <t>внешних причин</t>
  </si>
  <si>
    <t xml:space="preserve"> случайных утоплений</t>
  </si>
  <si>
    <t xml:space="preserve"> самоубийств</t>
  </si>
  <si>
    <t xml:space="preserve"> убийств</t>
  </si>
  <si>
    <t>Возраст</t>
  </si>
  <si>
    <t xml:space="preserve"> до 1 года</t>
  </si>
  <si>
    <t xml:space="preserve"> 0-27 дней</t>
  </si>
  <si>
    <t xml:space="preserve"> 1-4 </t>
  </si>
  <si>
    <t xml:space="preserve"> 5-9 </t>
  </si>
  <si>
    <t xml:space="preserve"> 10-14           </t>
  </si>
  <si>
    <t xml:space="preserve"> 15-19          </t>
  </si>
  <si>
    <t xml:space="preserve"> 20-24         </t>
  </si>
  <si>
    <t xml:space="preserve"> 25-29         </t>
  </si>
  <si>
    <t xml:space="preserve"> 30-34          </t>
  </si>
  <si>
    <t xml:space="preserve"> 35-39          </t>
  </si>
  <si>
    <t xml:space="preserve"> 40-44          </t>
  </si>
  <si>
    <t xml:space="preserve"> 45-49          </t>
  </si>
  <si>
    <t xml:space="preserve"> 50-54          </t>
  </si>
  <si>
    <t xml:space="preserve"> 55-59          </t>
  </si>
  <si>
    <t xml:space="preserve"> 60-64          </t>
  </si>
  <si>
    <t xml:space="preserve"> 65-69          </t>
  </si>
  <si>
    <t xml:space="preserve"> 70-74          </t>
  </si>
  <si>
    <t xml:space="preserve"> 75-79         </t>
  </si>
  <si>
    <t xml:space="preserve"> 80-84          </t>
  </si>
  <si>
    <t xml:space="preserve"> не указан   </t>
  </si>
  <si>
    <t xml:space="preserve"> Всего  </t>
  </si>
  <si>
    <t xml:space="preserve"> в т.ч. в трудоспособном возрасте</t>
  </si>
  <si>
    <t>на 100000 родившихся живыми</t>
  </si>
  <si>
    <t>Всего умерших от всех причин</t>
  </si>
  <si>
    <t xml:space="preserve">     в том числе:</t>
  </si>
  <si>
    <t xml:space="preserve">     из них от:   </t>
  </si>
  <si>
    <t xml:space="preserve">     из них от:</t>
  </si>
  <si>
    <t xml:space="preserve">     гриппа и ОРЗ</t>
  </si>
  <si>
    <t xml:space="preserve">     из них от: </t>
  </si>
  <si>
    <t xml:space="preserve">     врожденной гидроцефалии и spina bifida </t>
  </si>
  <si>
    <t xml:space="preserve">     врожденных аномалий  системы  кровообращения</t>
  </si>
  <si>
    <t xml:space="preserve">     родовых травм</t>
  </si>
  <si>
    <t xml:space="preserve">     внутриутробной гипоксии и асфиксии в родах</t>
  </si>
  <si>
    <t xml:space="preserve">                               ЗА 1998 год</t>
  </si>
  <si>
    <t xml:space="preserve">за </t>
  </si>
  <si>
    <t>отдельных состояний, возникающих в перинатальном периоде</t>
  </si>
  <si>
    <t xml:space="preserve"> врожденных аномалий (пороков развития)</t>
  </si>
  <si>
    <t xml:space="preserve"> болезней органов дыхания</t>
  </si>
  <si>
    <t>болезней органов пищеварения</t>
  </si>
  <si>
    <t xml:space="preserve">       за </t>
  </si>
  <si>
    <t>Число браков</t>
  </si>
  <si>
    <t>Число разводов</t>
  </si>
  <si>
    <t>ЗАМЕСТИТЕЛЬ РУКОВОДИТЕЛЯ ФЕДЕРАЛЬНОЙ</t>
  </si>
  <si>
    <t>СЛУЖБЫ ГОСУДАРСТВЕННОЙ СТАТИСТИКИ</t>
  </si>
  <si>
    <t>человек</t>
  </si>
  <si>
    <t xml:space="preserve">на 1000 родившихся живыми </t>
  </si>
  <si>
    <t>на 1000 родившихся живыми и мертвыми</t>
  </si>
  <si>
    <t xml:space="preserve"> всех видов транспортных несчастных случаев</t>
  </si>
  <si>
    <t>Республика Крым</t>
  </si>
  <si>
    <t>г. Севастополь</t>
  </si>
  <si>
    <t>г.Севастополь</t>
  </si>
  <si>
    <t>15-19</t>
  </si>
  <si>
    <t xml:space="preserve"> мертво-   рожденные</t>
  </si>
  <si>
    <t xml:space="preserve">  Число детей, умерших  в  возрасте до 1 года</t>
  </si>
  <si>
    <t xml:space="preserve"> Число детей, умерших  в возрасте до 1 года</t>
  </si>
  <si>
    <t>внешних  причин</t>
  </si>
  <si>
    <t xml:space="preserve"> Прирост,  снижение  / - /</t>
  </si>
  <si>
    <t>Прирост, снижение  / - /</t>
  </si>
  <si>
    <t>Абсолютные данные</t>
  </si>
  <si>
    <t xml:space="preserve">   На 1000 человек населения </t>
  </si>
  <si>
    <t>(  на 1000 человек населения  )</t>
  </si>
  <si>
    <t>Число умерших на 100000 человек населения</t>
  </si>
  <si>
    <t>умершие в возрасте                      до 7 дней</t>
  </si>
  <si>
    <r>
      <rPr>
        <vertAlign val="superscript"/>
        <sz val="10"/>
        <color theme="1"/>
        <rFont val="Arial"/>
        <family val="2"/>
        <charset val="204"/>
      </rPr>
      <t>1)</t>
    </r>
    <r>
      <rPr>
        <sz val="10"/>
        <color theme="1"/>
        <rFont val="Arial"/>
        <family val="2"/>
        <charset val="204"/>
      </rPr>
      <t xml:space="preserve"> Рассчитывается на 100000 родившихся живыми.</t>
    </r>
  </si>
  <si>
    <r>
      <rPr>
        <vertAlign val="superscript"/>
        <sz val="10"/>
        <color theme="1"/>
        <rFont val="Arial"/>
        <family val="2"/>
        <charset val="204"/>
      </rPr>
      <t>1)</t>
    </r>
    <r>
      <rPr>
        <sz val="10"/>
        <color theme="1"/>
        <rFont val="Arial"/>
        <family val="2"/>
        <charset val="204"/>
      </rPr>
      <t xml:space="preserve"> Рассчитывается на 1000 родившихся живыми.</t>
    </r>
  </si>
  <si>
    <t xml:space="preserve"> Прирост,     снижение  / - /</t>
  </si>
  <si>
    <t xml:space="preserve">   Родившихся</t>
  </si>
  <si>
    <t xml:space="preserve">   Умерших</t>
  </si>
  <si>
    <t xml:space="preserve">   Браков         </t>
  </si>
  <si>
    <t xml:space="preserve">   Разводов      </t>
  </si>
  <si>
    <t xml:space="preserve">из них детей 
в возрасте до 1 года               </t>
  </si>
  <si>
    <t>Возраст матери (лет)</t>
  </si>
  <si>
    <t>Всего родившихся живыми</t>
  </si>
  <si>
    <t>в том числе по очередности рождения ребенка:</t>
  </si>
  <si>
    <t>неизвестно</t>
  </si>
  <si>
    <t>60 и старше</t>
  </si>
  <si>
    <t>не указан</t>
  </si>
  <si>
    <t>Итого</t>
  </si>
  <si>
    <t>всего родившихся у женщин вне брака</t>
  </si>
  <si>
    <t xml:space="preserve">от некоторых инфекционных и  паразитарных                   болезней              </t>
  </si>
  <si>
    <t>от болезней системы кровообращения</t>
  </si>
  <si>
    <t>от новообразований</t>
  </si>
  <si>
    <t>от внешних причин смерти</t>
  </si>
  <si>
    <t>от болезней органов дыхания</t>
  </si>
  <si>
    <t>от болезней органов пищеварения</t>
  </si>
  <si>
    <t>от симптомов, признаков и отклонений  от нормы,выявленных при клинических и лабораторных исследованиях, не классифицированных в других рубриках</t>
  </si>
  <si>
    <t>от осложнений беременности, родов  и послеродового периода</t>
  </si>
  <si>
    <t>от болезней кожи и подкожной клетчатки</t>
  </si>
  <si>
    <t>от болезней крови, кроветворных органов и отдельных нарушений с вовлечением иммунного механизма</t>
  </si>
  <si>
    <t>от болезней костно-мышечной системы  и соединительной ткани</t>
  </si>
  <si>
    <t>от психических расстройств  и расстройства поведения</t>
  </si>
  <si>
    <t xml:space="preserve">от болезней уха и сосцевидного отростка </t>
  </si>
  <si>
    <t xml:space="preserve">от болезней глаза и его придаточного аппарата </t>
  </si>
  <si>
    <t>от болезней нервной системы</t>
  </si>
  <si>
    <t>от болезней мочеполовой системы</t>
  </si>
  <si>
    <t xml:space="preserve">от болезней эндокринной системы, расстройства питания и нарушения  обмена веществ </t>
  </si>
  <si>
    <t xml:space="preserve">       из них от злокачественных</t>
  </si>
  <si>
    <t xml:space="preserve">       из них от:   </t>
  </si>
  <si>
    <t xml:space="preserve">       самоубийств</t>
  </si>
  <si>
    <t xml:space="preserve">       убийств</t>
  </si>
  <si>
    <t xml:space="preserve">       всех видов транспортных  несчастных случаев:</t>
  </si>
  <si>
    <t xml:space="preserve">       из них от язвенной болезни (всех форм)</t>
  </si>
  <si>
    <t xml:space="preserve">       кишечных инфекций</t>
  </si>
  <si>
    <t xml:space="preserve">       туберкулеза (всех форм)</t>
  </si>
  <si>
    <t xml:space="preserve">       из них от сахарного диабета</t>
  </si>
  <si>
    <t xml:space="preserve">       из них от анемий</t>
  </si>
  <si>
    <t xml:space="preserve">       из них от материнской смертности</t>
  </si>
  <si>
    <t xml:space="preserve">       старости</t>
  </si>
  <si>
    <t xml:space="preserve">          в том числе от ДТП</t>
  </si>
  <si>
    <t xml:space="preserve">       смерти по неустановленным причинам</t>
  </si>
  <si>
    <t>8. СМЕРТНОСТЬ НАСЕЛЕНИЯ ПО ОСНОВНЫМ КЛАССАМ И ОТДЕЛЬНЫМ ПРИЧИНАМ СМЕРТИ</t>
  </si>
  <si>
    <t>10. СМЕРТНОСТЬ НАСЕЛЕНИЯ  ПО ОСНОВНЫМ КЛАССАМ ПРИЧИН СМЕРТИ  ПО СУБЪЕКТАМ РОССИЙСКОЙ ФЕДЕРАЦИИ</t>
  </si>
  <si>
    <t xml:space="preserve">  11. ЧИСЛО УМЕРШИХ ОТ ВНЕШНИХ ПРИЧИН СМЕРТИ ПО СУБЪЕКТАМ РОССИЙСКОЙ ФЕДЕРАЦИИ</t>
  </si>
  <si>
    <t xml:space="preserve">  12. СМЕРТНОСТЬ НАСЕЛЕНИЯ ОТ ВНЕШНИХ ПРИЧИН СМЕРТИ ПО СУБЪЕКТАМ РОССИЙСКОЙ ФЕДЕРАЦИИ</t>
  </si>
  <si>
    <t xml:space="preserve">   14. МАТЕРИНСКАЯ СМЕРТНОСТЬ ПО СУБЪЕКТАМ РОССИЙСКОЙ ФЕДЕРАЦИИ</t>
  </si>
  <si>
    <t>Число детей, умерших в возрасте до 1 года, на 1000 родившихся живыми</t>
  </si>
  <si>
    <t>17. МЛАДЕНЧЕСКАЯ СМЕРТНОСТЬ В РОССИЙСКОЙ ФЕДЕРАЦИИ  ПО ОСНОВНЫМ КЛАССАМ И ОТДЕЛЬНЫМ ПРИЧИНАМ СМЕРТИ</t>
  </si>
  <si>
    <t>от болезней эндокринной системы, расстройства  питания  и  нарушения обмена веществ</t>
  </si>
  <si>
    <t xml:space="preserve">от болезней нервной системы  </t>
  </si>
  <si>
    <t>из них от менингита, за исключением менингита при   инфекционных и паразитарных заболеваниях</t>
  </si>
  <si>
    <t>септицемии</t>
  </si>
  <si>
    <t>кишечных инфекций</t>
  </si>
  <si>
    <t>от врожденных аномалий  (пороков развития), деформаций и хромосомных нарушений</t>
  </si>
  <si>
    <t>от отдельных  состояний,  возникающих  в перинатальном периоде</t>
  </si>
  <si>
    <t>от некоторых инфекционных и паразитарных болезней</t>
  </si>
  <si>
    <t xml:space="preserve">                         16.  МЛАДЕНЧЕСКАЯ СМЕРТНОСТЬ ПО СУБЪЕКТАМ РОССИЙСКОЙ ФЕДЕРАЦИИ</t>
  </si>
  <si>
    <t xml:space="preserve"> 18. УМЕРШИЕ В ВОЗРАСТЕ ДО 1 ГОДА ПО ОСНОВНЫМ КЛАССАМ ПРИЧИН СМЕРТИ</t>
  </si>
  <si>
    <t xml:space="preserve">19.  КОЭФФИЦИЕНТЫ МЛАДЕНЧЕСКОЙ СМЕРТНОСТИ ПО ОСНОВНЫМ КЛАССАМ ПРИЧИН СМЕРТИ </t>
  </si>
  <si>
    <t xml:space="preserve">  20. ЧИСЛО БРАКОВ И РАЗВОДОВ ПО СУБЪЕКТАМ РОССИЙСКОЙ ФЕДЕРАЦИИ</t>
  </si>
  <si>
    <t xml:space="preserve"> На 1000 населения 
браков</t>
  </si>
  <si>
    <t xml:space="preserve"> На 1000 населения 
разводов</t>
  </si>
  <si>
    <t>Число разводов 
на 1000 браков</t>
  </si>
  <si>
    <t xml:space="preserve">  21. ОБЩИЕ КОЭФФИЦИЕНТЫ БРАЧНОСТИ И РАЗВОДИМОСТИ ПО СУБЪЕКТАМ РОССИЙСКОЙ ФЕДЕРАЦИИ</t>
  </si>
  <si>
    <t>Архангельская область без автономии</t>
  </si>
  <si>
    <t>Тюменская область без автономий</t>
  </si>
  <si>
    <t xml:space="preserve"> В РОССИЙСКОЙ ФЕДЕРАЦИИ</t>
  </si>
  <si>
    <t xml:space="preserve"> 1. ОБЩИЕ ИТОГИ ЕСТЕСТВЕННОГО ДВИЖЕНИЯ НАСЕЛЕНИЯ </t>
  </si>
  <si>
    <t xml:space="preserve"> новообразо-ваний</t>
  </si>
  <si>
    <t>умершие в возрасте до 7 дней</t>
  </si>
  <si>
    <t>Число детей, умерших в возрасте до 1 года, на 10000 родившихся живыми</t>
  </si>
  <si>
    <t>первый</t>
  </si>
  <si>
    <t>второй</t>
  </si>
  <si>
    <t>третий</t>
  </si>
  <si>
    <t>четвертый</t>
  </si>
  <si>
    <t>пятый и более</t>
  </si>
  <si>
    <t>6. ЧИСЛО РОДИВШИХСЯ ЖИВЫМИ ПО ВОЗРАСТУ МАТЕРИ И  ОЧЕРЕДНОСТИ РОЖДЕНИЯ</t>
  </si>
  <si>
    <t xml:space="preserve"> врожденных аномалий(пороков развития)</t>
  </si>
  <si>
    <t>Общие итоги естественного движения населения в Российской Федерации……………………………………….………………………………………</t>
  </si>
  <si>
    <t>Родившиеся, умершие и естественный прирост населения по субъектам Российской Федерации………………………………...……………………</t>
  </si>
  <si>
    <t>Общие коэффициенты рождаемости, смертности, естественного прироста населения по субъектам Российской Федерации……………..…</t>
  </si>
  <si>
    <t>Родившиеся  живыми у  женщин,  не состоявших в зарегистрированном браке, по субъектам Российской Федерации……………….……</t>
  </si>
  <si>
    <t>Смертность населения по основным классам и отдельным причинам смерти……………………………………………………………………..…...…..</t>
  </si>
  <si>
    <t>Умершие по основным классам причин смерти по субъектам  Российской Федерации…………………………………………………….…………….</t>
  </si>
  <si>
    <t>Cмертность населения по основным классам причин смерти по субъектам Российской Федерации………………………………………..……………..</t>
  </si>
  <si>
    <t>Число умерших от внешних причин смерти по субъектам Российской Федерации……………………………………………………………...……………</t>
  </si>
  <si>
    <t>Смертность населения от внешних причин смерти по субъектам Российской Федерации…………………………………………………………..…………….</t>
  </si>
  <si>
    <t>Материнская смертность по субъектам Российской Федерации…………………………………………………………………………………...…………………</t>
  </si>
  <si>
    <t>Перинатальная смертность по субъектам Российской Федерации………………………………………………………………………………….……………….</t>
  </si>
  <si>
    <t>Младенческая смертность по субъектам Российской Федерации……………………………………………………………………………….…………..</t>
  </si>
  <si>
    <t>Младенческая смертность в Российской Федерации по основным классам и отдельным причинам смерти……………………………...……………….</t>
  </si>
  <si>
    <t>Умершие в возрасте до 1 года по основным классам причин смерти  по субъектам Российской Федерации…………………………….……………</t>
  </si>
  <si>
    <t>Коэффициенты младенческой смертности по основным классам причин смерти по субъектам Российской Федерации…………………...……..</t>
  </si>
  <si>
    <t>Число браков и разводов по субъектам Российской Федерации………………………………………………………………………………………...…….</t>
  </si>
  <si>
    <t>Общие коэффициенты брачности и разводимости по субъектам Российской Федерации………………………………………………………….…….</t>
  </si>
  <si>
    <t>Предисловие…………………………………………………………………………………………………………...………………………………..………………………………..</t>
  </si>
  <si>
    <t>Х</t>
  </si>
  <si>
    <t xml:space="preserve"> 85 и более </t>
  </si>
  <si>
    <t xml:space="preserve">Прирост, снижение / - / </t>
  </si>
  <si>
    <t xml:space="preserve">         в том числе:</t>
  </si>
  <si>
    <t>Всего умерших</t>
  </si>
  <si>
    <t>в том числе от:</t>
  </si>
  <si>
    <t>9. УМЕРШИЕ  ПО ОСНОВНЫМ КЛАССАМ ПРИЧИН СМЕРТИ  ПО СУБЪЕКТАМ РОССИЙСКОЙ ФЕДЕРАЦИИ</t>
  </si>
  <si>
    <t xml:space="preserve">      в том числе  от : </t>
  </si>
  <si>
    <t>(  на 100 000 человек населения  )</t>
  </si>
  <si>
    <t xml:space="preserve">из них от:   </t>
  </si>
  <si>
    <t>(  на 10 000 родившихся живыми )</t>
  </si>
  <si>
    <t>2018 г.</t>
  </si>
  <si>
    <r>
      <rPr>
        <sz val="10"/>
        <rFont val="Arial Cyr"/>
        <charset val="204"/>
      </rPr>
      <t>5,1</t>
    </r>
    <r>
      <rPr>
        <vertAlign val="superscript"/>
        <sz val="10"/>
        <rFont val="Arial Cyr"/>
        <charset val="204"/>
      </rPr>
      <t>1)</t>
    </r>
  </si>
  <si>
    <r>
      <t xml:space="preserve">9,1 </t>
    </r>
    <r>
      <rPr>
        <vertAlign val="superscript"/>
        <sz val="10"/>
        <rFont val="Arial Cyr"/>
        <charset val="204"/>
      </rPr>
      <t>1)</t>
    </r>
  </si>
  <si>
    <t xml:space="preserve">     дыхательных расстройств новорожденного</t>
  </si>
  <si>
    <t>геморрагических нарушений у плода и новорожденного</t>
  </si>
  <si>
    <t xml:space="preserve">     бактериального сепсиса новорожденного</t>
  </si>
  <si>
    <t xml:space="preserve">     пневмонии</t>
  </si>
  <si>
    <t>за  2019 год</t>
  </si>
  <si>
    <t xml:space="preserve"> МОСКВА 2020 г.</t>
  </si>
  <si>
    <t>Родившиеся вне брака по возрасту матери по субъектам Российской Федерации в 2019 году……………………………………………………….……..</t>
  </si>
  <si>
    <t>Число родившихся живыми по возрасту матери и очередности рождения в Российской Федерации в 2019 году……………………………...………</t>
  </si>
  <si>
    <t>Число родившихся живыми по возрасту и образованию матери в 2019 году…………………………………………………………………………..……….</t>
  </si>
  <si>
    <t>Умершие по возрастным группам и основным классам причин смерти в 2019 году…………………………………………………………….………………</t>
  </si>
  <si>
    <t>2019 г.</t>
  </si>
  <si>
    <t xml:space="preserve">Дальневосточный федеральный округ </t>
  </si>
  <si>
    <t xml:space="preserve">Сибирский федеральный округ </t>
  </si>
  <si>
    <t>ПО СУБЪЕКТАМ РОССИЙСКОЙ ФЕДЕРАЦИИ ЗА 2019 ГОД</t>
  </si>
  <si>
    <t>В РОССИЙСКОЙ ФЕДЕРАЦИИ В 2019 ГОДУ</t>
  </si>
  <si>
    <t>7. ЧИСЛО РОДИВШИХСЯ ЖИВЫМИ ПО ВОЗРАСТУ И ОБРАЗОВАНИЮ МАТЕРИ В 2019 ГОДУ</t>
  </si>
  <si>
    <t xml:space="preserve"> в % к общему числу умерших в 2019 г.</t>
  </si>
  <si>
    <t xml:space="preserve"> ЗА 2019 ГОД</t>
  </si>
  <si>
    <t xml:space="preserve">    ЗА 2019 ГОД</t>
  </si>
  <si>
    <t>13.  УМЕРШИЕ ПО ВОЗРАСТНЫМ ГРУППАМ И ОСНОВНЫМ КЛАССАМ ПРИЧИН СМЕРТИ В 2019 ГОДУ</t>
  </si>
  <si>
    <t xml:space="preserve">   15. ПЕРИНАТАЛЬНАЯ  СМЕРТНОСТЬ ПО СУБЪЕКТАМ РОССИЙСКОЙ ФЕДЕРАЦИИ ЗА 2019 ГОД</t>
  </si>
  <si>
    <t>2018г.</t>
  </si>
  <si>
    <t xml:space="preserve">       болезни, вызванной вирусом иммунодефицита человека (ВИЧ)</t>
  </si>
  <si>
    <t xml:space="preserve">   в % к общему  числу умерших в 2019 г.</t>
  </si>
  <si>
    <t xml:space="preserve">     ПО СУБЪЕКТАМ РОССИЙСКОЙ ФЕДЕРАЦИИ ЗА 2019 ГОД</t>
  </si>
  <si>
    <t xml:space="preserve"> ПО СУБЪЕКТАМ РОССИЙСКОЙ ФЕДЕРАЦИИ ЗА 2019 ГОД</t>
  </si>
  <si>
    <t>П.А. СМЕЛОВ</t>
  </si>
  <si>
    <r>
      <t xml:space="preserve">     </t>
    </r>
    <r>
      <rPr>
        <sz val="10"/>
        <rFont val="Arial Cyr"/>
        <charset val="204"/>
      </rPr>
      <t>4,9</t>
    </r>
    <r>
      <rPr>
        <vertAlign val="superscript"/>
        <sz val="10"/>
        <rFont val="Arial Cyr"/>
        <charset val="204"/>
      </rPr>
      <t>1)</t>
    </r>
  </si>
  <si>
    <t xml:space="preserve"> 2019 г.</t>
  </si>
  <si>
    <t>причин смерти, обусловленных алкоголем</t>
  </si>
  <si>
    <t>из них от ДТП</t>
  </si>
  <si>
    <t xml:space="preserve">       причин смерти, обусловленных алкоголем</t>
  </si>
  <si>
    <t xml:space="preserve">       из них от пневмонии</t>
  </si>
  <si>
    <t xml:space="preserve">       острых нарушений мозгового кровообращения</t>
  </si>
  <si>
    <t xml:space="preserve">             . . .</t>
  </si>
  <si>
    <t xml:space="preserve">. . . </t>
  </si>
  <si>
    <r>
      <t xml:space="preserve">9,0 </t>
    </r>
    <r>
      <rPr>
        <vertAlign val="superscript"/>
        <sz val="10"/>
        <rFont val="Arial Cyr"/>
        <charset val="204"/>
      </rPr>
      <t>1)</t>
    </r>
  </si>
  <si>
    <t>Омская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</si>
</sst>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9">
    <numFmt numFmtId="164" formatCode="_-* #,##0.00_р_._-;\-* #,##0.00_р_._-;_-* &quot;-&quot;??_р_._-;_-@_-"/>
    <numFmt numFmtId="165" formatCode="0&quot;      &quot;"/>
    <numFmt numFmtId="166" formatCode="0&quot;       &quot;"/>
    <numFmt numFmtId="167" formatCode="0.0&quot;      &quot;"/>
    <numFmt numFmtId="168" formatCode="0.0&quot;        &quot;"/>
    <numFmt numFmtId="169" formatCode="General&quot;   &quot;"/>
    <numFmt numFmtId="170" formatCode="[=0]&quot; - &quot;;General"/>
    <numFmt numFmtId="171" formatCode="0.0&quot;     &quot;"/>
    <numFmt numFmtId="172" formatCode="0.00&quot;      &quot;;[=0]&quot;-&quot;&quot;      &quot;;General"/>
    <numFmt numFmtId="173" formatCode="0.0"/>
    <numFmt numFmtId="174" formatCode="0&quot;       &quot;;[=0]&quot;-&quot;&quot;         &quot;;General"/>
    <numFmt numFmtId="175" formatCode="0&quot;      &quot;;[=0]&quot;-&quot;&quot;      &quot;;General"/>
    <numFmt numFmtId="176" formatCode="0.0&quot;          &quot;"/>
    <numFmt numFmtId="177" formatCode="0&quot;  &quot;;[=0]&quot;-&quot;&quot;  &quot;;General"/>
    <numFmt numFmtId="178" formatCode="0&quot;   &quot;;[=0]&quot;-&quot;&quot;   &quot;;General"/>
    <numFmt numFmtId="179" formatCode="0&quot;    &quot;;[=0]&quot;-&quot;&quot;    &quot;;General"/>
    <numFmt numFmtId="180" formatCode="0&quot;     &quot;;[=0]&quot;-&quot;&quot;     &quot;;General"/>
    <numFmt numFmtId="181" formatCode="0&quot;          &quot;"/>
    <numFmt numFmtId="182" formatCode="0&quot;        &quot;;[=0]&quot;-&quot;&quot;        &quot;;General"/>
    <numFmt numFmtId="183" formatCode="0&quot;         &quot;;[=0]&quot;-&quot;&quot;         &quot;;General"/>
    <numFmt numFmtId="184" formatCode="0&quot;        &quot;"/>
    <numFmt numFmtId="185" formatCode="0&quot; &quot;;[=0]&quot;-&quot;&quot; &quot;;General"/>
    <numFmt numFmtId="186" formatCode="General&quot;     &quot;"/>
    <numFmt numFmtId="187" formatCode="0.0&quot;         &quot;"/>
    <numFmt numFmtId="188" formatCode="0&quot;     &quot;"/>
    <numFmt numFmtId="189" formatCode="0&quot;    &quot;"/>
    <numFmt numFmtId="190" formatCode="0.0&quot;       &quot;"/>
    <numFmt numFmtId="191" formatCode="0&quot;       &quot;;[=0]&quot;-&quot;&quot;       &quot;;General"/>
    <numFmt numFmtId="192" formatCode="General&quot;       &quot;"/>
    <numFmt numFmtId="193" formatCode="0.0&quot;       &quot;;[=0]&quot;-&quot;&quot;       &quot;;General"/>
    <numFmt numFmtId="194" formatCode="0.0&quot;         &quot;;[=0]&quot;-&quot;&quot;         &quot;;General"/>
    <numFmt numFmtId="195" formatCode="0&quot;          &quot;;[=0]&quot;-&quot;&quot;          &quot;;General"/>
    <numFmt numFmtId="196" formatCode="General&quot;      &quot;"/>
    <numFmt numFmtId="197" formatCode="0&quot;           &quot;;[=0]&quot;-&quot;&quot;           &quot;;General"/>
    <numFmt numFmtId="198" formatCode="0.0&quot;          &quot;;[=0]&quot;-&quot;&quot;          &quot;;General"/>
    <numFmt numFmtId="199" formatCode="0.00&quot;       &quot;;[=0]&quot;-&quot;&quot;       &quot;;General"/>
    <numFmt numFmtId="200" formatCode="0.00&quot;        &quot;;[=0]&quot;-&quot;&quot;        &quot;;General"/>
    <numFmt numFmtId="201" formatCode="0.0&quot;           &quot;"/>
    <numFmt numFmtId="202" formatCode="0.0&quot;            &quot;;[=0]&quot;-&quot;&quot;            &quot;;General"/>
    <numFmt numFmtId="203" formatCode="0.0&quot;        &quot;;[=0]&quot;-&quot;&quot;        &quot;;General"/>
    <numFmt numFmtId="204" formatCode="General&quot;    &quot;"/>
    <numFmt numFmtId="205" formatCode="0.0&quot;              &quot;"/>
    <numFmt numFmtId="206" formatCode="General&quot;  &quot;"/>
    <numFmt numFmtId="207" formatCode="0.0&quot;      &quot;;[=0]&quot;-&quot;&quot;      &quot;;General"/>
    <numFmt numFmtId="208" formatCode="0&quot;             &quot;;[=0]&quot;-&quot;&quot;             &quot;;General"/>
    <numFmt numFmtId="209" formatCode="0.00&quot;     &quot;"/>
    <numFmt numFmtId="210" formatCode="0.0000&quot;     &quot;"/>
    <numFmt numFmtId="211" formatCode="0.0&quot;     &quot;;[=0]&quot;-&quot;&quot;     &quot;;General"/>
    <numFmt numFmtId="212" formatCode="0.000"/>
  </numFmts>
  <fonts count="51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Arial Cyr"/>
      <family val="2"/>
      <charset val="204"/>
    </font>
    <font>
      <u/>
      <sz val="11"/>
      <color theme="10"/>
      <name val="Calibri"/>
      <family val="2"/>
      <charset val="204"/>
    </font>
    <font>
      <sz val="10"/>
      <name val="Arial Cyr"/>
      <charset val="204"/>
    </font>
    <font>
      <sz val="10"/>
      <name val="Courier New Cyr"/>
      <charset val="204"/>
    </font>
    <font>
      <b/>
      <sz val="11"/>
      <name val="Arial Cyr"/>
      <family val="2"/>
      <charset val="204"/>
    </font>
    <font>
      <b/>
      <sz val="12"/>
      <name val="Arial Cyr"/>
      <family val="2"/>
      <charset val="204"/>
    </font>
    <font>
      <sz val="10"/>
      <name val="Arial Cyr"/>
      <family val="2"/>
      <charset val="204"/>
    </font>
    <font>
      <sz val="8"/>
      <name val="Arial Cyr"/>
      <family val="2"/>
      <charset val="204"/>
    </font>
    <font>
      <sz val="11"/>
      <name val="Times New Roman"/>
      <family val="1"/>
      <charset val="204"/>
    </font>
    <font>
      <sz val="11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9"/>
      <name val="Arial Cyr"/>
      <charset val="204"/>
    </font>
    <font>
      <b/>
      <sz val="9"/>
      <name val="Arial Cyr"/>
      <family val="2"/>
      <charset val="204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10"/>
      <name val="Arial Cyr"/>
    </font>
    <font>
      <b/>
      <sz val="10"/>
      <name val="Courier New Cyr"/>
    </font>
    <font>
      <b/>
      <sz val="10.5"/>
      <name val="Arial Cyr"/>
      <family val="2"/>
      <charset val="204"/>
    </font>
    <font>
      <sz val="10"/>
      <color theme="1"/>
      <name val="Arial Cyr"/>
      <family val="2"/>
      <charset val="204"/>
    </font>
    <font>
      <sz val="8"/>
      <color theme="1"/>
      <name val="Arial"/>
      <family val="2"/>
      <charset val="204"/>
    </font>
    <font>
      <vertAlign val="superscript"/>
      <sz val="10"/>
      <name val="Arial Cyr"/>
      <charset val="204"/>
    </font>
    <font>
      <vertAlign val="superscript"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Arial"/>
      <family val="2"/>
      <charset val="204"/>
    </font>
    <font>
      <sz val="10"/>
      <color rgb="FFFF0000"/>
      <name val="Arial Cyr"/>
      <family val="2"/>
      <charset val="204"/>
    </font>
    <font>
      <sz val="10"/>
      <color rgb="FFFF0000"/>
      <name val="Arial Cyr"/>
      <charset val="204"/>
    </font>
    <font>
      <vertAlign val="superscript"/>
      <sz val="10"/>
      <name val="Arial Cyr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rgb="FFFF0000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rgb="FFFF0000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6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1" fillId="0" borderId="0"/>
    <xf numFmtId="0" fontId="16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3" fontId="16" fillId="0" borderId="0"/>
    <xf numFmtId="0" fontId="11" fillId="0" borderId="0"/>
    <xf numFmtId="173" fontId="16" fillId="0" borderId="0"/>
    <xf numFmtId="0" fontId="16" fillId="0" borderId="0"/>
    <xf numFmtId="0" fontId="35" fillId="0" borderId="0"/>
    <xf numFmtId="0" fontId="11" fillId="0" borderId="0"/>
    <xf numFmtId="0" fontId="16" fillId="0" borderId="0"/>
    <xf numFmtId="0" fontId="11" fillId="0" borderId="0"/>
    <xf numFmtId="0" fontId="16" fillId="0" borderId="0"/>
    <xf numFmtId="164" fontId="10" fillId="0" borderId="0" applyFont="0" applyFill="0" applyBorder="0" applyAlignment="0" applyProtection="0"/>
    <xf numFmtId="0" fontId="20" fillId="0" borderId="0"/>
  </cellStyleXfs>
  <cellXfs count="595">
    <xf numFmtId="0" fontId="0" fillId="0" borderId="0" xfId="0"/>
    <xf numFmtId="0" fontId="2" fillId="0" borderId="0" xfId="0" applyFont="1"/>
    <xf numFmtId="0" fontId="5" fillId="0" borderId="0" xfId="0" applyFont="1"/>
    <xf numFmtId="0" fontId="10" fillId="0" borderId="0" xfId="2"/>
    <xf numFmtId="0" fontId="13" fillId="0" borderId="0" xfId="2" applyFont="1"/>
    <xf numFmtId="0" fontId="14" fillId="0" borderId="0" xfId="2" applyFont="1"/>
    <xf numFmtId="0" fontId="8" fillId="0" borderId="0" xfId="2" applyFont="1"/>
    <xf numFmtId="0" fontId="15" fillId="0" borderId="0" xfId="2" applyFont="1"/>
    <xf numFmtId="0" fontId="12" fillId="0" borderId="0" xfId="2" applyFont="1"/>
    <xf numFmtId="0" fontId="17" fillId="0" borderId="0" xfId="2" applyFont="1"/>
    <xf numFmtId="169" fontId="19" fillId="0" borderId="0" xfId="2" applyNumberFormat="1" applyFont="1" applyAlignment="1"/>
    <xf numFmtId="169" fontId="10" fillId="0" borderId="0" xfId="2" applyNumberFormat="1" applyFont="1" applyAlignment="1"/>
    <xf numFmtId="1" fontId="14" fillId="0" borderId="0" xfId="5" applyNumberFormat="1" applyFont="1" applyBorder="1"/>
    <xf numFmtId="170" fontId="14" fillId="0" borderId="0" xfId="2" applyNumberFormat="1" applyFont="1"/>
    <xf numFmtId="0" fontId="21" fillId="0" borderId="0" xfId="2" applyFont="1" applyBorder="1" applyAlignment="1">
      <alignment horizontal="right"/>
    </xf>
    <xf numFmtId="1" fontId="14" fillId="0" borderId="0" xfId="5" applyNumberFormat="1" applyFont="1" applyBorder="1" applyAlignment="1">
      <alignment wrapText="1"/>
    </xf>
    <xf numFmtId="0" fontId="22" fillId="0" borderId="0" xfId="2" applyFont="1" applyBorder="1" applyAlignment="1">
      <alignment horizontal="right"/>
    </xf>
    <xf numFmtId="0" fontId="19" fillId="0" borderId="0" xfId="2" applyFont="1"/>
    <xf numFmtId="0" fontId="14" fillId="0" borderId="0" xfId="2" applyFont="1" applyBorder="1"/>
    <xf numFmtId="0" fontId="24" fillId="0" borderId="0" xfId="2" applyFont="1"/>
    <xf numFmtId="0" fontId="23" fillId="0" borderId="0" xfId="2" applyFont="1"/>
    <xf numFmtId="0" fontId="24" fillId="0" borderId="0" xfId="2" applyFont="1" applyBorder="1"/>
    <xf numFmtId="172" fontId="27" fillId="0" borderId="0" xfId="0" applyNumberFormat="1" applyFont="1"/>
    <xf numFmtId="173" fontId="25" fillId="0" borderId="0" xfId="2" applyNumberFormat="1" applyFont="1"/>
    <xf numFmtId="0" fontId="25" fillId="0" borderId="0" xfId="2" applyFont="1"/>
    <xf numFmtId="167" fontId="25" fillId="0" borderId="0" xfId="2" applyNumberFormat="1" applyFont="1"/>
    <xf numFmtId="0" fontId="18" fillId="0" borderId="0" xfId="2" applyFont="1"/>
    <xf numFmtId="0" fontId="14" fillId="0" borderId="0" xfId="7" applyFont="1" applyBorder="1"/>
    <xf numFmtId="0" fontId="14" fillId="0" borderId="0" xfId="7" applyFont="1"/>
    <xf numFmtId="174" fontId="18" fillId="0" borderId="0" xfId="2" applyNumberFormat="1" applyFont="1"/>
    <xf numFmtId="1" fontId="14" fillId="0" borderId="0" xfId="0" applyNumberFormat="1" applyFont="1" applyAlignment="1">
      <alignment horizontal="left" wrapText="1"/>
    </xf>
    <xf numFmtId="174" fontId="10" fillId="0" borderId="0" xfId="2" applyNumberFormat="1" applyFont="1"/>
    <xf numFmtId="174" fontId="19" fillId="0" borderId="0" xfId="2" applyNumberFormat="1" applyFont="1"/>
    <xf numFmtId="175" fontId="14" fillId="0" borderId="0" xfId="2" applyNumberFormat="1" applyFont="1"/>
    <xf numFmtId="173" fontId="14" fillId="0" borderId="0" xfId="2" applyNumberFormat="1" applyFont="1"/>
    <xf numFmtId="49" fontId="12" fillId="0" borderId="0" xfId="8" applyNumberFormat="1" applyFont="1" applyBorder="1" applyAlignment="1">
      <alignment horizontal="center"/>
    </xf>
    <xf numFmtId="0" fontId="0" fillId="0" borderId="0" xfId="0" applyBorder="1"/>
    <xf numFmtId="177" fontId="27" fillId="0" borderId="0" xfId="0" applyNumberFormat="1" applyFont="1" applyAlignment="1">
      <alignment horizontal="right"/>
    </xf>
    <xf numFmtId="178" fontId="27" fillId="0" borderId="0" xfId="0" applyNumberFormat="1" applyFont="1" applyAlignment="1">
      <alignment horizontal="right"/>
    </xf>
    <xf numFmtId="179" fontId="27" fillId="0" borderId="0" xfId="0" applyNumberFormat="1" applyFont="1" applyAlignment="1">
      <alignment horizontal="right"/>
    </xf>
    <xf numFmtId="180" fontId="27" fillId="0" borderId="0" xfId="0" applyNumberFormat="1" applyFont="1" applyAlignment="1">
      <alignment horizontal="right"/>
    </xf>
    <xf numFmtId="177" fontId="29" fillId="0" borderId="0" xfId="0" applyNumberFormat="1" applyFont="1" applyAlignment="1">
      <alignment horizontal="right"/>
    </xf>
    <xf numFmtId="178" fontId="29" fillId="0" borderId="0" xfId="0" applyNumberFormat="1" applyFont="1" applyAlignment="1">
      <alignment horizontal="right"/>
    </xf>
    <xf numFmtId="179" fontId="29" fillId="0" borderId="0" xfId="0" applyNumberFormat="1" applyFont="1" applyAlignment="1">
      <alignment horizontal="right"/>
    </xf>
    <xf numFmtId="180" fontId="29" fillId="0" borderId="0" xfId="0" applyNumberFormat="1" applyFont="1" applyAlignment="1">
      <alignment horizontal="right"/>
    </xf>
    <xf numFmtId="181" fontId="29" fillId="0" borderId="0" xfId="0" applyNumberFormat="1" applyFont="1"/>
    <xf numFmtId="0" fontId="0" fillId="0" borderId="0" xfId="0" applyAlignment="1"/>
    <xf numFmtId="184" fontId="29" fillId="0" borderId="0" xfId="0" applyNumberFormat="1" applyFont="1"/>
    <xf numFmtId="0" fontId="0" fillId="0" borderId="0" xfId="0" applyNumberFormat="1"/>
    <xf numFmtId="185" fontId="27" fillId="0" borderId="0" xfId="0" applyNumberFormat="1" applyFont="1" applyAlignment="1">
      <alignment horizontal="right"/>
    </xf>
    <xf numFmtId="185" fontId="29" fillId="0" borderId="0" xfId="0" applyNumberFormat="1" applyFont="1" applyAlignment="1">
      <alignment horizontal="right"/>
    </xf>
    <xf numFmtId="0" fontId="10" fillId="0" borderId="0" xfId="2" applyBorder="1"/>
    <xf numFmtId="0" fontId="10" fillId="0" borderId="0" xfId="2" applyFont="1"/>
    <xf numFmtId="0" fontId="30" fillId="0" borderId="0" xfId="2" applyFont="1"/>
    <xf numFmtId="0" fontId="31" fillId="0" borderId="0" xfId="2" applyFont="1"/>
    <xf numFmtId="186" fontId="10" fillId="0" borderId="0" xfId="2" applyNumberFormat="1" applyFont="1"/>
    <xf numFmtId="0" fontId="25" fillId="0" borderId="0" xfId="2" applyFont="1" applyBorder="1" applyAlignment="1">
      <alignment horizontal="right" wrapText="1"/>
    </xf>
    <xf numFmtId="1" fontId="20" fillId="0" borderId="0" xfId="5" applyNumberFormat="1" applyFont="1" applyBorder="1"/>
    <xf numFmtId="169" fontId="10" fillId="0" borderId="0" xfId="2" applyNumberFormat="1" applyFont="1"/>
    <xf numFmtId="1" fontId="20" fillId="0" borderId="0" xfId="5" applyNumberFormat="1" applyFont="1"/>
    <xf numFmtId="1" fontId="33" fillId="0" borderId="0" xfId="10" applyNumberFormat="1" applyFont="1" applyBorder="1"/>
    <xf numFmtId="0" fontId="14" fillId="0" borderId="0" xfId="11" applyFont="1"/>
    <xf numFmtId="165" fontId="10" fillId="0" borderId="0" xfId="2" applyNumberFormat="1" applyBorder="1"/>
    <xf numFmtId="188" fontId="10" fillId="0" borderId="0" xfId="2" applyNumberFormat="1" applyFont="1"/>
    <xf numFmtId="165" fontId="10" fillId="0" borderId="0" xfId="2" applyNumberFormat="1"/>
    <xf numFmtId="0" fontId="14" fillId="0" borderId="0" xfId="12" applyFont="1"/>
    <xf numFmtId="190" fontId="10" fillId="0" borderId="0" xfId="2" applyNumberFormat="1" applyFont="1"/>
    <xf numFmtId="167" fontId="10" fillId="0" borderId="0" xfId="2" applyNumberFormat="1" applyFont="1"/>
    <xf numFmtId="168" fontId="10" fillId="0" borderId="0" xfId="2" applyNumberFormat="1"/>
    <xf numFmtId="190" fontId="10" fillId="0" borderId="0" xfId="2" applyNumberFormat="1"/>
    <xf numFmtId="167" fontId="10" fillId="0" borderId="0" xfId="2" applyNumberFormat="1"/>
    <xf numFmtId="191" fontId="27" fillId="0" borderId="0" xfId="0" applyNumberFormat="1" applyFont="1"/>
    <xf numFmtId="191" fontId="29" fillId="0" borderId="0" xfId="0" applyNumberFormat="1" applyFont="1"/>
    <xf numFmtId="192" fontId="10" fillId="0" borderId="0" xfId="2" applyNumberFormat="1" applyFont="1"/>
    <xf numFmtId="193" fontId="27" fillId="0" borderId="0" xfId="0" applyNumberFormat="1" applyFont="1"/>
    <xf numFmtId="193" fontId="29" fillId="0" borderId="0" xfId="0" applyNumberFormat="1" applyFont="1"/>
    <xf numFmtId="196" fontId="19" fillId="0" borderId="0" xfId="2" applyNumberFormat="1" applyFont="1"/>
    <xf numFmtId="0" fontId="0" fillId="0" borderId="0" xfId="0" applyAlignment="1">
      <alignment wrapText="1"/>
    </xf>
    <xf numFmtId="197" fontId="27" fillId="0" borderId="0" xfId="0" applyNumberFormat="1" applyFont="1" applyAlignment="1">
      <alignment horizontal="right"/>
    </xf>
    <xf numFmtId="198" fontId="27" fillId="0" borderId="0" xfId="0" applyNumberFormat="1" applyFont="1" applyAlignment="1">
      <alignment horizontal="right"/>
    </xf>
    <xf numFmtId="197" fontId="29" fillId="0" borderId="0" xfId="0" applyNumberFormat="1" applyFont="1" applyAlignment="1">
      <alignment horizontal="right"/>
    </xf>
    <xf numFmtId="198" fontId="29" fillId="0" borderId="0" xfId="0" applyNumberFormat="1" applyFont="1" applyAlignment="1">
      <alignment horizontal="right"/>
    </xf>
    <xf numFmtId="184" fontId="0" fillId="0" borderId="0" xfId="0" applyNumberFormat="1"/>
    <xf numFmtId="200" fontId="29" fillId="0" borderId="0" xfId="0" applyNumberFormat="1" applyFont="1"/>
    <xf numFmtId="183" fontId="18" fillId="0" borderId="0" xfId="2" applyNumberFormat="1" applyFont="1" applyAlignment="1">
      <alignment horizontal="right"/>
    </xf>
    <xf numFmtId="201" fontId="18" fillId="0" borderId="0" xfId="2" applyNumberFormat="1" applyFont="1"/>
    <xf numFmtId="183" fontId="10" fillId="0" borderId="0" xfId="2" applyNumberFormat="1" applyFont="1" applyAlignment="1">
      <alignment horizontal="right"/>
    </xf>
    <xf numFmtId="201" fontId="10" fillId="0" borderId="0" xfId="2" applyNumberFormat="1" applyFont="1"/>
    <xf numFmtId="183" fontId="19" fillId="0" borderId="0" xfId="2" applyNumberFormat="1" applyFont="1" applyAlignment="1">
      <alignment horizontal="right"/>
    </xf>
    <xf numFmtId="201" fontId="19" fillId="0" borderId="0" xfId="2" applyNumberFormat="1" applyFont="1"/>
    <xf numFmtId="191" fontId="10" fillId="0" borderId="0" xfId="2" applyNumberFormat="1" applyFont="1" applyAlignment="1">
      <alignment horizontal="right"/>
    </xf>
    <xf numFmtId="0" fontId="14" fillId="0" borderId="0" xfId="16" applyFont="1"/>
    <xf numFmtId="194" fontId="10" fillId="0" borderId="0" xfId="2" applyNumberFormat="1" applyFont="1"/>
    <xf numFmtId="202" fontId="10" fillId="0" borderId="0" xfId="2" applyNumberFormat="1" applyFont="1" applyBorder="1" applyAlignment="1">
      <alignment horizontal="right"/>
    </xf>
    <xf numFmtId="165" fontId="10" fillId="0" borderId="0" xfId="2" applyNumberFormat="1" applyFont="1" applyBorder="1" applyAlignment="1">
      <alignment horizontal="right"/>
    </xf>
    <xf numFmtId="187" fontId="14" fillId="0" borderId="0" xfId="2" applyNumberFormat="1" applyFont="1" applyBorder="1"/>
    <xf numFmtId="195" fontId="19" fillId="0" borderId="0" xfId="2" applyNumberFormat="1" applyFont="1"/>
    <xf numFmtId="183" fontId="19" fillId="0" borderId="0" xfId="2" applyNumberFormat="1" applyFont="1"/>
    <xf numFmtId="0" fontId="36" fillId="0" borderId="0" xfId="19" applyFont="1" applyAlignment="1">
      <alignment horizontal="right" vertical="center"/>
    </xf>
    <xf numFmtId="195" fontId="10" fillId="0" borderId="0" xfId="2" applyNumberFormat="1"/>
    <xf numFmtId="182" fontId="10" fillId="0" borderId="0" xfId="2" applyNumberFormat="1"/>
    <xf numFmtId="183" fontId="10" fillId="0" borderId="0" xfId="2" applyNumberFormat="1"/>
    <xf numFmtId="0" fontId="35" fillId="0" borderId="0" xfId="19"/>
    <xf numFmtId="195" fontId="10" fillId="0" borderId="0" xfId="2" applyNumberFormat="1" applyFont="1"/>
    <xf numFmtId="182" fontId="10" fillId="0" borderId="0" xfId="2" applyNumberFormat="1" applyFont="1"/>
    <xf numFmtId="183" fontId="10" fillId="0" borderId="0" xfId="2" applyNumberFormat="1" applyFont="1"/>
    <xf numFmtId="183" fontId="14" fillId="0" borderId="0" xfId="2" applyNumberFormat="1" applyFont="1" applyBorder="1" applyAlignment="1">
      <alignment horizontal="right"/>
    </xf>
    <xf numFmtId="191" fontId="14" fillId="0" borderId="0" xfId="2" applyNumberFormat="1" applyFont="1" applyBorder="1" applyAlignment="1">
      <alignment horizontal="right"/>
    </xf>
    <xf numFmtId="194" fontId="19" fillId="0" borderId="0" xfId="2" applyNumberFormat="1" applyFont="1"/>
    <xf numFmtId="203" fontId="19" fillId="0" borderId="0" xfId="2" applyNumberFormat="1" applyFont="1"/>
    <xf numFmtId="198" fontId="19" fillId="0" borderId="0" xfId="2" applyNumberFormat="1" applyFont="1"/>
    <xf numFmtId="194" fontId="10" fillId="0" borderId="0" xfId="2" applyNumberFormat="1"/>
    <xf numFmtId="203" fontId="10" fillId="0" borderId="0" xfId="2" applyNumberFormat="1"/>
    <xf numFmtId="203" fontId="10" fillId="0" borderId="0" xfId="2" applyNumberFormat="1" applyFont="1"/>
    <xf numFmtId="0" fontId="14" fillId="0" borderId="0" xfId="0" applyFont="1"/>
    <xf numFmtId="193" fontId="10" fillId="0" borderId="0" xfId="2" applyNumberFormat="1"/>
    <xf numFmtId="170" fontId="14" fillId="0" borderId="0" xfId="0" applyNumberFormat="1" applyFont="1"/>
    <xf numFmtId="193" fontId="14" fillId="0" borderId="0" xfId="2" applyNumberFormat="1" applyFont="1" applyBorder="1" applyAlignment="1">
      <alignment horizontal="right"/>
    </xf>
    <xf numFmtId="194" fontId="14" fillId="0" borderId="0" xfId="2" applyNumberFormat="1" applyFont="1" applyBorder="1" applyAlignment="1">
      <alignment horizontal="right"/>
    </xf>
    <xf numFmtId="0" fontId="11" fillId="0" borderId="0" xfId="22" applyFont="1"/>
    <xf numFmtId="189" fontId="0" fillId="0" borderId="0" xfId="0" applyNumberFormat="1"/>
    <xf numFmtId="189" fontId="10" fillId="0" borderId="0" xfId="0" applyNumberFormat="1" applyFont="1" applyAlignment="1">
      <alignment horizontal="right"/>
    </xf>
    <xf numFmtId="165" fontId="18" fillId="0" borderId="0" xfId="24" applyNumberFormat="1" applyFont="1"/>
    <xf numFmtId="165" fontId="10" fillId="0" borderId="0" xfId="24" applyNumberFormat="1" applyFont="1"/>
    <xf numFmtId="0" fontId="17" fillId="0" borderId="0" xfId="0" applyFont="1"/>
    <xf numFmtId="200" fontId="27" fillId="0" borderId="0" xfId="0" applyNumberFormat="1" applyFont="1"/>
    <xf numFmtId="172" fontId="29" fillId="0" borderId="0" xfId="0" applyNumberFormat="1" applyFont="1"/>
    <xf numFmtId="190" fontId="19" fillId="0" borderId="0" xfId="0" applyNumberFormat="1" applyFont="1"/>
    <xf numFmtId="190" fontId="10" fillId="0" borderId="0" xfId="0" applyNumberFormat="1" applyFont="1"/>
    <xf numFmtId="173" fontId="14" fillId="0" borderId="0" xfId="3" applyNumberFormat="1" applyFont="1" applyBorder="1" applyAlignment="1" applyProtection="1">
      <alignment horizontal="right" indent="3"/>
      <protection locked="0"/>
    </xf>
    <xf numFmtId="0" fontId="29" fillId="0" borderId="0" xfId="0" applyFont="1" applyAlignment="1">
      <alignment vertical="center"/>
    </xf>
    <xf numFmtId="169" fontId="12" fillId="0" borderId="0" xfId="2" applyNumberFormat="1" applyFont="1"/>
    <xf numFmtId="204" fontId="19" fillId="0" borderId="0" xfId="2" applyNumberFormat="1" applyFont="1" applyAlignment="1"/>
    <xf numFmtId="204" fontId="10" fillId="0" borderId="0" xfId="2" applyNumberFormat="1" applyFont="1" applyAlignment="1"/>
    <xf numFmtId="170" fontId="14" fillId="0" borderId="0" xfId="2" applyNumberFormat="1" applyFont="1" applyAlignment="1">
      <alignment horizontal="right" indent="2"/>
    </xf>
    <xf numFmtId="174" fontId="14" fillId="0" borderId="0" xfId="2" applyNumberFormat="1" applyFont="1"/>
    <xf numFmtId="0" fontId="39" fillId="0" borderId="0" xfId="0" applyFont="1"/>
    <xf numFmtId="0" fontId="10" fillId="0" borderId="0" xfId="2" applyFont="1" applyBorder="1"/>
    <xf numFmtId="176" fontId="10" fillId="0" borderId="0" xfId="2" applyNumberFormat="1" applyFont="1" applyBorder="1"/>
    <xf numFmtId="0" fontId="40" fillId="0" borderId="0" xfId="0" applyFont="1" applyBorder="1"/>
    <xf numFmtId="194" fontId="18" fillId="0" borderId="0" xfId="2" applyNumberFormat="1" applyFont="1" applyBorder="1" applyAlignment="1">
      <alignment horizontal="right"/>
    </xf>
    <xf numFmtId="194" fontId="10" fillId="0" borderId="0" xfId="2" applyNumberFormat="1" applyFont="1" applyBorder="1" applyAlignment="1">
      <alignment horizontal="right"/>
    </xf>
    <xf numFmtId="0" fontId="41" fillId="0" borderId="0" xfId="2" applyFont="1"/>
    <xf numFmtId="183" fontId="42" fillId="0" borderId="0" xfId="2" applyNumberFormat="1" applyFont="1"/>
    <xf numFmtId="183" fontId="41" fillId="0" borderId="0" xfId="2" applyNumberFormat="1" applyFont="1" applyBorder="1" applyAlignment="1">
      <alignment horizontal="right"/>
    </xf>
    <xf numFmtId="182" fontId="18" fillId="0" borderId="0" xfId="2" applyNumberFormat="1" applyFont="1"/>
    <xf numFmtId="182" fontId="14" fillId="0" borderId="0" xfId="2" applyNumberFormat="1" applyFont="1"/>
    <xf numFmtId="191" fontId="14" fillId="0" borderId="0" xfId="2" applyNumberFormat="1" applyFont="1"/>
    <xf numFmtId="165" fontId="14" fillId="0" borderId="0" xfId="3" applyNumberFormat="1" applyFont="1" applyBorder="1" applyAlignment="1" applyProtection="1">
      <alignment horizontal="right"/>
      <protection locked="0"/>
    </xf>
    <xf numFmtId="166" fontId="18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165" fontId="14" fillId="0" borderId="0" xfId="2" applyNumberFormat="1" applyFont="1"/>
    <xf numFmtId="177" fontId="0" fillId="0" borderId="0" xfId="0" applyNumberFormat="1"/>
    <xf numFmtId="185" fontId="0" fillId="0" borderId="0" xfId="0" applyNumberFormat="1"/>
    <xf numFmtId="191" fontId="0" fillId="0" borderId="0" xfId="0" applyNumberFormat="1"/>
    <xf numFmtId="194" fontId="10" fillId="0" borderId="0" xfId="2" applyNumberFormat="1" applyFont="1" applyBorder="1"/>
    <xf numFmtId="186" fontId="10" fillId="0" borderId="4" xfId="2" applyNumberFormat="1" applyFont="1" applyBorder="1"/>
    <xf numFmtId="206" fontId="19" fillId="0" borderId="0" xfId="2" applyNumberFormat="1" applyFont="1" applyAlignment="1">
      <alignment horizontal="right"/>
    </xf>
    <xf numFmtId="206" fontId="10" fillId="0" borderId="0" xfId="2" applyNumberFormat="1" applyFont="1" applyAlignment="1">
      <alignment horizontal="right"/>
    </xf>
    <xf numFmtId="168" fontId="26" fillId="0" borderId="0" xfId="2" applyNumberFormat="1" applyFont="1"/>
    <xf numFmtId="168" fontId="25" fillId="0" borderId="0" xfId="2" applyNumberFormat="1" applyFont="1"/>
    <xf numFmtId="168" fontId="28" fillId="0" borderId="0" xfId="2" applyNumberFormat="1" applyFont="1"/>
    <xf numFmtId="168" fontId="20" fillId="0" borderId="0" xfId="2" applyNumberFormat="1" applyFont="1"/>
    <xf numFmtId="173" fontId="10" fillId="0" borderId="0" xfId="2" applyNumberFormat="1" applyFont="1" applyAlignment="1">
      <alignment horizontal="right" indent="4"/>
    </xf>
    <xf numFmtId="171" fontId="10" fillId="0" borderId="0" xfId="2" applyNumberFormat="1" applyFont="1"/>
    <xf numFmtId="173" fontId="10" fillId="0" borderId="4" xfId="2" applyNumberFormat="1" applyFont="1" applyBorder="1" applyAlignment="1">
      <alignment horizontal="right" indent="4"/>
    </xf>
    <xf numFmtId="0" fontId="43" fillId="0" borderId="0" xfId="2" applyFont="1" applyBorder="1"/>
    <xf numFmtId="0" fontId="0" fillId="0" borderId="0" xfId="0" applyBorder="1" applyAlignment="1">
      <alignment wrapText="1"/>
    </xf>
    <xf numFmtId="0" fontId="17" fillId="0" borderId="0" xfId="2" applyFont="1" applyBorder="1"/>
    <xf numFmtId="0" fontId="28" fillId="0" borderId="0" xfId="0" applyFont="1" applyBorder="1" applyAlignment="1">
      <alignment horizontal="right" wrapText="1" indent="3"/>
    </xf>
    <xf numFmtId="0" fontId="44" fillId="0" borderId="0" xfId="0" applyFont="1" applyBorder="1" applyAlignment="1">
      <alignment horizontal="right" indent="3"/>
    </xf>
    <xf numFmtId="0" fontId="20" fillId="0" borderId="0" xfId="0" applyFont="1" applyAlignment="1">
      <alignment horizontal="right" wrapText="1" indent="3"/>
    </xf>
    <xf numFmtId="0" fontId="29" fillId="0" borderId="0" xfId="0" applyFont="1" applyAlignment="1">
      <alignment horizontal="right" indent="3"/>
    </xf>
    <xf numFmtId="0" fontId="29" fillId="0" borderId="0" xfId="0" applyFont="1" applyAlignment="1">
      <alignment horizontal="right" wrapText="1" indent="3"/>
    </xf>
    <xf numFmtId="49" fontId="12" fillId="0" borderId="0" xfId="8" applyNumberFormat="1" applyFont="1" applyBorder="1" applyAlignment="1">
      <alignment horizontal="center"/>
    </xf>
    <xf numFmtId="49" fontId="12" fillId="0" borderId="0" xfId="13" applyNumberFormat="1" applyFont="1" applyAlignment="1">
      <alignment horizontal="center" wrapText="1"/>
    </xf>
    <xf numFmtId="0" fontId="12" fillId="0" borderId="0" xfId="0" applyFont="1" applyAlignment="1">
      <alignment horizontal="center" wrapText="1"/>
    </xf>
    <xf numFmtId="186" fontId="10" fillId="0" borderId="0" xfId="2" applyNumberFormat="1" applyFont="1" applyBorder="1"/>
    <xf numFmtId="173" fontId="10" fillId="0" borderId="0" xfId="2" applyNumberFormat="1" applyFont="1" applyBorder="1" applyAlignment="1">
      <alignment horizontal="right" indent="4"/>
    </xf>
    <xf numFmtId="205" fontId="10" fillId="0" borderId="0" xfId="2" applyNumberFormat="1" applyFont="1" applyBorder="1"/>
    <xf numFmtId="0" fontId="45" fillId="0" borderId="0" xfId="0" applyFont="1"/>
    <xf numFmtId="173" fontId="37" fillId="0" borderId="0" xfId="3" applyNumberFormat="1" applyFont="1" applyBorder="1" applyAlignment="1" applyProtection="1">
      <alignment horizontal="right" indent="3"/>
      <protection locked="0"/>
    </xf>
    <xf numFmtId="0" fontId="14" fillId="0" borderId="2" xfId="3" applyFont="1" applyBorder="1" applyAlignment="1" applyProtection="1">
      <alignment horizontal="center" vertical="center" wrapText="1"/>
      <protection locked="0"/>
    </xf>
    <xf numFmtId="0" fontId="14" fillId="0" borderId="2" xfId="4" applyFont="1" applyBorder="1" applyAlignment="1">
      <alignment horizontal="center" vertical="center"/>
    </xf>
    <xf numFmtId="1" fontId="18" fillId="0" borderId="6" xfId="2" applyNumberFormat="1" applyFont="1" applyBorder="1"/>
    <xf numFmtId="1" fontId="18" fillId="0" borderId="6" xfId="2" applyNumberFormat="1" applyFont="1" applyBorder="1" applyAlignment="1">
      <alignment vertical="top" wrapText="1"/>
    </xf>
    <xf numFmtId="1" fontId="14" fillId="0" borderId="6" xfId="2" applyNumberFormat="1" applyFont="1" applyBorder="1" applyAlignment="1">
      <alignment horizontal="left" wrapText="1"/>
    </xf>
    <xf numFmtId="1" fontId="14" fillId="0" borderId="6" xfId="2" applyNumberFormat="1" applyFont="1" applyBorder="1"/>
    <xf numFmtId="1" fontId="18" fillId="0" borderId="6" xfId="2" applyNumberFormat="1" applyFont="1" applyBorder="1" applyAlignment="1">
      <alignment horizontal="left" vertical="top" wrapText="1"/>
    </xf>
    <xf numFmtId="0" fontId="20" fillId="0" borderId="6" xfId="2" applyFont="1" applyBorder="1" applyAlignment="1">
      <alignment horizontal="left" wrapText="1" indent="1"/>
    </xf>
    <xf numFmtId="1" fontId="18" fillId="0" borderId="6" xfId="2" applyNumberFormat="1" applyFont="1" applyBorder="1" applyAlignment="1">
      <alignment wrapText="1"/>
    </xf>
    <xf numFmtId="1" fontId="19" fillId="0" borderId="6" xfId="2" applyNumberFormat="1" applyFont="1" applyBorder="1" applyAlignment="1">
      <alignment horizontal="left" wrapText="1"/>
    </xf>
    <xf numFmtId="0" fontId="14" fillId="0" borderId="2" xfId="7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5" xfId="3" applyFont="1" applyBorder="1" applyAlignment="1" applyProtection="1">
      <protection locked="0"/>
    </xf>
    <xf numFmtId="0" fontId="14" fillId="0" borderId="6" xfId="3" applyFont="1" applyBorder="1" applyProtection="1">
      <protection locked="0"/>
    </xf>
    <xf numFmtId="0" fontId="14" fillId="0" borderId="6" xfId="3" applyFont="1" applyBorder="1" applyAlignment="1" applyProtection="1">
      <alignment horizontal="left" wrapText="1" indent="3"/>
      <protection locked="0"/>
    </xf>
    <xf numFmtId="0" fontId="14" fillId="0" borderId="6" xfId="3" applyFont="1" applyBorder="1" applyAlignment="1" applyProtection="1">
      <alignment wrapText="1"/>
      <protection locked="0"/>
    </xf>
    <xf numFmtId="1" fontId="18" fillId="0" borderId="5" xfId="2" applyNumberFormat="1" applyFont="1" applyBorder="1"/>
    <xf numFmtId="1" fontId="18" fillId="0" borderId="5" xfId="0" applyNumberFormat="1" applyFont="1" applyBorder="1"/>
    <xf numFmtId="1" fontId="18" fillId="0" borderId="6" xfId="0" applyNumberFormat="1" applyFont="1" applyBorder="1" applyAlignment="1">
      <alignment vertical="top" wrapText="1"/>
    </xf>
    <xf numFmtId="1" fontId="14" fillId="0" borderId="6" xfId="0" applyNumberFormat="1" applyFont="1" applyBorder="1" applyAlignment="1">
      <alignment horizontal="left" wrapText="1"/>
    </xf>
    <xf numFmtId="1" fontId="14" fillId="0" borderId="6" xfId="0" applyNumberFormat="1" applyFont="1" applyBorder="1"/>
    <xf numFmtId="1" fontId="18" fillId="0" borderId="6" xfId="0" applyNumberFormat="1" applyFont="1" applyBorder="1" applyAlignment="1">
      <alignment horizontal="left" vertical="top" wrapText="1"/>
    </xf>
    <xf numFmtId="0" fontId="20" fillId="0" borderId="6" xfId="0" applyFont="1" applyBorder="1" applyAlignment="1">
      <alignment horizontal="left" wrapText="1" indent="1"/>
    </xf>
    <xf numFmtId="1" fontId="18" fillId="0" borderId="6" xfId="0" applyNumberFormat="1" applyFont="1" applyBorder="1" applyAlignment="1">
      <alignment wrapText="1"/>
    </xf>
    <xf numFmtId="1" fontId="19" fillId="0" borderId="6" xfId="0" applyNumberFormat="1" applyFont="1" applyBorder="1" applyAlignment="1">
      <alignment horizontal="left" wrapText="1"/>
    </xf>
    <xf numFmtId="1" fontId="10" fillId="0" borderId="6" xfId="2" applyNumberFormat="1" applyFont="1" applyBorder="1" applyAlignment="1">
      <alignment vertical="top" wrapText="1"/>
    </xf>
    <xf numFmtId="49" fontId="29" fillId="0" borderId="6" xfId="0" applyNumberFormat="1" applyFont="1" applyFill="1" applyBorder="1" applyAlignment="1"/>
    <xf numFmtId="0" fontId="29" fillId="0" borderId="6" xfId="0" applyFont="1" applyBorder="1" applyAlignment="1"/>
    <xf numFmtId="0" fontId="14" fillId="0" borderId="2" xfId="8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10" fillId="0" borderId="0" xfId="2" applyNumberFormat="1" applyFont="1" applyBorder="1" applyAlignment="1">
      <alignment wrapText="1"/>
    </xf>
    <xf numFmtId="1" fontId="14" fillId="0" borderId="0" xfId="2" applyNumberFormat="1" applyFont="1" applyBorder="1" applyAlignment="1">
      <alignment wrapText="1"/>
    </xf>
    <xf numFmtId="0" fontId="46" fillId="0" borderId="0" xfId="1" applyFont="1" applyFill="1" applyBorder="1" applyAlignment="1" applyProtection="1">
      <protection locked="0"/>
    </xf>
    <xf numFmtId="0" fontId="47" fillId="0" borderId="0" xfId="0" applyFont="1"/>
    <xf numFmtId="49" fontId="47" fillId="0" borderId="0" xfId="0" applyNumberFormat="1" applyFont="1" applyAlignment="1">
      <alignment horizontal="center"/>
    </xf>
    <xf numFmtId="49" fontId="48" fillId="0" borderId="1" xfId="0" applyNumberFormat="1" applyFont="1" applyBorder="1" applyAlignment="1">
      <alignment horizontal="center" vertical="center"/>
    </xf>
    <xf numFmtId="0" fontId="47" fillId="0" borderId="0" xfId="0" applyFont="1" applyBorder="1"/>
    <xf numFmtId="165" fontId="47" fillId="0" borderId="0" xfId="0" applyNumberFormat="1" applyFont="1" applyBorder="1" applyAlignment="1"/>
    <xf numFmtId="0" fontId="47" fillId="0" borderId="0" xfId="0" applyFont="1" applyFill="1"/>
    <xf numFmtId="166" fontId="46" fillId="0" borderId="0" xfId="0" applyNumberFormat="1" applyFont="1" applyFill="1" applyBorder="1"/>
    <xf numFmtId="0" fontId="46" fillId="0" borderId="0" xfId="0" applyFont="1" applyFill="1"/>
    <xf numFmtId="166" fontId="47" fillId="0" borderId="0" xfId="0" applyNumberFormat="1" applyFont="1" applyFill="1" applyBorder="1" applyAlignment="1">
      <alignment horizontal="center"/>
    </xf>
    <xf numFmtId="0" fontId="47" fillId="0" borderId="0" xfId="0" applyFont="1" applyFill="1" applyAlignment="1" applyProtection="1">
      <protection locked="0"/>
    </xf>
    <xf numFmtId="0" fontId="45" fillId="0" borderId="0" xfId="0" applyFont="1" applyAlignment="1">
      <alignment horizontal="right" indent="2"/>
    </xf>
    <xf numFmtId="0" fontId="14" fillId="0" borderId="6" xfId="9" applyFont="1" applyBorder="1" applyAlignment="1">
      <alignment horizontal="left" wrapText="1" indent="1"/>
    </xf>
    <xf numFmtId="0" fontId="14" fillId="0" borderId="6" xfId="9" applyFont="1" applyBorder="1" applyAlignment="1">
      <alignment wrapText="1"/>
    </xf>
    <xf numFmtId="0" fontId="14" fillId="0" borderId="6" xfId="9" applyFont="1" applyBorder="1" applyAlignment="1">
      <alignment horizontal="left" indent="1"/>
    </xf>
    <xf numFmtId="0" fontId="14" fillId="0" borderId="6" xfId="9" applyFont="1" applyBorder="1"/>
    <xf numFmtId="0" fontId="35" fillId="0" borderId="6" xfId="9" applyFont="1" applyBorder="1" applyAlignment="1">
      <alignment wrapText="1"/>
    </xf>
    <xf numFmtId="0" fontId="35" fillId="0" borderId="11" xfId="9" applyFont="1" applyBorder="1" applyAlignment="1">
      <alignment wrapText="1"/>
    </xf>
    <xf numFmtId="0" fontId="35" fillId="0" borderId="0" xfId="9" applyFont="1" applyBorder="1" applyAlignment="1">
      <alignment wrapText="1"/>
    </xf>
    <xf numFmtId="1" fontId="18" fillId="0" borderId="6" xfId="0" applyNumberFormat="1" applyFont="1" applyBorder="1"/>
    <xf numFmtId="49" fontId="14" fillId="0" borderId="2" xfId="11" applyNumberFormat="1" applyFont="1" applyBorder="1" applyAlignment="1">
      <alignment horizontal="center" wrapText="1"/>
    </xf>
    <xf numFmtId="49" fontId="14" fillId="0" borderId="2" xfId="11" applyNumberFormat="1" applyFont="1" applyBorder="1" applyAlignment="1">
      <alignment horizontal="center" vertical="center" wrapText="1"/>
    </xf>
    <xf numFmtId="49" fontId="14" fillId="0" borderId="1" xfId="13" applyNumberFormat="1" applyFont="1" applyBorder="1" applyAlignment="1">
      <alignment horizontal="center" vertical="center" wrapText="1"/>
    </xf>
    <xf numFmtId="49" fontId="14" fillId="0" borderId="2" xfId="13" applyNumberFormat="1" applyFont="1" applyBorder="1" applyAlignment="1">
      <alignment horizontal="center" vertical="center" wrapText="1"/>
    </xf>
    <xf numFmtId="49" fontId="14" fillId="0" borderId="2" xfId="13" applyNumberFormat="1" applyFont="1" applyBorder="1" applyAlignment="1">
      <alignment horizontal="center" vertical="center"/>
    </xf>
    <xf numFmtId="0" fontId="10" fillId="0" borderId="5" xfId="0" applyFont="1" applyBorder="1" applyAlignment="1" applyProtection="1">
      <alignment horizontal="right" vertical="center" wrapText="1" indent="2"/>
      <protection locked="0"/>
    </xf>
    <xf numFmtId="0" fontId="10" fillId="0" borderId="6" xfId="0" applyFont="1" applyBorder="1" applyAlignment="1" applyProtection="1">
      <alignment horizontal="right" vertical="center" wrapText="1" indent="2"/>
      <protection locked="0"/>
    </xf>
    <xf numFmtId="49" fontId="10" fillId="0" borderId="6" xfId="0" applyNumberFormat="1" applyFont="1" applyBorder="1" applyAlignment="1" applyProtection="1">
      <alignment horizontal="right" vertical="center" wrapText="1" indent="2"/>
      <protection locked="0"/>
    </xf>
    <xf numFmtId="0" fontId="19" fillId="0" borderId="6" xfId="0" applyFont="1" applyBorder="1" applyAlignment="1" applyProtection="1">
      <alignment horizontal="right" vertical="center" wrapText="1" indent="2"/>
      <protection locked="0"/>
    </xf>
    <xf numFmtId="0" fontId="10" fillId="0" borderId="6" xfId="0" applyNumberFormat="1" applyFont="1" applyBorder="1" applyAlignment="1" applyProtection="1">
      <alignment horizontal="right" vertical="center" wrapText="1" indent="2"/>
      <protection locked="0"/>
    </xf>
    <xf numFmtId="0" fontId="29" fillId="0" borderId="2" xfId="0" applyFont="1" applyBorder="1" applyAlignment="1">
      <alignment horizontal="center" vertical="center" wrapText="1"/>
    </xf>
    <xf numFmtId="49" fontId="14" fillId="0" borderId="2" xfId="14" applyNumberFormat="1" applyFont="1" applyBorder="1" applyAlignment="1">
      <alignment horizontal="center" vertical="center" wrapText="1"/>
    </xf>
    <xf numFmtId="49" fontId="14" fillId="0" borderId="1" xfId="14" applyNumberFormat="1" applyFont="1" applyBorder="1" applyAlignment="1">
      <alignment horizontal="center" vertical="center" wrapText="1"/>
    </xf>
    <xf numFmtId="173" fontId="14" fillId="0" borderId="2" xfId="15" applyFont="1" applyBorder="1" applyAlignment="1">
      <alignment horizontal="center" vertical="center" wrapText="1"/>
    </xf>
    <xf numFmtId="0" fontId="10" fillId="0" borderId="1" xfId="2" applyBorder="1" applyAlignment="1">
      <alignment horizontal="center" vertical="center"/>
    </xf>
    <xf numFmtId="0" fontId="14" fillId="0" borderId="2" xfId="3" applyFont="1" applyBorder="1" applyAlignment="1" applyProtection="1">
      <alignment horizontal="center" vertical="center"/>
      <protection locked="0"/>
    </xf>
    <xf numFmtId="0" fontId="14" fillId="0" borderId="2" xfId="9" applyFont="1" applyBorder="1" applyAlignment="1">
      <alignment horizontal="center" vertical="center" wrapText="1"/>
    </xf>
    <xf numFmtId="0" fontId="10" fillId="0" borderId="2" xfId="2" applyBorder="1" applyAlignment="1">
      <alignment horizontal="center" vertical="center"/>
    </xf>
    <xf numFmtId="49" fontId="14" fillId="0" borderId="2" xfId="17" applyNumberFormat="1" applyFont="1" applyBorder="1" applyAlignment="1">
      <alignment horizontal="center" vertical="center" wrapText="1"/>
    </xf>
    <xf numFmtId="49" fontId="14" fillId="0" borderId="2" xfId="18" applyNumberFormat="1" applyFont="1" applyBorder="1" applyAlignment="1">
      <alignment horizontal="center" vertical="center" wrapText="1"/>
    </xf>
    <xf numFmtId="0" fontId="18" fillId="0" borderId="5" xfId="9" applyFont="1" applyBorder="1"/>
    <xf numFmtId="0" fontId="14" fillId="0" borderId="6" xfId="9" applyFont="1" applyBorder="1" applyAlignment="1">
      <alignment horizontal="left" wrapText="1" indent="2"/>
    </xf>
    <xf numFmtId="173" fontId="14" fillId="0" borderId="6" xfId="17" applyFont="1" applyBorder="1" applyAlignment="1">
      <alignment horizontal="left" wrapText="1" indent="2"/>
    </xf>
    <xf numFmtId="173" fontId="14" fillId="0" borderId="6" xfId="17" applyFont="1" applyBorder="1"/>
    <xf numFmtId="0" fontId="14" fillId="0" borderId="6" xfId="2" applyFont="1" applyBorder="1"/>
    <xf numFmtId="173" fontId="14" fillId="0" borderId="6" xfId="17" applyFont="1" applyBorder="1" applyAlignment="1">
      <alignment horizontal="left" wrapText="1" indent="1"/>
    </xf>
    <xf numFmtId="173" fontId="14" fillId="0" borderId="6" xfId="17" applyFont="1" applyBorder="1" applyAlignment="1">
      <alignment vertical="top"/>
    </xf>
    <xf numFmtId="0" fontId="17" fillId="0" borderId="0" xfId="2" applyFont="1" applyAlignment="1">
      <alignment vertical="center"/>
    </xf>
    <xf numFmtId="1" fontId="18" fillId="0" borderId="6" xfId="0" applyNumberFormat="1" applyFont="1" applyBorder="1" applyAlignment="1">
      <alignment horizontal="left" wrapText="1"/>
    </xf>
    <xf numFmtId="0" fontId="14" fillId="0" borderId="1" xfId="3" applyFont="1" applyBorder="1" applyAlignment="1" applyProtection="1">
      <alignment horizontal="center" vertical="center"/>
      <protection locked="0"/>
    </xf>
    <xf numFmtId="0" fontId="14" fillId="0" borderId="0" xfId="0" applyFont="1" applyAlignment="1"/>
    <xf numFmtId="1" fontId="14" fillId="0" borderId="11" xfId="2" applyNumberFormat="1" applyFont="1" applyBorder="1" applyAlignment="1">
      <alignment horizontal="left" wrapText="1"/>
    </xf>
    <xf numFmtId="169" fontId="10" fillId="0" borderId="4" xfId="2" applyNumberFormat="1" applyFont="1" applyBorder="1" applyAlignment="1"/>
    <xf numFmtId="206" fontId="10" fillId="0" borderId="4" xfId="2" applyNumberFormat="1" applyFont="1" applyBorder="1" applyAlignment="1">
      <alignment horizontal="right"/>
    </xf>
    <xf numFmtId="204" fontId="10" fillId="0" borderId="4" xfId="2" applyNumberFormat="1" applyFont="1" applyBorder="1" applyAlignment="1"/>
    <xf numFmtId="0" fontId="14" fillId="0" borderId="11" xfId="3" applyFont="1" applyBorder="1" applyProtection="1">
      <protection locked="0"/>
    </xf>
    <xf numFmtId="165" fontId="14" fillId="0" borderId="4" xfId="3" applyNumberFormat="1" applyFont="1" applyBorder="1" applyAlignment="1" applyProtection="1">
      <alignment horizontal="right"/>
      <protection locked="0"/>
    </xf>
    <xf numFmtId="173" fontId="14" fillId="0" borderId="4" xfId="3" applyNumberFormat="1" applyFont="1" applyBorder="1" applyAlignment="1" applyProtection="1">
      <alignment horizontal="right" indent="3"/>
      <protection locked="0"/>
    </xf>
    <xf numFmtId="1" fontId="14" fillId="0" borderId="11" xfId="0" applyNumberFormat="1" applyFont="1" applyBorder="1" applyAlignment="1">
      <alignment horizontal="left" wrapText="1"/>
    </xf>
    <xf numFmtId="174" fontId="10" fillId="0" borderId="4" xfId="2" applyNumberFormat="1" applyFont="1" applyBorder="1"/>
    <xf numFmtId="168" fontId="25" fillId="0" borderId="4" xfId="2" applyNumberFormat="1" applyFont="1" applyBorder="1"/>
    <xf numFmtId="177" fontId="29" fillId="0" borderId="4" xfId="0" applyNumberFormat="1" applyFont="1" applyBorder="1" applyAlignment="1">
      <alignment horizontal="right"/>
    </xf>
    <xf numFmtId="178" fontId="29" fillId="0" borderId="4" xfId="0" applyNumberFormat="1" applyFont="1" applyBorder="1" applyAlignment="1">
      <alignment horizontal="right"/>
    </xf>
    <xf numFmtId="179" fontId="29" fillId="0" borderId="4" xfId="0" applyNumberFormat="1" applyFont="1" applyBorder="1" applyAlignment="1">
      <alignment horizontal="right"/>
    </xf>
    <xf numFmtId="180" fontId="29" fillId="0" borderId="4" xfId="0" applyNumberFormat="1" applyFont="1" applyBorder="1" applyAlignment="1">
      <alignment horizontal="right"/>
    </xf>
    <xf numFmtId="49" fontId="29" fillId="0" borderId="11" xfId="0" applyNumberFormat="1" applyFont="1" applyFill="1" applyBorder="1" applyAlignment="1"/>
    <xf numFmtId="185" fontId="29" fillId="0" borderId="4" xfId="0" applyNumberFormat="1" applyFont="1" applyBorder="1" applyAlignment="1">
      <alignment horizontal="right"/>
    </xf>
    <xf numFmtId="191" fontId="29" fillId="0" borderId="4" xfId="0" applyNumberFormat="1" applyFont="1" applyBorder="1"/>
    <xf numFmtId="0" fontId="10" fillId="0" borderId="11" xfId="0" applyFont="1" applyBorder="1" applyAlignment="1" applyProtection="1">
      <alignment horizontal="right" vertical="center" wrapText="1" indent="2"/>
      <protection locked="0"/>
    </xf>
    <xf numFmtId="197" fontId="29" fillId="0" borderId="4" xfId="0" applyNumberFormat="1" applyFont="1" applyBorder="1" applyAlignment="1">
      <alignment horizontal="right"/>
    </xf>
    <xf numFmtId="198" fontId="29" fillId="0" borderId="4" xfId="0" applyNumberFormat="1" applyFont="1" applyBorder="1" applyAlignment="1">
      <alignment horizontal="right"/>
    </xf>
    <xf numFmtId="172" fontId="29" fillId="0" borderId="4" xfId="0" applyNumberFormat="1" applyFont="1" applyBorder="1"/>
    <xf numFmtId="200" fontId="29" fillId="0" borderId="4" xfId="0" applyNumberFormat="1" applyFont="1" applyBorder="1"/>
    <xf numFmtId="183" fontId="10" fillId="0" borderId="4" xfId="2" applyNumberFormat="1" applyFont="1" applyBorder="1" applyAlignment="1">
      <alignment horizontal="right"/>
    </xf>
    <xf numFmtId="201" fontId="10" fillId="0" borderId="4" xfId="2" applyNumberFormat="1" applyFont="1" applyBorder="1"/>
    <xf numFmtId="0" fontId="14" fillId="0" borderId="11" xfId="2" applyFont="1" applyBorder="1" applyAlignment="1">
      <alignment horizontal="left" indent="1"/>
    </xf>
    <xf numFmtId="0" fontId="20" fillId="0" borderId="4" xfId="0" applyFont="1" applyBorder="1" applyAlignment="1">
      <alignment horizontal="right" wrapText="1" indent="3"/>
    </xf>
    <xf numFmtId="194" fontId="10" fillId="0" borderId="4" xfId="2" applyNumberFormat="1" applyFont="1" applyBorder="1" applyAlignment="1">
      <alignment horizontal="right"/>
    </xf>
    <xf numFmtId="0" fontId="20" fillId="0" borderId="4" xfId="0" applyFont="1" applyBorder="1" applyAlignment="1">
      <alignment horizontal="right" wrapText="1" indent="6"/>
    </xf>
    <xf numFmtId="49" fontId="14" fillId="0" borderId="1" xfId="18" applyNumberFormat="1" applyFont="1" applyBorder="1" applyAlignment="1">
      <alignment horizontal="center" vertical="center" wrapText="1"/>
    </xf>
    <xf numFmtId="182" fontId="14" fillId="0" borderId="4" xfId="2" applyNumberFormat="1" applyFont="1" applyBorder="1"/>
    <xf numFmtId="195" fontId="10" fillId="0" borderId="4" xfId="2" applyNumberFormat="1" applyFont="1" applyBorder="1"/>
    <xf numFmtId="183" fontId="10" fillId="0" borderId="4" xfId="2" applyNumberFormat="1" applyFont="1" applyBorder="1"/>
    <xf numFmtId="194" fontId="10" fillId="0" borderId="4" xfId="2" applyNumberFormat="1" applyBorder="1"/>
    <xf numFmtId="203" fontId="10" fillId="0" borderId="4" xfId="2" applyNumberFormat="1" applyBorder="1"/>
    <xf numFmtId="1" fontId="18" fillId="0" borderId="0" xfId="0" applyNumberFormat="1" applyFont="1" applyBorder="1" applyAlignment="1">
      <alignment wrapText="1"/>
    </xf>
    <xf numFmtId="194" fontId="19" fillId="0" borderId="13" xfId="2" applyNumberFormat="1" applyFont="1" applyBorder="1"/>
    <xf numFmtId="166" fontId="10" fillId="0" borderId="4" xfId="0" applyNumberFormat="1" applyFont="1" applyBorder="1" applyAlignment="1">
      <alignment horizontal="right"/>
    </xf>
    <xf numFmtId="190" fontId="10" fillId="0" borderId="4" xfId="0" applyNumberFormat="1" applyFont="1" applyBorder="1"/>
    <xf numFmtId="165" fontId="10" fillId="0" borderId="4" xfId="24" applyNumberFormat="1" applyFont="1" applyBorder="1"/>
    <xf numFmtId="0" fontId="14" fillId="0" borderId="0" xfId="0" applyFont="1" applyAlignment="1">
      <alignment horizontal="right"/>
    </xf>
    <xf numFmtId="0" fontId="47" fillId="0" borderId="2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/>
    <xf numFmtId="0" fontId="45" fillId="0" borderId="0" xfId="1" applyFont="1" applyAlignment="1" applyProtection="1">
      <alignment horizontal="left" indent="1"/>
    </xf>
    <xf numFmtId="0" fontId="28" fillId="0" borderId="0" xfId="0" applyFont="1" applyAlignment="1">
      <alignment horizontal="right" wrapText="1"/>
    </xf>
    <xf numFmtId="187" fontId="26" fillId="0" borderId="0" xfId="2" applyNumberFormat="1" applyFont="1"/>
    <xf numFmtId="187" fontId="25" fillId="0" borderId="0" xfId="2" applyNumberFormat="1" applyFont="1"/>
    <xf numFmtId="187" fontId="20" fillId="0" borderId="0" xfId="2" applyNumberFormat="1" applyFont="1"/>
    <xf numFmtId="187" fontId="28" fillId="0" borderId="0" xfId="2" applyNumberFormat="1" applyFont="1"/>
    <xf numFmtId="187" fontId="25" fillId="0" borderId="4" xfId="2" applyNumberFormat="1" applyFont="1" applyBorder="1"/>
    <xf numFmtId="165" fontId="14" fillId="0" borderId="0" xfId="3" applyNumberFormat="1" applyFont="1" applyBorder="1" applyAlignment="1" applyProtection="1">
      <alignment horizontal="center"/>
      <protection locked="0"/>
    </xf>
    <xf numFmtId="169" fontId="10" fillId="0" borderId="0" xfId="2" applyNumberFormat="1" applyFont="1" applyFill="1" applyAlignment="1"/>
    <xf numFmtId="206" fontId="19" fillId="0" borderId="0" xfId="2" applyNumberFormat="1" applyFont="1" applyFill="1" applyAlignment="1">
      <alignment horizontal="right"/>
    </xf>
    <xf numFmtId="204" fontId="19" fillId="0" borderId="0" xfId="2" applyNumberFormat="1" applyFont="1" applyFill="1" applyAlignment="1"/>
    <xf numFmtId="187" fontId="26" fillId="0" borderId="0" xfId="2" applyNumberFormat="1" applyFont="1" applyFill="1"/>
    <xf numFmtId="0" fontId="24" fillId="0" borderId="0" xfId="2" applyFont="1" applyFill="1"/>
    <xf numFmtId="0" fontId="25" fillId="0" borderId="0" xfId="2" applyFont="1" applyBorder="1"/>
    <xf numFmtId="174" fontId="19" fillId="0" borderId="0" xfId="2" applyNumberFormat="1" applyFont="1" applyFill="1"/>
    <xf numFmtId="168" fontId="26" fillId="0" borderId="0" xfId="2" applyNumberFormat="1" applyFont="1" applyFill="1"/>
    <xf numFmtId="0" fontId="10" fillId="0" borderId="2" xfId="0" applyFont="1" applyBorder="1" applyAlignment="1">
      <alignment horizontal="center" vertical="center" wrapText="1"/>
    </xf>
    <xf numFmtId="0" fontId="10" fillId="0" borderId="2" xfId="0" quotePrefix="1" applyFont="1" applyBorder="1" applyAlignment="1">
      <alignment horizontal="center" vertical="center" wrapText="1"/>
    </xf>
    <xf numFmtId="0" fontId="29" fillId="0" borderId="5" xfId="0" applyFont="1" applyBorder="1" applyAlignment="1">
      <alignment horizontal="right" vertical="center" indent="3"/>
    </xf>
    <xf numFmtId="0" fontId="29" fillId="0" borderId="6" xfId="0" applyFont="1" applyBorder="1" applyAlignment="1">
      <alignment horizontal="right" vertical="center" indent="3"/>
    </xf>
    <xf numFmtId="0" fontId="29" fillId="0" borderId="6" xfId="0" applyFont="1" applyBorder="1" applyAlignment="1">
      <alignment horizontal="right" vertical="center" wrapText="1" indent="3"/>
    </xf>
    <xf numFmtId="0" fontId="28" fillId="0" borderId="11" xfId="0" applyFont="1" applyBorder="1" applyAlignment="1">
      <alignment horizontal="right" vertical="center" wrapText="1" indent="3"/>
    </xf>
    <xf numFmtId="197" fontId="27" fillId="0" borderId="0" xfId="0" applyNumberFormat="1" applyFont="1" applyFill="1" applyAlignment="1">
      <alignment horizontal="right"/>
    </xf>
    <xf numFmtId="0" fontId="0" fillId="0" borderId="0" xfId="0" applyFill="1"/>
    <xf numFmtId="198" fontId="27" fillId="0" borderId="0" xfId="0" applyNumberFormat="1" applyFont="1" applyFill="1" applyAlignment="1">
      <alignment horizontal="right"/>
    </xf>
    <xf numFmtId="175" fontId="27" fillId="0" borderId="0" xfId="0" applyNumberFormat="1" applyFont="1"/>
    <xf numFmtId="175" fontId="29" fillId="0" borderId="0" xfId="0" applyNumberFormat="1" applyFont="1"/>
    <xf numFmtId="183" fontId="19" fillId="0" borderId="0" xfId="2" applyNumberFormat="1" applyFont="1" applyFill="1" applyAlignment="1">
      <alignment horizontal="right"/>
    </xf>
    <xf numFmtId="201" fontId="19" fillId="0" borderId="0" xfId="2" applyNumberFormat="1" applyFont="1" applyFill="1"/>
    <xf numFmtId="166" fontId="18" fillId="0" borderId="0" xfId="0" applyNumberFormat="1" applyFont="1" applyFill="1" applyAlignment="1">
      <alignment horizontal="right"/>
    </xf>
    <xf numFmtId="189" fontId="0" fillId="0" borderId="0" xfId="0" applyNumberFormat="1" applyFill="1"/>
    <xf numFmtId="191" fontId="19" fillId="0" borderId="0" xfId="2" applyNumberFormat="1" applyFont="1"/>
    <xf numFmtId="191" fontId="10" fillId="0" borderId="0" xfId="2" applyNumberFormat="1"/>
    <xf numFmtId="191" fontId="10" fillId="0" borderId="0" xfId="2" applyNumberFormat="1" applyFont="1"/>
    <xf numFmtId="191" fontId="10" fillId="0" borderId="4" xfId="2" applyNumberFormat="1" applyFont="1" applyBorder="1"/>
    <xf numFmtId="207" fontId="19" fillId="0" borderId="0" xfId="2" applyNumberFormat="1" applyFont="1"/>
    <xf numFmtId="207" fontId="10" fillId="0" borderId="0" xfId="2" applyNumberFormat="1"/>
    <xf numFmtId="207" fontId="29" fillId="0" borderId="0" xfId="0" applyNumberFormat="1" applyFont="1"/>
    <xf numFmtId="207" fontId="10" fillId="0" borderId="0" xfId="2" applyNumberFormat="1" applyFont="1"/>
    <xf numFmtId="207" fontId="10" fillId="0" borderId="4" xfId="2" applyNumberFormat="1" applyBorder="1"/>
    <xf numFmtId="208" fontId="19" fillId="0" borderId="0" xfId="2" applyNumberFormat="1" applyFont="1"/>
    <xf numFmtId="208" fontId="10" fillId="0" borderId="0" xfId="2" applyNumberFormat="1" applyFont="1"/>
    <xf numFmtId="208" fontId="10" fillId="0" borderId="4" xfId="2" applyNumberFormat="1" applyFont="1" applyBorder="1"/>
    <xf numFmtId="165" fontId="1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19" fillId="0" borderId="0" xfId="0" applyNumberFormat="1" applyFont="1" applyFill="1" applyAlignment="1">
      <alignment horizontal="right"/>
    </xf>
    <xf numFmtId="165" fontId="10" fillId="0" borderId="4" xfId="0" applyNumberFormat="1" applyFont="1" applyBorder="1" applyAlignment="1">
      <alignment horizontal="right"/>
    </xf>
    <xf numFmtId="166" fontId="19" fillId="0" borderId="0" xfId="0" applyNumberFormat="1" applyFont="1" applyAlignment="1">
      <alignment horizontal="right"/>
    </xf>
    <xf numFmtId="190" fontId="19" fillId="0" borderId="0" xfId="0" applyNumberFormat="1" applyFont="1" applyFill="1"/>
    <xf numFmtId="191" fontId="29" fillId="0" borderId="15" xfId="0" applyNumberFormat="1" applyFont="1" applyBorder="1"/>
    <xf numFmtId="191" fontId="29" fillId="0" borderId="0" xfId="0" applyNumberFormat="1" applyFont="1" applyBorder="1"/>
    <xf numFmtId="191" fontId="27" fillId="0" borderId="14" xfId="0" applyNumberFormat="1" applyFont="1" applyBorder="1"/>
    <xf numFmtId="191" fontId="27" fillId="0" borderId="4" xfId="0" applyNumberFormat="1" applyFont="1" applyBorder="1"/>
    <xf numFmtId="185" fontId="29" fillId="0" borderId="14" xfId="0" applyNumberFormat="1" applyFont="1" applyBorder="1" applyAlignment="1">
      <alignment horizontal="right"/>
    </xf>
    <xf numFmtId="0" fontId="19" fillId="0" borderId="6" xfId="9" applyFont="1" applyBorder="1" applyAlignment="1">
      <alignment horizontal="left" vertical="center"/>
    </xf>
    <xf numFmtId="186" fontId="19" fillId="0" borderId="0" xfId="2" applyNumberFormat="1" applyFont="1"/>
    <xf numFmtId="171" fontId="19" fillId="0" borderId="0" xfId="2" applyNumberFormat="1" applyFont="1"/>
    <xf numFmtId="187" fontId="19" fillId="0" borderId="0" xfId="2" applyNumberFormat="1" applyFont="1"/>
    <xf numFmtId="0" fontId="14" fillId="0" borderId="2" xfId="4" applyFont="1" applyBorder="1" applyAlignment="1">
      <alignment horizontal="center" vertical="center"/>
    </xf>
    <xf numFmtId="175" fontId="29" fillId="0" borderId="14" xfId="0" applyNumberFormat="1" applyFont="1" applyBorder="1"/>
    <xf numFmtId="1" fontId="18" fillId="0" borderId="13" xfId="2" applyNumberFormat="1" applyFont="1" applyBorder="1" applyAlignment="1">
      <alignment horizontal="right" indent="5"/>
    </xf>
    <xf numFmtId="1" fontId="18" fillId="0" borderId="0" xfId="2" applyNumberFormat="1" applyFont="1" applyBorder="1" applyAlignment="1">
      <alignment horizontal="right" indent="5"/>
    </xf>
    <xf numFmtId="1" fontId="10" fillId="0" borderId="0" xfId="2" applyNumberFormat="1" applyFont="1" applyBorder="1" applyAlignment="1">
      <alignment horizontal="right" indent="5"/>
    </xf>
    <xf numFmtId="1" fontId="10" fillId="0" borderId="4" xfId="2" applyNumberFormat="1" applyFont="1" applyBorder="1" applyAlignment="1">
      <alignment horizontal="right" indent="5"/>
    </xf>
    <xf numFmtId="1" fontId="19" fillId="0" borderId="0" xfId="2" applyNumberFormat="1" applyFont="1" applyBorder="1" applyAlignment="1">
      <alignment horizontal="right" indent="5"/>
    </xf>
    <xf numFmtId="49" fontId="12" fillId="0" borderId="0" xfId="13" applyNumberFormat="1" applyFont="1" applyAlignment="1">
      <alignment horizontal="center" wrapText="1"/>
    </xf>
    <xf numFmtId="171" fontId="10" fillId="0" borderId="4" xfId="2" applyNumberFormat="1" applyFont="1" applyBorder="1"/>
    <xf numFmtId="209" fontId="10" fillId="0" borderId="0" xfId="2" applyNumberFormat="1" applyFont="1"/>
    <xf numFmtId="210" fontId="10" fillId="0" borderId="0" xfId="2" applyNumberFormat="1" applyFont="1"/>
    <xf numFmtId="0" fontId="10" fillId="0" borderId="0" xfId="0" applyFont="1" applyAlignment="1">
      <alignment horizontal="center" wrapText="1"/>
    </xf>
    <xf numFmtId="1" fontId="18" fillId="0" borderId="0" xfId="2" applyNumberFormat="1" applyFont="1" applyAlignment="1">
      <alignment horizontal="right" indent="1"/>
    </xf>
    <xf numFmtId="1" fontId="14" fillId="0" borderId="0" xfId="0" applyNumberFormat="1" applyFont="1" applyBorder="1" applyAlignment="1">
      <alignment horizontal="right" wrapText="1" indent="1"/>
    </xf>
    <xf numFmtId="1" fontId="29" fillId="0" borderId="0" xfId="0" applyNumberFormat="1" applyFont="1" applyAlignment="1">
      <alignment horizontal="right" indent="1"/>
    </xf>
    <xf numFmtId="1" fontId="14" fillId="0" borderId="0" xfId="2" applyNumberFormat="1" applyFont="1" applyAlignment="1">
      <alignment horizontal="right" indent="1"/>
    </xf>
    <xf numFmtId="1" fontId="10" fillId="0" borderId="0" xfId="2" applyNumberFormat="1" applyFont="1" applyAlignment="1">
      <alignment horizontal="right" indent="1"/>
    </xf>
    <xf numFmtId="1" fontId="14" fillId="0" borderId="4" xfId="2" applyNumberFormat="1" applyFont="1" applyBorder="1" applyAlignment="1">
      <alignment horizontal="right" indent="1"/>
    </xf>
    <xf numFmtId="173" fontId="20" fillId="0" borderId="0" xfId="0" applyNumberFormat="1" applyFont="1" applyBorder="1" applyAlignment="1">
      <alignment horizontal="right" wrapText="1" indent="1"/>
    </xf>
    <xf numFmtId="173" fontId="18" fillId="0" borderId="0" xfId="0" applyNumberFormat="1" applyFont="1" applyBorder="1" applyAlignment="1">
      <alignment horizontal="right" indent="1"/>
    </xf>
    <xf numFmtId="173" fontId="27" fillId="0" borderId="0" xfId="0" applyNumberFormat="1" applyFont="1" applyAlignment="1">
      <alignment horizontal="right" indent="1"/>
    </xf>
    <xf numFmtId="173" fontId="18" fillId="0" borderId="0" xfId="2" applyNumberFormat="1" applyFont="1" applyAlignment="1">
      <alignment horizontal="right" indent="1"/>
    </xf>
    <xf numFmtId="173" fontId="18" fillId="0" borderId="0" xfId="0" applyNumberFormat="1" applyFont="1" applyBorder="1" applyAlignment="1">
      <alignment horizontal="right" vertical="top" wrapText="1" indent="1"/>
    </xf>
    <xf numFmtId="173" fontId="29" fillId="0" borderId="0" xfId="0" applyNumberFormat="1" applyFont="1" applyAlignment="1">
      <alignment horizontal="right" indent="1"/>
    </xf>
    <xf numFmtId="173" fontId="14" fillId="0" borderId="0" xfId="0" applyNumberFormat="1" applyFont="1" applyBorder="1" applyAlignment="1">
      <alignment horizontal="right" wrapText="1" indent="1"/>
    </xf>
    <xf numFmtId="173" fontId="14" fillId="0" borderId="0" xfId="2" applyNumberFormat="1" applyFont="1" applyAlignment="1">
      <alignment horizontal="right" indent="1"/>
    </xf>
    <xf numFmtId="173" fontId="14" fillId="0" borderId="0" xfId="0" applyNumberFormat="1" applyFont="1" applyBorder="1" applyAlignment="1">
      <alignment horizontal="right" indent="1"/>
    </xf>
    <xf numFmtId="173" fontId="10" fillId="0" borderId="0" xfId="2" applyNumberFormat="1" applyFont="1" applyAlignment="1">
      <alignment horizontal="right" indent="1"/>
    </xf>
    <xf numFmtId="173" fontId="18" fillId="0" borderId="0" xfId="0" applyNumberFormat="1" applyFont="1" applyBorder="1" applyAlignment="1">
      <alignment horizontal="right" wrapText="1" indent="1"/>
    </xf>
    <xf numFmtId="173" fontId="19" fillId="0" borderId="0" xfId="0" applyNumberFormat="1" applyFont="1" applyBorder="1" applyAlignment="1">
      <alignment horizontal="right" wrapText="1" indent="1"/>
    </xf>
    <xf numFmtId="173" fontId="14" fillId="0" borderId="4" xfId="0" applyNumberFormat="1" applyFont="1" applyBorder="1" applyAlignment="1">
      <alignment horizontal="right" wrapText="1" indent="1"/>
    </xf>
    <xf numFmtId="173" fontId="29" fillId="0" borderId="4" xfId="0" applyNumberFormat="1" applyFont="1" applyBorder="1" applyAlignment="1">
      <alignment horizontal="right" indent="1"/>
    </xf>
    <xf numFmtId="173" fontId="14" fillId="0" borderId="4" xfId="2" applyNumberFormat="1" applyFont="1" applyBorder="1" applyAlignment="1">
      <alignment horizontal="right" indent="1"/>
    </xf>
    <xf numFmtId="167" fontId="27" fillId="0" borderId="0" xfId="0" applyNumberFormat="1" applyFont="1" applyAlignment="1"/>
    <xf numFmtId="167" fontId="29" fillId="0" borderId="0" xfId="0" applyNumberFormat="1" applyFont="1" applyAlignment="1"/>
    <xf numFmtId="0" fontId="14" fillId="0" borderId="4" xfId="11" applyFont="1" applyBorder="1" applyAlignment="1"/>
    <xf numFmtId="0" fontId="14" fillId="0" borderId="4" xfId="12" applyFont="1" applyBorder="1" applyAlignment="1"/>
    <xf numFmtId="1" fontId="14" fillId="0" borderId="6" xfId="0" applyNumberFormat="1" applyFont="1" applyBorder="1" applyAlignment="1">
      <alignment horizontal="left" vertical="center" wrapText="1"/>
    </xf>
    <xf numFmtId="191" fontId="10" fillId="0" borderId="4" xfId="2" applyNumberFormat="1" applyBorder="1"/>
    <xf numFmtId="182" fontId="19" fillId="0" borderId="0" xfId="2" applyNumberFormat="1" applyFont="1"/>
    <xf numFmtId="182" fontId="10" fillId="0" borderId="4" xfId="2" applyNumberFormat="1" applyBorder="1"/>
    <xf numFmtId="173" fontId="20" fillId="0" borderId="0" xfId="0" applyNumberFormat="1" applyFont="1" applyAlignment="1">
      <alignment horizontal="right" indent="1"/>
    </xf>
    <xf numFmtId="1" fontId="14" fillId="0" borderId="6" xfId="0" applyNumberFormat="1" applyFont="1" applyFill="1" applyBorder="1" applyAlignment="1">
      <alignment horizontal="left" wrapText="1"/>
    </xf>
    <xf numFmtId="0" fontId="14" fillId="0" borderId="2" xfId="3" applyFont="1" applyBorder="1" applyAlignment="1" applyProtection="1">
      <alignment horizontal="center" vertical="center"/>
      <protection locked="0"/>
    </xf>
    <xf numFmtId="0" fontId="14" fillId="0" borderId="2" xfId="4" applyFont="1" applyBorder="1" applyAlignment="1">
      <alignment horizontal="center" vertical="center"/>
    </xf>
    <xf numFmtId="49" fontId="14" fillId="0" borderId="2" xfId="13" applyNumberFormat="1" applyFont="1" applyBorder="1" applyAlignment="1">
      <alignment horizontal="center" vertical="center" wrapText="1"/>
    </xf>
    <xf numFmtId="167" fontId="29" fillId="0" borderId="0" xfId="0" applyNumberFormat="1" applyFont="1" applyFill="1" applyAlignment="1"/>
    <xf numFmtId="0" fontId="17" fillId="0" borderId="0" xfId="2" applyFont="1" applyFill="1"/>
    <xf numFmtId="0" fontId="20" fillId="0" borderId="0" xfId="0" applyFont="1" applyBorder="1" applyAlignment="1">
      <alignment horizontal="right" wrapText="1" indent="6"/>
    </xf>
    <xf numFmtId="2" fontId="26" fillId="0" borderId="0" xfId="2" applyNumberFormat="1" applyFont="1" applyAlignment="1">
      <alignment horizontal="center" vertical="center"/>
    </xf>
    <xf numFmtId="2" fontId="25" fillId="0" borderId="0" xfId="2" applyNumberFormat="1" applyFont="1" applyAlignment="1">
      <alignment horizontal="center"/>
    </xf>
    <xf numFmtId="173" fontId="26" fillId="0" borderId="0" xfId="2" applyNumberFormat="1" applyFont="1" applyAlignment="1">
      <alignment horizontal="center"/>
    </xf>
    <xf numFmtId="173" fontId="10" fillId="0" borderId="0" xfId="0" applyNumberFormat="1" applyFont="1" applyBorder="1" applyAlignment="1">
      <alignment horizontal="right" wrapText="1" indent="1"/>
    </xf>
    <xf numFmtId="173" fontId="12" fillId="0" borderId="0" xfId="2" applyNumberFormat="1" applyFont="1"/>
    <xf numFmtId="165" fontId="10" fillId="0" borderId="0" xfId="24" applyNumberFormat="1" applyFont="1" applyBorder="1"/>
    <xf numFmtId="1" fontId="14" fillId="0" borderId="0" xfId="0" applyNumberFormat="1" applyFont="1" applyFill="1" applyBorder="1" applyAlignment="1">
      <alignment horizontal="center" wrapText="1"/>
    </xf>
    <xf numFmtId="191" fontId="27" fillId="0" borderId="0" xfId="0" applyNumberFormat="1" applyFont="1" applyFill="1"/>
    <xf numFmtId="0" fontId="28" fillId="0" borderId="13" xfId="0" applyFont="1" applyBorder="1" applyAlignment="1">
      <alignment horizontal="right" wrapText="1" indent="6"/>
    </xf>
    <xf numFmtId="173" fontId="20" fillId="0" borderId="0" xfId="0" applyNumberFormat="1" applyFont="1" applyBorder="1" applyAlignment="1">
      <alignment horizontal="right" wrapText="1" indent="6"/>
    </xf>
    <xf numFmtId="173" fontId="14" fillId="0" borderId="6" xfId="17" applyFont="1" applyFill="1" applyBorder="1" applyAlignment="1">
      <alignment horizontal="left" wrapText="1" indent="2"/>
    </xf>
    <xf numFmtId="0" fontId="14" fillId="0" borderId="2" xfId="3" applyFont="1" applyBorder="1" applyAlignment="1" applyProtection="1">
      <alignment horizontal="center" vertical="center"/>
      <protection locked="0"/>
    </xf>
    <xf numFmtId="0" fontId="50" fillId="0" borderId="0" xfId="2" applyFont="1"/>
    <xf numFmtId="183" fontId="10" fillId="0" borderId="0" xfId="2" applyNumberFormat="1" applyFont="1" applyBorder="1" applyAlignment="1">
      <alignment horizontal="right"/>
    </xf>
    <xf numFmtId="201" fontId="10" fillId="0" borderId="0" xfId="2" applyNumberFormat="1" applyFont="1" applyBorder="1"/>
    <xf numFmtId="0" fontId="17" fillId="0" borderId="4" xfId="2" applyFont="1" applyBorder="1"/>
    <xf numFmtId="167" fontId="14" fillId="0" borderId="0" xfId="3" applyNumberFormat="1" applyFont="1" applyBorder="1" applyAlignment="1" applyProtection="1">
      <alignment horizontal="right"/>
      <protection locked="0"/>
    </xf>
    <xf numFmtId="167" fontId="14" fillId="0" borderId="4" xfId="3" applyNumberFormat="1" applyFont="1" applyBorder="1" applyAlignment="1" applyProtection="1">
      <alignment horizontal="right"/>
      <protection locked="0"/>
    </xf>
    <xf numFmtId="187" fontId="26" fillId="0" borderId="12" xfId="2" applyNumberFormat="1" applyFont="1" applyBorder="1"/>
    <xf numFmtId="187" fontId="26" fillId="0" borderId="15" xfId="2" applyNumberFormat="1" applyFont="1" applyBorder="1"/>
    <xf numFmtId="187" fontId="25" fillId="0" borderId="15" xfId="2" applyNumberFormat="1" applyFont="1" applyBorder="1"/>
    <xf numFmtId="187" fontId="26" fillId="0" borderId="15" xfId="2" applyNumberFormat="1" applyFont="1" applyFill="1" applyBorder="1"/>
    <xf numFmtId="187" fontId="20" fillId="0" borderId="15" xfId="2" applyNumberFormat="1" applyFont="1" applyBorder="1"/>
    <xf numFmtId="187" fontId="28" fillId="0" borderId="15" xfId="2" applyNumberFormat="1" applyFont="1" applyBorder="1"/>
    <xf numFmtId="187" fontId="25" fillId="0" borderId="14" xfId="2" applyNumberFormat="1" applyFont="1" applyBorder="1"/>
    <xf numFmtId="187" fontId="26" fillId="0" borderId="13" xfId="2" applyNumberFormat="1" applyFont="1" applyBorder="1"/>
    <xf numFmtId="187" fontId="26" fillId="0" borderId="0" xfId="2" applyNumberFormat="1" applyFont="1" applyBorder="1"/>
    <xf numFmtId="187" fontId="25" fillId="0" borderId="0" xfId="2" applyNumberFormat="1" applyFont="1" applyBorder="1"/>
    <xf numFmtId="187" fontId="26" fillId="0" borderId="0" xfId="2" applyNumberFormat="1" applyFont="1" applyFill="1" applyBorder="1"/>
    <xf numFmtId="187" fontId="20" fillId="0" borderId="0" xfId="2" applyNumberFormat="1" applyFont="1" applyBorder="1"/>
    <xf numFmtId="187" fontId="28" fillId="0" borderId="0" xfId="2" applyNumberFormat="1" applyFont="1" applyBorder="1"/>
    <xf numFmtId="2" fontId="25" fillId="0" borderId="0" xfId="2" applyNumberFormat="1" applyFont="1" applyBorder="1" applyAlignment="1">
      <alignment horizontal="center"/>
    </xf>
    <xf numFmtId="2" fontId="26" fillId="0" borderId="0" xfId="2" applyNumberFormat="1" applyFont="1" applyBorder="1" applyAlignment="1">
      <alignment horizontal="center" vertical="center"/>
    </xf>
    <xf numFmtId="173" fontId="26" fillId="0" borderId="0" xfId="2" applyNumberFormat="1" applyFont="1" applyBorder="1" applyAlignment="1">
      <alignment horizontal="center"/>
    </xf>
    <xf numFmtId="173" fontId="37" fillId="0" borderId="0" xfId="3" applyNumberFormat="1" applyFont="1" applyBorder="1" applyAlignment="1" applyProtection="1">
      <alignment horizontal="center"/>
      <protection locked="0"/>
    </xf>
    <xf numFmtId="0" fontId="12" fillId="0" borderId="0" xfId="0" applyFont="1" applyAlignment="1">
      <alignment horizontal="center" wrapText="1"/>
    </xf>
    <xf numFmtId="49" fontId="14" fillId="0" borderId="2" xfId="13" applyNumberFormat="1" applyFont="1" applyBorder="1" applyAlignment="1">
      <alignment horizontal="center" vertical="center"/>
    </xf>
    <xf numFmtId="49" fontId="14" fillId="0" borderId="2" xfId="13" applyNumberFormat="1" applyFont="1" applyBorder="1" applyAlignment="1">
      <alignment horizontal="center" vertical="center" wrapText="1"/>
    </xf>
    <xf numFmtId="180" fontId="27" fillId="0" borderId="0" xfId="0" applyNumberFormat="1" applyFont="1"/>
    <xf numFmtId="180" fontId="29" fillId="0" borderId="0" xfId="0" applyNumberFormat="1" applyFont="1"/>
    <xf numFmtId="180" fontId="29" fillId="0" borderId="4" xfId="0" applyNumberFormat="1" applyFont="1" applyBorder="1"/>
    <xf numFmtId="211" fontId="29" fillId="0" borderId="0" xfId="0" applyNumberFormat="1" applyFont="1"/>
    <xf numFmtId="211" fontId="27" fillId="0" borderId="0" xfId="0" applyNumberFormat="1" applyFont="1"/>
    <xf numFmtId="211" fontId="29" fillId="0" borderId="4" xfId="0" applyNumberFormat="1" applyFont="1" applyBorder="1"/>
    <xf numFmtId="186" fontId="14" fillId="0" borderId="0" xfId="2" applyNumberFormat="1" applyFont="1"/>
    <xf numFmtId="173" fontId="14" fillId="0" borderId="0" xfId="2" applyNumberFormat="1" applyFont="1" applyAlignment="1">
      <alignment horizontal="right" indent="4"/>
    </xf>
    <xf numFmtId="212" fontId="10" fillId="0" borderId="0" xfId="2" applyNumberFormat="1" applyFont="1" applyAlignment="1">
      <alignment horizontal="right" indent="4"/>
    </xf>
    <xf numFmtId="173" fontId="10" fillId="0" borderId="0" xfId="2" applyNumberFormat="1" applyFont="1" applyAlignment="1">
      <alignment horizontal="center"/>
    </xf>
    <xf numFmtId="191" fontId="29" fillId="0" borderId="12" xfId="0" applyNumberFormat="1" applyFont="1" applyBorder="1"/>
    <xf numFmtId="191" fontId="27" fillId="0" borderId="15" xfId="0" applyNumberFormat="1" applyFont="1" applyBorder="1"/>
    <xf numFmtId="191" fontId="29" fillId="0" borderId="14" xfId="0" applyNumberFormat="1" applyFont="1" applyBorder="1"/>
    <xf numFmtId="0" fontId="28" fillId="0" borderId="0" xfId="0" applyFont="1" applyBorder="1" applyAlignment="1">
      <alignment wrapText="1"/>
    </xf>
    <xf numFmtId="0" fontId="28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0" fillId="0" borderId="0" xfId="0" applyFont="1"/>
    <xf numFmtId="0" fontId="36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9" fillId="0" borderId="0" xfId="0" applyFont="1" applyAlignment="1">
      <alignment horizontal="left" vertical="center"/>
    </xf>
    <xf numFmtId="0" fontId="12" fillId="0" borderId="0" xfId="3" applyFont="1" applyAlignment="1" applyProtection="1">
      <alignment horizontal="center" wrapText="1"/>
      <protection locked="0"/>
    </xf>
    <xf numFmtId="0" fontId="14" fillId="0" borderId="2" xfId="3" applyFont="1" applyBorder="1" applyAlignment="1" applyProtection="1">
      <alignment horizontal="center" vertical="center"/>
      <protection locked="0"/>
    </xf>
    <xf numFmtId="49" fontId="12" fillId="0" borderId="0" xfId="4" applyNumberFormat="1" applyFont="1" applyAlignment="1">
      <alignment horizontal="center" wrapText="1"/>
    </xf>
    <xf numFmtId="0" fontId="12" fillId="0" borderId="0" xfId="2" applyFont="1" applyAlignment="1">
      <alignment horizontal="center" wrapText="1"/>
    </xf>
    <xf numFmtId="169" fontId="14" fillId="0" borderId="2" xfId="4" applyNumberFormat="1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/>
    </xf>
    <xf numFmtId="49" fontId="14" fillId="0" borderId="2" xfId="4" applyNumberFormat="1" applyFont="1" applyBorder="1" applyAlignment="1">
      <alignment horizontal="center" vertical="center"/>
    </xf>
    <xf numFmtId="49" fontId="14" fillId="0" borderId="2" xfId="4" applyNumberFormat="1" applyFont="1" applyBorder="1" applyAlignment="1">
      <alignment horizontal="center" vertical="center" wrapText="1"/>
    </xf>
    <xf numFmtId="49" fontId="14" fillId="0" borderId="2" xfId="4" applyNumberFormat="1" applyFont="1" applyBorder="1" applyAlignment="1">
      <alignment horizontal="center" vertical="top" wrapText="1"/>
    </xf>
    <xf numFmtId="1" fontId="10" fillId="0" borderId="0" xfId="0" applyNumberFormat="1" applyFont="1" applyFill="1" applyBorder="1" applyAlignment="1">
      <alignment horizontal="left" wrapText="1"/>
    </xf>
    <xf numFmtId="49" fontId="23" fillId="0" borderId="0" xfId="6" applyNumberFormat="1" applyFont="1" applyAlignment="1">
      <alignment horizontal="center" wrapText="1"/>
    </xf>
    <xf numFmtId="0" fontId="23" fillId="0" borderId="0" xfId="2" applyFont="1" applyAlignment="1">
      <alignment horizontal="center" wrapText="1"/>
    </xf>
    <xf numFmtId="49" fontId="23" fillId="0" borderId="0" xfId="6" applyNumberFormat="1" applyFont="1" applyBorder="1" applyAlignment="1">
      <alignment horizontal="center"/>
    </xf>
    <xf numFmtId="0" fontId="25" fillId="0" borderId="2" xfId="6" applyFont="1" applyBorder="1" applyAlignment="1">
      <alignment horizontal="center" vertical="center"/>
    </xf>
    <xf numFmtId="49" fontId="25" fillId="0" borderId="2" xfId="6" applyNumberFormat="1" applyFont="1" applyBorder="1" applyAlignment="1">
      <alignment horizontal="center" vertical="center"/>
    </xf>
    <xf numFmtId="49" fontId="25" fillId="0" borderId="2" xfId="6" applyNumberFormat="1" applyFont="1" applyBorder="1" applyAlignment="1">
      <alignment horizontal="center" vertical="center" wrapText="1"/>
    </xf>
    <xf numFmtId="49" fontId="12" fillId="0" borderId="0" xfId="4" applyNumberFormat="1" applyFont="1" applyAlignment="1">
      <alignment horizontal="center"/>
    </xf>
    <xf numFmtId="0" fontId="12" fillId="0" borderId="0" xfId="7" applyFont="1" applyAlignment="1">
      <alignment horizontal="center"/>
    </xf>
    <xf numFmtId="0" fontId="14" fillId="0" borderId="2" xfId="7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top"/>
    </xf>
    <xf numFmtId="49" fontId="12" fillId="0" borderId="0" xfId="8" applyNumberFormat="1" applyFont="1" applyAlignment="1">
      <alignment horizontal="center"/>
    </xf>
    <xf numFmtId="49" fontId="12" fillId="0" borderId="0" xfId="8" applyNumberFormat="1" applyFont="1" applyBorder="1" applyAlignment="1">
      <alignment horizontal="center"/>
    </xf>
    <xf numFmtId="0" fontId="10" fillId="0" borderId="7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49" fontId="12" fillId="0" borderId="0" xfId="9" applyNumberFormat="1" applyFont="1" applyAlignment="1">
      <alignment horizontal="center" wrapText="1"/>
    </xf>
    <xf numFmtId="0" fontId="14" fillId="0" borderId="2" xfId="8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/>
    </xf>
    <xf numFmtId="49" fontId="12" fillId="0" borderId="4" xfId="9" applyNumberFormat="1" applyFont="1" applyBorder="1" applyAlignment="1">
      <alignment horizontal="center" wrapText="1"/>
    </xf>
    <xf numFmtId="49" fontId="18" fillId="0" borderId="0" xfId="9" applyNumberFormat="1" applyFont="1" applyAlignment="1">
      <alignment horizontal="center" wrapText="1"/>
    </xf>
    <xf numFmtId="0" fontId="14" fillId="0" borderId="2" xfId="9" applyFont="1" applyBorder="1" applyAlignment="1">
      <alignment horizontal="center" vertical="center"/>
    </xf>
    <xf numFmtId="49" fontId="14" fillId="0" borderId="12" xfId="9" applyNumberFormat="1" applyFont="1" applyBorder="1" applyAlignment="1">
      <alignment horizontal="center" vertical="center"/>
    </xf>
    <xf numFmtId="49" fontId="14" fillId="0" borderId="13" xfId="9" applyNumberFormat="1" applyFont="1" applyBorder="1" applyAlignment="1">
      <alignment horizontal="center" vertical="center"/>
    </xf>
    <xf numFmtId="49" fontId="14" fillId="0" borderId="5" xfId="9" applyNumberFormat="1" applyFont="1" applyBorder="1" applyAlignment="1">
      <alignment horizontal="center" vertical="center"/>
    </xf>
    <xf numFmtId="49" fontId="14" fillId="0" borderId="14" xfId="9" applyNumberFormat="1" applyFont="1" applyBorder="1" applyAlignment="1">
      <alignment horizontal="center" vertical="center"/>
    </xf>
    <xf numFmtId="49" fontId="14" fillId="0" borderId="4" xfId="9" applyNumberFormat="1" applyFont="1" applyBorder="1" applyAlignment="1">
      <alignment horizontal="center" vertical="center"/>
    </xf>
    <xf numFmtId="49" fontId="14" fillId="0" borderId="11" xfId="9" applyNumberFormat="1" applyFont="1" applyBorder="1" applyAlignment="1">
      <alignment horizontal="center" vertical="center"/>
    </xf>
    <xf numFmtId="49" fontId="14" fillId="0" borderId="12" xfId="9" applyNumberFormat="1" applyFont="1" applyBorder="1" applyAlignment="1">
      <alignment horizontal="center" vertical="center" wrapText="1"/>
    </xf>
    <xf numFmtId="49" fontId="14" fillId="0" borderId="5" xfId="9" applyNumberFormat="1" applyFont="1" applyBorder="1" applyAlignment="1">
      <alignment horizontal="center" vertical="center" wrapText="1"/>
    </xf>
    <xf numFmtId="49" fontId="14" fillId="0" borderId="14" xfId="9" applyNumberFormat="1" applyFont="1" applyBorder="1" applyAlignment="1">
      <alignment horizontal="center" vertical="center" wrapText="1"/>
    </xf>
    <xf numFmtId="49" fontId="14" fillId="0" borderId="11" xfId="9" applyNumberFormat="1" applyFont="1" applyBorder="1" applyAlignment="1">
      <alignment horizontal="center" vertical="center" wrapText="1"/>
    </xf>
    <xf numFmtId="0" fontId="14" fillId="0" borderId="2" xfId="12" applyFont="1" applyBorder="1" applyAlignment="1">
      <alignment horizontal="center" vertical="center"/>
    </xf>
    <xf numFmtId="0" fontId="12" fillId="0" borderId="0" xfId="11" applyFont="1" applyAlignment="1">
      <alignment horizontal="center" wrapText="1"/>
    </xf>
    <xf numFmtId="0" fontId="14" fillId="0" borderId="7" xfId="12" applyFont="1" applyBorder="1" applyAlignment="1">
      <alignment horizontal="center" vertical="center" wrapText="1"/>
    </xf>
    <xf numFmtId="0" fontId="14" fillId="0" borderId="10" xfId="12" applyFont="1" applyBorder="1" applyAlignment="1">
      <alignment horizontal="center" vertical="center" wrapText="1"/>
    </xf>
    <xf numFmtId="49" fontId="14" fillId="0" borderId="3" xfId="12" applyNumberFormat="1" applyFont="1" applyBorder="1" applyAlignment="1">
      <alignment horizontal="center" vertical="center"/>
    </xf>
    <xf numFmtId="49" fontId="14" fillId="0" borderId="8" xfId="12" applyNumberFormat="1" applyFont="1" applyBorder="1" applyAlignment="1">
      <alignment horizontal="center" vertical="center"/>
    </xf>
    <xf numFmtId="49" fontId="14" fillId="0" borderId="1" xfId="12" applyNumberFormat="1" applyFont="1" applyBorder="1" applyAlignment="1">
      <alignment horizontal="center" vertical="center"/>
    </xf>
    <xf numFmtId="0" fontId="12" fillId="0" borderId="0" xfId="12" applyFont="1" applyAlignment="1">
      <alignment horizontal="center" wrapText="1"/>
    </xf>
    <xf numFmtId="0" fontId="19" fillId="0" borderId="4" xfId="12" applyFont="1" applyBorder="1" applyAlignment="1">
      <alignment horizontal="center"/>
    </xf>
    <xf numFmtId="49" fontId="12" fillId="0" borderId="0" xfId="13" applyNumberFormat="1" applyFont="1" applyAlignment="1">
      <alignment horizontal="center" wrapText="1"/>
    </xf>
    <xf numFmtId="0" fontId="12" fillId="0" borderId="0" xfId="0" applyFont="1" applyAlignment="1">
      <alignment horizontal="center" wrapText="1"/>
    </xf>
    <xf numFmtId="49" fontId="14" fillId="0" borderId="2" xfId="13" applyNumberFormat="1" applyFont="1" applyBorder="1" applyAlignment="1">
      <alignment horizontal="center" vertical="center"/>
    </xf>
    <xf numFmtId="49" fontId="14" fillId="0" borderId="1" xfId="13" applyNumberFormat="1" applyFont="1" applyBorder="1" applyAlignment="1">
      <alignment horizontal="center"/>
    </xf>
    <xf numFmtId="49" fontId="14" fillId="0" borderId="2" xfId="13" applyNumberFormat="1" applyFont="1" applyBorder="1" applyAlignment="1">
      <alignment horizontal="center"/>
    </xf>
    <xf numFmtId="49" fontId="14" fillId="0" borderId="7" xfId="13" applyNumberFormat="1" applyFont="1" applyBorder="1" applyAlignment="1">
      <alignment horizontal="center" vertical="center"/>
    </xf>
    <xf numFmtId="49" fontId="14" fillId="0" borderId="10" xfId="13" applyNumberFormat="1" applyFont="1" applyBorder="1" applyAlignment="1">
      <alignment horizontal="center" vertical="center"/>
    </xf>
    <xf numFmtId="49" fontId="12" fillId="0" borderId="0" xfId="13" applyNumberFormat="1" applyFont="1" applyBorder="1" applyAlignment="1">
      <alignment horizontal="center" wrapText="1"/>
    </xf>
    <xf numFmtId="0" fontId="14" fillId="0" borderId="2" xfId="11" applyFont="1" applyBorder="1" applyAlignment="1">
      <alignment horizontal="center" vertical="center"/>
    </xf>
    <xf numFmtId="49" fontId="14" fillId="0" borderId="3" xfId="11" applyNumberFormat="1" applyFont="1" applyBorder="1" applyAlignment="1">
      <alignment horizontal="center" vertical="center"/>
    </xf>
    <xf numFmtId="49" fontId="14" fillId="0" borderId="8" xfId="11" applyNumberFormat="1" applyFont="1" applyBorder="1" applyAlignment="1">
      <alignment horizontal="center" vertical="center"/>
    </xf>
    <xf numFmtId="49" fontId="14" fillId="0" borderId="1" xfId="11" applyNumberFormat="1" applyFont="1" applyBorder="1" applyAlignment="1">
      <alignment horizontal="center" vertical="center"/>
    </xf>
    <xf numFmtId="0" fontId="14" fillId="0" borderId="7" xfId="11" applyFont="1" applyBorder="1" applyAlignment="1">
      <alignment horizontal="center" vertical="center"/>
    </xf>
    <xf numFmtId="0" fontId="14" fillId="0" borderId="10" xfId="11" applyFont="1" applyBorder="1" applyAlignment="1">
      <alignment horizontal="center" vertical="center"/>
    </xf>
    <xf numFmtId="49" fontId="14" fillId="0" borderId="2" xfId="13" applyNumberFormat="1" applyFont="1" applyBorder="1" applyAlignment="1">
      <alignment horizontal="center" vertical="center" wrapText="1"/>
    </xf>
    <xf numFmtId="199" fontId="49" fillId="0" borderId="0" xfId="0" applyNumberFormat="1" applyFont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14" fillId="0" borderId="2" xfId="14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18" fillId="0" borderId="0" xfId="14" applyFont="1" applyAlignment="1">
      <alignment horizontal="center" wrapText="1"/>
    </xf>
    <xf numFmtId="0" fontId="18" fillId="0" borderId="0" xfId="0" applyFont="1" applyAlignment="1">
      <alignment horizontal="center" wrapText="1"/>
    </xf>
    <xf numFmtId="1" fontId="10" fillId="0" borderId="0" xfId="0" applyNumberFormat="1" applyFont="1" applyBorder="1" applyAlignment="1">
      <alignment horizontal="left" wrapText="1"/>
    </xf>
    <xf numFmtId="1" fontId="14" fillId="0" borderId="0" xfId="0" applyNumberFormat="1" applyFont="1" applyBorder="1" applyAlignment="1">
      <alignment horizontal="left" wrapText="1"/>
    </xf>
    <xf numFmtId="49" fontId="20" fillId="0" borderId="12" xfId="15" applyNumberFormat="1" applyFont="1" applyBorder="1" applyAlignment="1">
      <alignment horizontal="center" vertical="center" wrapText="1"/>
    </xf>
    <xf numFmtId="49" fontId="20" fillId="0" borderId="13" xfId="15" applyNumberFormat="1" applyFont="1" applyBorder="1" applyAlignment="1">
      <alignment horizontal="center" vertical="center" wrapText="1"/>
    </xf>
    <xf numFmtId="49" fontId="20" fillId="0" borderId="14" xfId="15" applyNumberFormat="1" applyFont="1" applyBorder="1" applyAlignment="1">
      <alignment horizontal="center" vertical="center" wrapText="1"/>
    </xf>
    <xf numFmtId="49" fontId="20" fillId="0" borderId="4" xfId="15" applyNumberFormat="1" applyFont="1" applyBorder="1" applyAlignment="1">
      <alignment horizontal="center" vertical="center" wrapText="1"/>
    </xf>
    <xf numFmtId="49" fontId="20" fillId="0" borderId="5" xfId="15" applyNumberFormat="1" applyFont="1" applyBorder="1" applyAlignment="1">
      <alignment horizontal="center" vertical="center" wrapText="1"/>
    </xf>
    <xf numFmtId="49" fontId="20" fillId="0" borderId="11" xfId="15" applyNumberFormat="1" applyFont="1" applyBorder="1" applyAlignment="1">
      <alignment horizontal="center" vertical="center" wrapText="1"/>
    </xf>
    <xf numFmtId="173" fontId="12" fillId="0" borderId="0" xfId="15" applyFont="1" applyBorder="1" applyAlignment="1">
      <alignment horizontal="center" wrapText="1"/>
    </xf>
    <xf numFmtId="173" fontId="14" fillId="0" borderId="0" xfId="15" applyFont="1" applyBorder="1" applyAlignment="1">
      <alignment horizontal="center" wrapText="1"/>
    </xf>
    <xf numFmtId="0" fontId="14" fillId="0" borderId="0" xfId="2" applyFont="1" applyBorder="1" applyAlignment="1">
      <alignment horizontal="center" wrapText="1"/>
    </xf>
    <xf numFmtId="173" fontId="14" fillId="0" borderId="2" xfId="15" applyFont="1" applyBorder="1" applyAlignment="1">
      <alignment horizontal="center" vertical="center"/>
    </xf>
    <xf numFmtId="173" fontId="34" fillId="0" borderId="0" xfId="15" applyFont="1" applyBorder="1" applyAlignment="1">
      <alignment horizontal="center" wrapText="1"/>
    </xf>
    <xf numFmtId="173" fontId="14" fillId="0" borderId="2" xfId="17" applyFont="1" applyBorder="1" applyAlignment="1">
      <alignment horizontal="center" vertical="center"/>
    </xf>
    <xf numFmtId="49" fontId="14" fillId="0" borderId="2" xfId="17" applyNumberFormat="1" applyFont="1" applyBorder="1" applyAlignment="1">
      <alignment horizontal="center" vertical="center" wrapText="1"/>
    </xf>
    <xf numFmtId="49" fontId="12" fillId="0" borderId="0" xfId="18" applyNumberFormat="1" applyFont="1" applyAlignment="1">
      <alignment horizontal="center"/>
    </xf>
    <xf numFmtId="49" fontId="12" fillId="0" borderId="0" xfId="18" applyNumberFormat="1" applyFont="1" applyAlignment="1">
      <alignment horizontal="center" wrapText="1"/>
    </xf>
    <xf numFmtId="0" fontId="14" fillId="0" borderId="2" xfId="18" applyFont="1" applyBorder="1" applyAlignment="1">
      <alignment horizontal="center" vertical="center"/>
    </xf>
    <xf numFmtId="49" fontId="14" fillId="0" borderId="1" xfId="18" applyNumberFormat="1" applyFont="1" applyBorder="1" applyAlignment="1">
      <alignment horizontal="center" vertical="center"/>
    </xf>
    <xf numFmtId="49" fontId="14" fillId="0" borderId="2" xfId="18" applyNumberFormat="1" applyFont="1" applyBorder="1" applyAlignment="1">
      <alignment horizontal="center" vertical="center"/>
    </xf>
    <xf numFmtId="0" fontId="14" fillId="0" borderId="7" xfId="18" applyFont="1" applyBorder="1" applyAlignment="1">
      <alignment horizontal="center" vertical="center" wrapText="1"/>
    </xf>
    <xf numFmtId="0" fontId="14" fillId="0" borderId="10" xfId="18" applyFont="1" applyBorder="1" applyAlignment="1">
      <alignment horizontal="center" vertical="center" wrapText="1"/>
    </xf>
    <xf numFmtId="0" fontId="12" fillId="0" borderId="0" xfId="20" applyFont="1" applyAlignment="1" applyProtection="1">
      <alignment horizontal="center" wrapText="1"/>
      <protection locked="0"/>
    </xf>
    <xf numFmtId="0" fontId="14" fillId="0" borderId="2" xfId="20" applyFont="1" applyBorder="1" applyAlignment="1" applyProtection="1">
      <alignment horizontal="center" vertical="center"/>
      <protection locked="0"/>
    </xf>
    <xf numFmtId="0" fontId="18" fillId="0" borderId="2" xfId="20" applyFont="1" applyBorder="1" applyAlignment="1" applyProtection="1">
      <alignment horizontal="center" vertical="center"/>
      <protection locked="0"/>
    </xf>
    <xf numFmtId="0" fontId="14" fillId="0" borderId="7" xfId="20" applyFont="1" applyBorder="1" applyAlignment="1" applyProtection="1">
      <alignment horizontal="center" vertical="center" wrapText="1"/>
      <protection locked="0"/>
    </xf>
    <xf numFmtId="0" fontId="14" fillId="0" borderId="10" xfId="20" applyFont="1" applyBorder="1" applyAlignment="1" applyProtection="1">
      <alignment horizontal="center" vertical="center" wrapText="1"/>
      <protection locked="0"/>
    </xf>
    <xf numFmtId="49" fontId="12" fillId="0" borderId="0" xfId="21" applyNumberFormat="1" applyFont="1" applyAlignment="1">
      <alignment horizontal="center" wrapText="1"/>
    </xf>
    <xf numFmtId="0" fontId="14" fillId="0" borderId="2" xfId="21" applyFont="1" applyBorder="1" applyAlignment="1">
      <alignment horizontal="center" vertical="center"/>
    </xf>
    <xf numFmtId="49" fontId="14" fillId="0" borderId="1" xfId="21" applyNumberFormat="1" applyFont="1" applyBorder="1" applyAlignment="1">
      <alignment horizontal="center" vertical="center"/>
    </xf>
    <xf numFmtId="49" fontId="14" fillId="0" borderId="2" xfId="21" applyNumberFormat="1" applyFont="1" applyBorder="1" applyAlignment="1">
      <alignment horizontal="center" vertical="center"/>
    </xf>
    <xf numFmtId="49" fontId="14" fillId="0" borderId="2" xfId="21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right"/>
    </xf>
    <xf numFmtId="49" fontId="14" fillId="0" borderId="1" xfId="23" applyNumberFormat="1" applyFont="1" applyBorder="1" applyAlignment="1">
      <alignment horizontal="center" vertical="center" wrapText="1"/>
    </xf>
    <xf numFmtId="49" fontId="14" fillId="0" borderId="2" xfId="23" applyNumberFormat="1" applyFont="1" applyBorder="1" applyAlignment="1">
      <alignment horizontal="center" vertical="center" wrapText="1"/>
    </xf>
    <xf numFmtId="0" fontId="14" fillId="0" borderId="12" xfId="23" applyFont="1" applyBorder="1" applyAlignment="1">
      <alignment horizontal="center" vertical="center" wrapText="1"/>
    </xf>
    <xf numFmtId="0" fontId="14" fillId="0" borderId="5" xfId="23" applyFont="1" applyBorder="1" applyAlignment="1">
      <alignment horizontal="center" vertical="center" wrapText="1"/>
    </xf>
    <xf numFmtId="0" fontId="14" fillId="0" borderId="14" xfId="23" applyFont="1" applyBorder="1" applyAlignment="1">
      <alignment horizontal="center" vertical="center" wrapText="1"/>
    </xf>
    <xf numFmtId="0" fontId="14" fillId="0" borderId="11" xfId="23" applyFont="1" applyBorder="1" applyAlignment="1">
      <alignment horizontal="center" vertical="center" wrapText="1"/>
    </xf>
    <xf numFmtId="1" fontId="10" fillId="0" borderId="13" xfId="0" applyNumberFormat="1" applyFont="1" applyFill="1" applyBorder="1" applyAlignment="1">
      <alignment horizontal="left" wrapText="1"/>
    </xf>
  </cellXfs>
  <cellStyles count="26">
    <cellStyle name="Гиперссылка" xfId="1" builtinId="8"/>
    <cellStyle name="Обычный" xfId="0" builtinId="0"/>
    <cellStyle name="Обычный 2" xfId="2"/>
    <cellStyle name="Обычный 3" xfId="25"/>
    <cellStyle name="Обычный 6" xfId="19"/>
    <cellStyle name="Обычный_Gol_edn" xfId="10"/>
    <cellStyle name="Обычный_Лист1" xfId="5"/>
    <cellStyle name="Обычный_ТАБ_1" xfId="3"/>
    <cellStyle name="Обычный_ТАБ_10" xfId="16"/>
    <cellStyle name="Обычный_ТАБ_13" xfId="20"/>
    <cellStyle name="Обычный_ТАБ_15" xfId="22"/>
    <cellStyle name="Обычный_ТАБЛ10~1" xfId="17"/>
    <cellStyle name="Обычный_ТАБЛ11~1" xfId="15"/>
    <cellStyle name="Обычный_ТАБЛ12~1" xfId="8"/>
    <cellStyle name="Обычный_ТАБЛ12~1 2" xfId="18"/>
    <cellStyle name="Обычный_ТАБЛ14~1" xfId="14"/>
    <cellStyle name="Обычный_ТАБЛ15~1" xfId="21"/>
    <cellStyle name="Обычный_ТАБЛ16~1" xfId="23"/>
    <cellStyle name="Обычный_ТАБЛ2~1" xfId="4"/>
    <cellStyle name="Обычный_ТАБЛ3~1 2" xfId="6"/>
    <cellStyle name="Обычный_ТАБЛ4~1" xfId="7"/>
    <cellStyle name="Обычный_ТАБЛ5~1" xfId="9"/>
    <cellStyle name="Обычный_ТАБЛ6~1 2" xfId="11"/>
    <cellStyle name="Обычный_ТАБЛ7~1" xfId="12"/>
    <cellStyle name="Обычный_ТАБЛ8~1 2" xfId="13"/>
    <cellStyle name="Финансовый 2" xfId="24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11</xdr:col>
          <xdr:colOff>762000</xdr:colOff>
          <xdr:row>38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19050</xdr:rowOff>
        </xdr:from>
        <xdr:to>
          <xdr:col>11</xdr:col>
          <xdr:colOff>657225</xdr:colOff>
          <xdr:row>77</xdr:row>
          <xdr:rowOff>142875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200025</xdr:rowOff>
        </xdr:from>
        <xdr:to>
          <xdr:col>6</xdr:col>
          <xdr:colOff>123825</xdr:colOff>
          <xdr:row>7</xdr:row>
          <xdr:rowOff>361950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Microsoft_Word_97_-_2003_Document2.doc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3:M31"/>
  <sheetViews>
    <sheetView zoomScaleNormal="100" workbookViewId="0">
      <selection activeCell="J23" sqref="J23"/>
    </sheetView>
  </sheetViews>
  <sheetFormatPr defaultRowHeight="15" x14ac:dyDescent="0.25"/>
  <cols>
    <col min="1" max="12" width="10.28515625" style="1" customWidth="1"/>
  </cols>
  <sheetData>
    <row r="3" spans="1:13" ht="15.75" x14ac:dyDescent="0.25">
      <c r="A3" s="474" t="s">
        <v>0</v>
      </c>
      <c r="B3" s="474"/>
      <c r="C3" s="474"/>
      <c r="D3" s="474"/>
      <c r="E3" s="474"/>
      <c r="F3" s="474"/>
      <c r="G3" s="474"/>
      <c r="H3" s="474"/>
      <c r="I3" s="474"/>
      <c r="J3" s="474"/>
      <c r="K3" s="474"/>
      <c r="L3" s="474"/>
      <c r="M3" s="474"/>
    </row>
    <row r="4" spans="1:13" x14ac:dyDescent="0.25">
      <c r="D4" s="475"/>
      <c r="E4" s="475"/>
      <c r="F4" s="475"/>
      <c r="G4" s="475"/>
    </row>
    <row r="5" spans="1:13" ht="15.75" x14ac:dyDescent="0.25">
      <c r="B5" s="474"/>
      <c r="C5" s="474"/>
      <c r="D5" s="474"/>
      <c r="E5" s="474"/>
      <c r="F5" s="474"/>
      <c r="G5" s="474"/>
      <c r="H5" s="474"/>
      <c r="I5" s="474"/>
      <c r="J5" s="474"/>
      <c r="K5" s="474"/>
    </row>
    <row r="13" spans="1:13" ht="20.25" x14ac:dyDescent="0.3">
      <c r="B13" s="476" t="s">
        <v>1</v>
      </c>
      <c r="C13" s="476"/>
      <c r="D13" s="476"/>
      <c r="E13" s="476"/>
      <c r="F13" s="476"/>
      <c r="G13" s="476"/>
      <c r="H13" s="476"/>
      <c r="I13" s="476"/>
      <c r="J13" s="476"/>
      <c r="K13" s="476"/>
    </row>
    <row r="14" spans="1:13" ht="20.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3" ht="20.25" x14ac:dyDescent="0.3">
      <c r="B15" s="476" t="s">
        <v>2</v>
      </c>
      <c r="C15" s="476"/>
      <c r="D15" s="476"/>
      <c r="E15" s="476"/>
      <c r="F15" s="476"/>
      <c r="G15" s="476"/>
      <c r="H15" s="476"/>
      <c r="I15" s="476"/>
      <c r="J15" s="476"/>
      <c r="K15" s="476"/>
    </row>
    <row r="16" spans="1:13" ht="20.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customFormat="1" ht="20.25" x14ac:dyDescent="0.3">
      <c r="B17" s="476" t="s">
        <v>337</v>
      </c>
      <c r="C17" s="476"/>
      <c r="D17" s="476"/>
      <c r="E17" s="476"/>
      <c r="F17" s="476"/>
      <c r="G17" s="476"/>
      <c r="H17" s="476"/>
      <c r="I17" s="476"/>
      <c r="J17" s="476"/>
      <c r="K17" s="476"/>
    </row>
    <row r="18" spans="2:11" customForma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</row>
    <row r="20" spans="2:11" customFormat="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customFormat="1" ht="18.75" x14ac:dyDescent="0.3">
      <c r="B21" s="477" t="s">
        <v>3</v>
      </c>
      <c r="C21" s="478"/>
      <c r="D21" s="478"/>
      <c r="E21" s="478"/>
      <c r="F21" s="478"/>
      <c r="G21" s="478"/>
      <c r="H21" s="478"/>
      <c r="I21" s="478"/>
      <c r="J21" s="478"/>
      <c r="K21" s="478"/>
    </row>
    <row r="22" spans="2:11" customForma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customForma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</row>
    <row r="29" spans="2:11" customForma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</row>
    <row r="31" spans="2:11" customFormat="1" ht="15.75" x14ac:dyDescent="0.25">
      <c r="B31" s="474" t="s">
        <v>338</v>
      </c>
      <c r="C31" s="474"/>
      <c r="D31" s="474"/>
      <c r="E31" s="474"/>
      <c r="F31" s="474"/>
      <c r="G31" s="474"/>
      <c r="H31" s="474"/>
      <c r="I31" s="474"/>
      <c r="J31" s="474"/>
      <c r="K31" s="474"/>
    </row>
  </sheetData>
  <mergeCells count="8">
    <mergeCell ref="B31:K31"/>
    <mergeCell ref="A3:M3"/>
    <mergeCell ref="D4:G4"/>
    <mergeCell ref="B5:K5"/>
    <mergeCell ref="B13:K13"/>
    <mergeCell ref="B15:K15"/>
    <mergeCell ref="B17:K17"/>
    <mergeCell ref="B21:K2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3:M31"/>
  <sheetViews>
    <sheetView topLeftCell="A19" workbookViewId="0">
      <selection activeCell="L23" sqref="L23"/>
    </sheetView>
  </sheetViews>
  <sheetFormatPr defaultRowHeight="15" x14ac:dyDescent="0.25"/>
  <cols>
    <col min="1" max="12" width="10.28515625" style="1" customWidth="1"/>
  </cols>
  <sheetData>
    <row r="3" spans="1:13" ht="15.75" x14ac:dyDescent="0.25">
      <c r="A3" s="474" t="s">
        <v>0</v>
      </c>
      <c r="B3" s="474"/>
      <c r="C3" s="474"/>
      <c r="D3" s="474"/>
      <c r="E3" s="474"/>
      <c r="F3" s="474"/>
      <c r="G3" s="474"/>
      <c r="H3" s="474"/>
      <c r="I3" s="474"/>
      <c r="J3" s="474"/>
      <c r="K3" s="474"/>
      <c r="L3" s="474"/>
      <c r="M3" s="474"/>
    </row>
    <row r="4" spans="1:13" x14ac:dyDescent="0.25">
      <c r="D4" s="475"/>
      <c r="E4" s="475"/>
      <c r="F4" s="475"/>
      <c r="G4" s="475"/>
    </row>
    <row r="5" spans="1:13" ht="15.75" x14ac:dyDescent="0.25">
      <c r="B5" s="474"/>
      <c r="C5" s="474"/>
      <c r="D5" s="474"/>
      <c r="E5" s="474"/>
      <c r="F5" s="474"/>
      <c r="G5" s="474"/>
      <c r="H5" s="474"/>
      <c r="I5" s="474"/>
      <c r="J5" s="474"/>
      <c r="K5" s="474"/>
    </row>
    <row r="13" spans="1:13" ht="20.25" x14ac:dyDescent="0.3">
      <c r="B13" s="476" t="s">
        <v>1</v>
      </c>
      <c r="C13" s="476"/>
      <c r="D13" s="476"/>
      <c r="E13" s="476"/>
      <c r="F13" s="476"/>
      <c r="G13" s="476"/>
      <c r="H13" s="476"/>
      <c r="I13" s="476"/>
      <c r="J13" s="476"/>
      <c r="K13" s="476"/>
    </row>
    <row r="14" spans="1:13" ht="20.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3" ht="20.25" x14ac:dyDescent="0.3">
      <c r="B15" s="476" t="s">
        <v>2</v>
      </c>
      <c r="C15" s="476"/>
      <c r="D15" s="476"/>
      <c r="E15" s="476"/>
      <c r="F15" s="476"/>
      <c r="G15" s="476"/>
      <c r="H15" s="476"/>
      <c r="I15" s="476"/>
      <c r="J15" s="476"/>
      <c r="K15" s="476"/>
    </row>
    <row r="16" spans="1:13" ht="20.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customFormat="1" ht="20.25" x14ac:dyDescent="0.3">
      <c r="B17" s="476" t="s">
        <v>337</v>
      </c>
      <c r="C17" s="476"/>
      <c r="D17" s="476"/>
      <c r="E17" s="476"/>
      <c r="F17" s="476"/>
      <c r="G17" s="476"/>
      <c r="H17" s="476"/>
      <c r="I17" s="476"/>
      <c r="J17" s="476"/>
      <c r="K17" s="476"/>
    </row>
    <row r="18" spans="2:11" customForma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</row>
    <row r="20" spans="2:11" customFormat="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customFormat="1" ht="18.75" x14ac:dyDescent="0.3">
      <c r="B21" s="477" t="s">
        <v>3</v>
      </c>
      <c r="C21" s="478"/>
      <c r="D21" s="478"/>
      <c r="E21" s="478"/>
      <c r="F21" s="478"/>
      <c r="G21" s="478"/>
      <c r="H21" s="478"/>
      <c r="I21" s="478"/>
      <c r="J21" s="478"/>
      <c r="K21" s="478"/>
    </row>
    <row r="22" spans="2:11" customForma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customForma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</row>
    <row r="29" spans="2:11" customForma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</row>
    <row r="31" spans="2:11" customFormat="1" ht="15.75" x14ac:dyDescent="0.25">
      <c r="B31" s="474" t="s">
        <v>338</v>
      </c>
      <c r="C31" s="474"/>
      <c r="D31" s="474"/>
      <c r="E31" s="474"/>
      <c r="F31" s="474"/>
      <c r="G31" s="474"/>
      <c r="H31" s="474"/>
      <c r="I31" s="474"/>
      <c r="J31" s="474"/>
      <c r="K31" s="474"/>
    </row>
  </sheetData>
  <mergeCells count="8">
    <mergeCell ref="B21:K21"/>
    <mergeCell ref="B31:K31"/>
    <mergeCell ref="A3:M3"/>
    <mergeCell ref="D4:G4"/>
    <mergeCell ref="B5:K5"/>
    <mergeCell ref="B13:K13"/>
    <mergeCell ref="B15:K15"/>
    <mergeCell ref="B17:K17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B1:E38"/>
  <sheetViews>
    <sheetView zoomScaleNormal="100" zoomScaleSheetLayoutView="90" workbookViewId="0">
      <selection activeCell="C20" sqref="C20"/>
    </sheetView>
  </sheetViews>
  <sheetFormatPr defaultColWidth="10.28515625" defaultRowHeight="14.25" x14ac:dyDescent="0.2"/>
  <cols>
    <col min="1" max="1" width="2.140625" style="216" customWidth="1"/>
    <col min="2" max="2" width="6.140625" style="216" customWidth="1"/>
    <col min="3" max="3" width="125.42578125" style="216" customWidth="1"/>
    <col min="4" max="4" width="6" style="180" customWidth="1"/>
    <col min="5" max="16384" width="10.28515625" style="216"/>
  </cols>
  <sheetData>
    <row r="1" spans="2:5" x14ac:dyDescent="0.2">
      <c r="C1" s="217"/>
    </row>
    <row r="2" spans="2:5" ht="27.75" customHeight="1" x14ac:dyDescent="0.2">
      <c r="B2" s="306" t="s">
        <v>4</v>
      </c>
      <c r="C2" s="218" t="s">
        <v>5</v>
      </c>
      <c r="D2" s="307" t="s">
        <v>6</v>
      </c>
    </row>
    <row r="3" spans="2:5" x14ac:dyDescent="0.2">
      <c r="B3" s="219"/>
      <c r="C3" s="180"/>
      <c r="D3" s="308"/>
    </row>
    <row r="4" spans="2:5" ht="15" customHeight="1" x14ac:dyDescent="0.2">
      <c r="B4" s="219"/>
      <c r="C4" s="310" t="s">
        <v>318</v>
      </c>
      <c r="D4" s="226">
        <v>3</v>
      </c>
    </row>
    <row r="5" spans="2:5" ht="15" customHeight="1" x14ac:dyDescent="0.2">
      <c r="B5" s="309">
        <v>1</v>
      </c>
      <c r="C5" s="310" t="s">
        <v>301</v>
      </c>
      <c r="D5" s="226">
        <v>5</v>
      </c>
    </row>
    <row r="6" spans="2:5" ht="15" customHeight="1" x14ac:dyDescent="0.2">
      <c r="B6" s="309">
        <v>2</v>
      </c>
      <c r="C6" s="310" t="s">
        <v>302</v>
      </c>
      <c r="D6" s="226">
        <v>6</v>
      </c>
    </row>
    <row r="7" spans="2:5" ht="15" customHeight="1" x14ac:dyDescent="0.2">
      <c r="B7" s="309">
        <v>3</v>
      </c>
      <c r="C7" s="310" t="s">
        <v>303</v>
      </c>
      <c r="D7" s="226">
        <v>9</v>
      </c>
    </row>
    <row r="8" spans="2:5" ht="15" customHeight="1" x14ac:dyDescent="0.2">
      <c r="B8" s="309">
        <v>4</v>
      </c>
      <c r="C8" s="310" t="s">
        <v>304</v>
      </c>
      <c r="D8" s="226">
        <v>12</v>
      </c>
    </row>
    <row r="9" spans="2:5" ht="15" customHeight="1" x14ac:dyDescent="0.2">
      <c r="B9" s="309">
        <v>5</v>
      </c>
      <c r="C9" s="310" t="s">
        <v>339</v>
      </c>
      <c r="D9" s="226">
        <v>15</v>
      </c>
      <c r="E9" s="220"/>
    </row>
    <row r="10" spans="2:5" ht="15" customHeight="1" x14ac:dyDescent="0.2">
      <c r="B10" s="309">
        <v>6</v>
      </c>
      <c r="C10" s="310" t="s">
        <v>340</v>
      </c>
      <c r="D10" s="226">
        <v>18</v>
      </c>
      <c r="E10" s="220"/>
    </row>
    <row r="11" spans="2:5" ht="15" customHeight="1" x14ac:dyDescent="0.2">
      <c r="B11" s="309">
        <v>7</v>
      </c>
      <c r="C11" s="310" t="s">
        <v>341</v>
      </c>
      <c r="D11" s="226">
        <v>19</v>
      </c>
      <c r="E11" s="220"/>
    </row>
    <row r="12" spans="2:5" s="221" customFormat="1" ht="15" customHeight="1" x14ac:dyDescent="0.2">
      <c r="B12" s="309">
        <v>8</v>
      </c>
      <c r="C12" s="310" t="s">
        <v>305</v>
      </c>
      <c r="D12" s="226">
        <v>20</v>
      </c>
    </row>
    <row r="13" spans="2:5" s="221" customFormat="1" ht="15" customHeight="1" x14ac:dyDescent="0.2">
      <c r="B13" s="309">
        <v>9</v>
      </c>
      <c r="C13" s="310" t="s">
        <v>306</v>
      </c>
      <c r="D13" s="226">
        <v>22</v>
      </c>
    </row>
    <row r="14" spans="2:5" s="221" customFormat="1" ht="15" customHeight="1" x14ac:dyDescent="0.2">
      <c r="B14" s="309">
        <v>10</v>
      </c>
      <c r="C14" s="310" t="s">
        <v>307</v>
      </c>
      <c r="D14" s="226">
        <v>25</v>
      </c>
    </row>
    <row r="15" spans="2:5" s="221" customFormat="1" ht="15" customHeight="1" x14ac:dyDescent="0.2">
      <c r="B15" s="309">
        <v>11</v>
      </c>
      <c r="C15" s="310" t="s">
        <v>308</v>
      </c>
      <c r="D15" s="226">
        <v>28</v>
      </c>
    </row>
    <row r="16" spans="2:5" s="221" customFormat="1" ht="15" customHeight="1" x14ac:dyDescent="0.2">
      <c r="B16" s="309">
        <v>12</v>
      </c>
      <c r="C16" s="310" t="s">
        <v>309</v>
      </c>
      <c r="D16" s="226">
        <v>31</v>
      </c>
    </row>
    <row r="17" spans="2:4" s="221" customFormat="1" ht="15" customHeight="1" x14ac:dyDescent="0.2">
      <c r="B17" s="309">
        <v>13</v>
      </c>
      <c r="C17" s="310" t="s">
        <v>342</v>
      </c>
      <c r="D17" s="226">
        <v>34</v>
      </c>
    </row>
    <row r="18" spans="2:4" s="221" customFormat="1" ht="15" customHeight="1" x14ac:dyDescent="0.2">
      <c r="B18" s="309">
        <v>14</v>
      </c>
      <c r="C18" s="310" t="s">
        <v>310</v>
      </c>
      <c r="D18" s="226">
        <v>35</v>
      </c>
    </row>
    <row r="19" spans="2:4" s="221" customFormat="1" ht="15" customHeight="1" x14ac:dyDescent="0.2">
      <c r="B19" s="309">
        <v>15</v>
      </c>
      <c r="C19" s="310" t="s">
        <v>311</v>
      </c>
      <c r="D19" s="226">
        <v>38</v>
      </c>
    </row>
    <row r="20" spans="2:4" s="221" customFormat="1" ht="15" customHeight="1" x14ac:dyDescent="0.2">
      <c r="B20" s="309">
        <v>16</v>
      </c>
      <c r="C20" s="310" t="s">
        <v>312</v>
      </c>
      <c r="D20" s="226">
        <v>41</v>
      </c>
    </row>
    <row r="21" spans="2:4" s="221" customFormat="1" ht="15" customHeight="1" x14ac:dyDescent="0.2">
      <c r="B21" s="309">
        <v>17</v>
      </c>
      <c r="C21" s="310" t="s">
        <v>313</v>
      </c>
      <c r="D21" s="226">
        <v>44</v>
      </c>
    </row>
    <row r="22" spans="2:4" s="221" customFormat="1" ht="15" customHeight="1" x14ac:dyDescent="0.2">
      <c r="B22" s="309">
        <v>18</v>
      </c>
      <c r="C22" s="310" t="s">
        <v>314</v>
      </c>
      <c r="D22" s="226">
        <v>45</v>
      </c>
    </row>
    <row r="23" spans="2:4" s="221" customFormat="1" ht="15" customHeight="1" x14ac:dyDescent="0.2">
      <c r="B23" s="309">
        <v>19</v>
      </c>
      <c r="C23" s="310" t="s">
        <v>315</v>
      </c>
      <c r="D23" s="226">
        <v>48</v>
      </c>
    </row>
    <row r="24" spans="2:4" s="221" customFormat="1" ht="15" customHeight="1" x14ac:dyDescent="0.2">
      <c r="B24" s="309">
        <v>20</v>
      </c>
      <c r="C24" s="310" t="s">
        <v>316</v>
      </c>
      <c r="D24" s="226">
        <v>51</v>
      </c>
    </row>
    <row r="25" spans="2:4" s="221" customFormat="1" ht="15" customHeight="1" x14ac:dyDescent="0.2">
      <c r="B25" s="309">
        <v>21</v>
      </c>
      <c r="C25" s="310" t="s">
        <v>317</v>
      </c>
      <c r="D25" s="226">
        <v>54</v>
      </c>
    </row>
    <row r="26" spans="2:4" s="223" customFormat="1" x14ac:dyDescent="0.2">
      <c r="B26" s="222"/>
      <c r="C26" s="215"/>
      <c r="D26" s="180"/>
    </row>
    <row r="27" spans="2:4" s="221" customFormat="1" ht="15.75" customHeight="1" x14ac:dyDescent="0.2">
      <c r="B27" s="180"/>
      <c r="C27" s="180"/>
      <c r="D27" s="180"/>
    </row>
    <row r="28" spans="2:4" s="221" customFormat="1" x14ac:dyDescent="0.2">
      <c r="B28" s="180"/>
      <c r="C28" s="180"/>
      <c r="D28" s="180"/>
    </row>
    <row r="29" spans="2:4" s="221" customFormat="1" x14ac:dyDescent="0.2">
      <c r="B29" s="180"/>
      <c r="C29" s="180"/>
      <c r="D29" s="180"/>
    </row>
    <row r="30" spans="2:4" s="221" customFormat="1" x14ac:dyDescent="0.2">
      <c r="B30" s="180"/>
      <c r="C30" s="180"/>
      <c r="D30" s="180"/>
    </row>
    <row r="31" spans="2:4" s="221" customFormat="1" x14ac:dyDescent="0.2">
      <c r="B31" s="224"/>
      <c r="C31" s="225"/>
      <c r="D31" s="180"/>
    </row>
    <row r="32" spans="2:4" s="221" customFormat="1" x14ac:dyDescent="0.2">
      <c r="B32" s="224"/>
      <c r="C32" s="225"/>
      <c r="D32" s="180"/>
    </row>
    <row r="33" spans="4:4" s="221" customFormat="1" x14ac:dyDescent="0.2">
      <c r="D33" s="180"/>
    </row>
    <row r="34" spans="4:4" s="221" customFormat="1" x14ac:dyDescent="0.2">
      <c r="D34" s="180"/>
    </row>
    <row r="35" spans="4:4" s="221" customFormat="1" x14ac:dyDescent="0.2">
      <c r="D35" s="180"/>
    </row>
    <row r="36" spans="4:4" s="221" customFormat="1" x14ac:dyDescent="0.2">
      <c r="D36" s="180"/>
    </row>
    <row r="37" spans="4:4" s="221" customFormat="1" x14ac:dyDescent="0.2">
      <c r="D37" s="180"/>
    </row>
    <row r="38" spans="4:4" s="221" customFormat="1" x14ac:dyDescent="0.2">
      <c r="D38" s="180"/>
    </row>
  </sheetData>
  <hyperlinks>
    <hyperlink ref="C4" location="предисловие!A1" display="Предисловие…………………………………………………………………………………………………………...………………………………..……………………………….."/>
    <hyperlink ref="C5" location="'ТАБ_1 '!A1" display="Общие итоги естественного движения населения в Российской Федерации……………………………………….………………………………………"/>
    <hyperlink ref="C6" location="ТАБ_2!A1" display="Родившиеся, умершие и естественный прирост населения по субъектам Российской Федерации………………………………...……………………"/>
    <hyperlink ref="C7" location="ТАБ_3!A1" display="Общие коэффициенты рождаемости, смертности, естественного прироста населения по субъектам Российской Федерации……………..…"/>
    <hyperlink ref="C8" location="ТАБ_4!A1" display="Родившиеся  живыми у  женщин,  не состоявших в зарегистрированном браке, по субъектам Российской Федерации……………….……"/>
    <hyperlink ref="C9" location="ТАБ_5!A1" display="Родившиеся вне брака по возрасту матери по субъектам Российской Федерации в 2016 году……………………………………………………….…….."/>
    <hyperlink ref="C10" location="ТАБ_6!A1" display="Число родившихся живыми по возрасту матери и очередности рождения в Российской Федерации в 2016 году……………………………...………"/>
    <hyperlink ref="C11" location="ТАБ_7!A1" display="Число родившихся живыми по возрасту и образованию матери в 2016 году…………………………………………………………………………..………."/>
    <hyperlink ref="C12" location="ТАБ_8!A1" display="Смертность населения по основным классам и отдельным причинам смерти……………………………………………………………………..…...….."/>
    <hyperlink ref="C13" location="ТАБ_9!A1" display="Умершие по основным классам причин смерти по субъектам  Российской Федерации…………………………………………………….……………."/>
    <hyperlink ref="C14" location="ТАБ_10!A1" display="Cмертность населения по основным классам причин смерти по субъектам Российской Федерации………………………………………..…………….."/>
    <hyperlink ref="C15" location="ТАБ_11!A1" display="Число умерших от внешних причин смерти по субъектам Российской Федерации……………………………………………………………...……………"/>
    <hyperlink ref="C16" location="ТАБ_12!A1" display="Смертность населения от внешних причин смерти по субъектам Российской Федерации…………………………………………………………..……………."/>
    <hyperlink ref="C17" location="ТАБ_13!A1" display="Умершие по возрастным группам и основным классам причин смерти в 2016 году…………………………………………………………….………………"/>
    <hyperlink ref="C18" location="ТАБ_14!A1" display="Материнская смертность по субъектам Российской Федерации…………………………………………………………………………………...…………………"/>
    <hyperlink ref="C19" location="ТАБ_15!A1" display="Перинатальная смертность по субъектам Российской Федерации………………………………………………………………………………….………………."/>
    <hyperlink ref="C20" location="ТАБ_16!A1" display="Младенческая смертность по субъектам Российской Федерации……………………………………………………………………………….………….."/>
    <hyperlink ref="C21" location="ТАБ_17!A1" display="Младенческая смертность в Российской Федерации по основным классам и отдельным причинам смерти……………………………...………………."/>
    <hyperlink ref="C22" location="ТАБ_18!A1" display="Умершие в возрасте до 1 года по основным классам причин смерти  по субъектам Российской Федерации…………………………….……………"/>
    <hyperlink ref="C23" location="ТАБ_19!A1" display="Коэффициенты младенческой смертности по основным классам причин смерти по субъектам Российской Федерации…………………...…….."/>
    <hyperlink ref="C24" location="ТАБ_20!A1" display="Число браков и разводов по субъектам Российской Федерации………………………………………………………………………………………...……."/>
    <hyperlink ref="C25" location="ТАБ_21!A1" display="Общие коэффициенты брачности и разводимости по субъектам Российской Федерации………………………………………………………….……."/>
  </hyperlinks>
  <printOptions horizontalCentered="1"/>
  <pageMargins left="0" right="0" top="0.74803149606299213" bottom="0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4"/>
  <dimension ref="A6"/>
  <sheetViews>
    <sheetView zoomScaleNormal="100" workbookViewId="0">
      <selection activeCell="O5" sqref="O5"/>
    </sheetView>
  </sheetViews>
  <sheetFormatPr defaultColWidth="10.28515625" defaultRowHeight="12.75" x14ac:dyDescent="0.2"/>
  <cols>
    <col min="1" max="1" width="27.7109375" style="3" customWidth="1"/>
    <col min="2" max="11" width="9.140625" style="3" customWidth="1"/>
    <col min="12" max="12" width="15.42578125" style="3" customWidth="1"/>
    <col min="13" max="16384" width="10.28515625" style="3"/>
  </cols>
  <sheetData>
    <row r="6" ht="13.5" customHeight="1" x14ac:dyDescent="0.2"/>
  </sheetData>
  <pageMargins left="0.78740157480314965" right="0.19685039370078741" top="0.70866141732283472" bottom="0.6692913385826772" header="0.31496062992125984" footer="0.51181102362204722"/>
  <pageSetup paperSize="9" firstPageNumber="3" orientation="landscape" useFirstPageNumber="1" r:id="rId1"/>
  <headerFooter alignWithMargins="0">
    <oddHeader>&amp;C&amp;"Arial,обычный"&amp;10 &amp;P</oddHeader>
  </headerFooter>
  <drawing r:id="rId2"/>
  <legacyDrawing r:id="rId3"/>
  <oleObjects>
    <mc:AlternateContent xmlns:mc="http://schemas.openxmlformats.org/markup-compatibility/2006">
      <mc:Choice Requires="x14">
        <oleObject progId="Документ" shapeId="1025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11</xdr:col>
                <xdr:colOff>762000</xdr:colOff>
                <xdr:row>38</xdr:row>
                <xdr:rowOff>152400</xdr:rowOff>
              </to>
            </anchor>
          </objectPr>
        </oleObject>
      </mc:Choice>
      <mc:Fallback>
        <oleObject progId="Документ" shapeId="1025" r:id="rId4"/>
      </mc:Fallback>
    </mc:AlternateContent>
    <mc:AlternateContent xmlns:mc="http://schemas.openxmlformats.org/markup-compatibility/2006">
      <mc:Choice Requires="x14">
        <oleObject progId="Документ" shapeId="1026" r:id="rId6">
          <objectPr defaultSize="0" autoPict="0" r:id="rId7">
            <anchor moveWithCells="1">
              <from>
                <xdr:col>0</xdr:col>
                <xdr:colOff>0</xdr:colOff>
                <xdr:row>41</xdr:row>
                <xdr:rowOff>19050</xdr:rowOff>
              </from>
              <to>
                <xdr:col>11</xdr:col>
                <xdr:colOff>657225</xdr:colOff>
                <xdr:row>77</xdr:row>
                <xdr:rowOff>142875</xdr:rowOff>
              </to>
            </anchor>
          </objectPr>
        </oleObject>
      </mc:Choice>
      <mc:Fallback>
        <oleObject progId="Документ" shapeId="1026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5"/>
  <dimension ref="A1:F17"/>
  <sheetViews>
    <sheetView zoomScaleNormal="100" zoomScaleSheetLayoutView="100" workbookViewId="0">
      <selection activeCell="K16" sqref="K16"/>
    </sheetView>
  </sheetViews>
  <sheetFormatPr defaultColWidth="10.28515625" defaultRowHeight="12.75" x14ac:dyDescent="0.2"/>
  <cols>
    <col min="1" max="1" width="30.5703125" style="5" customWidth="1"/>
    <col min="2" max="3" width="13.7109375" style="5" customWidth="1"/>
    <col min="4" max="4" width="13.5703125" style="5" customWidth="1"/>
    <col min="5" max="6" width="13.7109375" style="5" customWidth="1"/>
    <col min="7" max="16384" width="10.28515625" style="7"/>
  </cols>
  <sheetData>
    <row r="1" spans="1:6" s="4" customFormat="1" ht="15.75" x14ac:dyDescent="0.25">
      <c r="A1" s="480" t="s">
        <v>290</v>
      </c>
      <c r="B1" s="480"/>
      <c r="C1" s="480"/>
      <c r="D1" s="480"/>
      <c r="E1" s="480"/>
      <c r="F1" s="480"/>
    </row>
    <row r="2" spans="1:6" s="4" customFormat="1" ht="15.75" x14ac:dyDescent="0.25">
      <c r="A2" s="480" t="s">
        <v>289</v>
      </c>
      <c r="B2" s="480"/>
      <c r="C2" s="480"/>
      <c r="D2" s="480"/>
      <c r="E2" s="480"/>
      <c r="F2" s="480"/>
    </row>
    <row r="3" spans="1:6" s="6" customFormat="1" ht="15" x14ac:dyDescent="0.2">
      <c r="A3" s="5"/>
      <c r="B3" s="5"/>
      <c r="C3" s="5"/>
      <c r="D3" s="5"/>
      <c r="E3" s="5"/>
      <c r="F3" s="5"/>
    </row>
    <row r="4" spans="1:6" s="6" customFormat="1" ht="15" x14ac:dyDescent="0.2">
      <c r="A4" s="481"/>
      <c r="B4" s="481" t="s">
        <v>212</v>
      </c>
      <c r="C4" s="481"/>
      <c r="D4" s="481"/>
      <c r="E4" s="481" t="s">
        <v>213</v>
      </c>
      <c r="F4" s="481"/>
    </row>
    <row r="5" spans="1:6" s="6" customFormat="1" ht="30" customHeight="1" x14ac:dyDescent="0.2">
      <c r="A5" s="481"/>
      <c r="B5" s="250" t="s">
        <v>343</v>
      </c>
      <c r="C5" s="412" t="s">
        <v>330</v>
      </c>
      <c r="D5" s="182" t="s">
        <v>211</v>
      </c>
      <c r="E5" s="429" t="s">
        <v>343</v>
      </c>
      <c r="F5" s="429" t="s">
        <v>330</v>
      </c>
    </row>
    <row r="6" spans="1:6" s="6" customFormat="1" ht="24.95" customHeight="1" x14ac:dyDescent="0.2">
      <c r="A6" s="195" t="s">
        <v>220</v>
      </c>
      <c r="B6" s="148">
        <v>1481074</v>
      </c>
      <c r="C6" s="148">
        <v>1604344</v>
      </c>
      <c r="D6" s="148">
        <f>B6-C6</f>
        <v>-123270</v>
      </c>
      <c r="E6" s="434">
        <v>10.1</v>
      </c>
      <c r="F6" s="129">
        <v>10.9</v>
      </c>
    </row>
    <row r="7" spans="1:6" s="6" customFormat="1" ht="24.95" customHeight="1" x14ac:dyDescent="0.2">
      <c r="A7" s="196" t="s">
        <v>221</v>
      </c>
      <c r="B7" s="148">
        <v>1798307</v>
      </c>
      <c r="C7" s="148">
        <v>1828910</v>
      </c>
      <c r="D7" s="148">
        <f>B7-C7</f>
        <v>-30603</v>
      </c>
      <c r="E7" s="434">
        <v>12.3</v>
      </c>
      <c r="F7" s="129">
        <v>12.5</v>
      </c>
    </row>
    <row r="8" spans="1:6" s="6" customFormat="1" ht="30" customHeight="1" x14ac:dyDescent="0.2">
      <c r="A8" s="197" t="s">
        <v>224</v>
      </c>
      <c r="B8" s="148">
        <v>7328</v>
      </c>
      <c r="C8" s="148">
        <v>8244</v>
      </c>
      <c r="D8" s="148">
        <f>B8-C8</f>
        <v>-916</v>
      </c>
      <c r="E8" s="452" t="s">
        <v>360</v>
      </c>
      <c r="F8" s="181" t="s">
        <v>331</v>
      </c>
    </row>
    <row r="9" spans="1:6" s="6" customFormat="1" ht="24.95" customHeight="1" x14ac:dyDescent="0.2">
      <c r="A9" s="198" t="s">
        <v>7</v>
      </c>
      <c r="B9" s="148">
        <v>-317233</v>
      </c>
      <c r="C9" s="148">
        <v>-224566</v>
      </c>
      <c r="D9" s="317" t="s">
        <v>319</v>
      </c>
      <c r="E9" s="434">
        <v>-2.2000000000000002</v>
      </c>
      <c r="F9" s="129">
        <v>-1.6</v>
      </c>
    </row>
    <row r="10" spans="1:6" s="6" customFormat="1" ht="24.95" customHeight="1" x14ac:dyDescent="0.2">
      <c r="A10" s="196" t="s">
        <v>222</v>
      </c>
      <c r="B10" s="148">
        <v>950167</v>
      </c>
      <c r="C10" s="148">
        <v>893039</v>
      </c>
      <c r="D10" s="148">
        <f>B10-C10</f>
        <v>57128</v>
      </c>
      <c r="E10" s="434">
        <v>6.5</v>
      </c>
      <c r="F10" s="129">
        <v>6.1</v>
      </c>
    </row>
    <row r="11" spans="1:6" s="6" customFormat="1" ht="24.95" customHeight="1" x14ac:dyDescent="0.2">
      <c r="A11" s="270" t="s">
        <v>223</v>
      </c>
      <c r="B11" s="271">
        <v>620730</v>
      </c>
      <c r="C11" s="271">
        <v>583942</v>
      </c>
      <c r="D11" s="271">
        <f>B11-C11</f>
        <v>36788</v>
      </c>
      <c r="E11" s="435">
        <v>4.2</v>
      </c>
      <c r="F11" s="272">
        <v>4</v>
      </c>
    </row>
    <row r="12" spans="1:6" s="6" customFormat="1" ht="15" x14ac:dyDescent="0.2">
      <c r="A12" s="5"/>
      <c r="B12" s="5"/>
      <c r="C12" s="5"/>
      <c r="D12" s="5"/>
      <c r="E12" s="5"/>
      <c r="F12" s="5"/>
    </row>
    <row r="13" spans="1:6" s="6" customFormat="1" ht="15" x14ac:dyDescent="0.2">
      <c r="A13" s="479" t="s">
        <v>218</v>
      </c>
      <c r="B13" s="479"/>
      <c r="C13" s="479"/>
      <c r="D13" s="479"/>
      <c r="E13" s="479"/>
      <c r="F13" s="479"/>
    </row>
    <row r="14" spans="1:6" s="6" customFormat="1" ht="25.5" customHeight="1" x14ac:dyDescent="0.2"/>
    <row r="15" spans="1:6" s="6" customFormat="1" ht="16.5" customHeight="1" x14ac:dyDescent="0.2">
      <c r="B15" s="151"/>
      <c r="C15" s="151"/>
      <c r="D15" s="5"/>
      <c r="E15" s="5"/>
      <c r="F15" s="5"/>
    </row>
    <row r="16" spans="1:6" ht="17.25" customHeight="1" x14ac:dyDescent="0.2"/>
    <row r="17" spans="2:2" x14ac:dyDescent="0.2">
      <c r="B17" s="151"/>
    </row>
  </sheetData>
  <mergeCells count="6">
    <mergeCell ref="A13:F13"/>
    <mergeCell ref="A1:F1"/>
    <mergeCell ref="A4:A5"/>
    <mergeCell ref="B4:D4"/>
    <mergeCell ref="E4:F4"/>
    <mergeCell ref="A2:F2"/>
  </mergeCells>
  <conditionalFormatting sqref="H6:L11">
    <cfRule type="cellIs" dxfId="4" priority="3" operator="notEqual">
      <formula>C6</formula>
    </cfRule>
  </conditionalFormatting>
  <printOptions horizontalCentered="1"/>
  <pageMargins left="1.3385826771653544" right="0.78740157480314965" top="0.70866141732283472" bottom="0.98425196850393704" header="0.31496062992125984" footer="0.31496062992125984"/>
  <pageSetup paperSize="9" firstPageNumber="5" orientation="landscape" useFirstPageNumber="1" r:id="rId1"/>
  <headerFooter alignWithMargins="0">
    <oddHeader>&amp;C&amp;"Arial,обычный"&amp;10 &amp;P</oddHeader>
  </headerFooter>
  <drawing r:id="rId2"/>
  <legacyDrawing r:id="rId3"/>
  <oleObjects>
    <mc:AlternateContent xmlns:mc="http://schemas.openxmlformats.org/markup-compatibility/2006">
      <mc:Choice Requires="x14">
        <oleObject progId="Word.Document.8" shapeId="2050" r:id="rId4">
          <objectPr defaultSize="0" autoPict="0" r:id="rId5">
            <anchor moveWithCells="1">
              <from>
                <xdr:col>6</xdr:col>
                <xdr:colOff>0</xdr:colOff>
                <xdr:row>7</xdr:row>
                <xdr:rowOff>200025</xdr:rowOff>
              </from>
              <to>
                <xdr:col>6</xdr:col>
                <xdr:colOff>123825</xdr:colOff>
                <xdr:row>7</xdr:row>
                <xdr:rowOff>361950</xdr:rowOff>
              </to>
            </anchor>
          </objectPr>
        </oleObject>
      </mc:Choice>
      <mc:Fallback>
        <oleObject progId="Word.Document.8" shapeId="2050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K162"/>
  <sheetViews>
    <sheetView zoomScaleNormal="100" zoomScaleSheetLayoutView="100" workbookViewId="0">
      <selection activeCell="G6" sqref="G6"/>
    </sheetView>
  </sheetViews>
  <sheetFormatPr defaultColWidth="33" defaultRowHeight="14.1" customHeight="1" x14ac:dyDescent="0.2"/>
  <cols>
    <col min="1" max="1" width="41.7109375" style="5" customWidth="1"/>
    <col min="2" max="9" width="10.7109375" style="5" customWidth="1"/>
    <col min="10" max="10" width="20.7109375" style="9" customWidth="1"/>
    <col min="11" max="20" width="11.5703125" style="9" customWidth="1"/>
    <col min="21" max="16384" width="33" style="9"/>
  </cols>
  <sheetData>
    <row r="1" spans="1:10" s="8" customFormat="1" ht="15" customHeight="1" x14ac:dyDescent="0.25">
      <c r="A1" s="482" t="s">
        <v>8</v>
      </c>
      <c r="B1" s="483"/>
      <c r="C1" s="483"/>
      <c r="D1" s="483"/>
      <c r="E1" s="483"/>
      <c r="F1" s="483"/>
      <c r="G1" s="483"/>
      <c r="H1" s="483"/>
      <c r="I1" s="483"/>
    </row>
    <row r="3" spans="1:10" ht="15" customHeight="1" x14ac:dyDescent="0.2">
      <c r="A3" s="484"/>
      <c r="B3" s="486" t="s">
        <v>9</v>
      </c>
      <c r="C3" s="486"/>
      <c r="D3" s="487" t="s">
        <v>10</v>
      </c>
      <c r="E3" s="486" t="s">
        <v>11</v>
      </c>
      <c r="F3" s="486"/>
      <c r="G3" s="487" t="s">
        <v>10</v>
      </c>
      <c r="H3" s="488" t="s">
        <v>12</v>
      </c>
      <c r="I3" s="488"/>
    </row>
    <row r="4" spans="1:10" ht="15" customHeight="1" x14ac:dyDescent="0.2">
      <c r="A4" s="485"/>
      <c r="B4" s="486"/>
      <c r="C4" s="486"/>
      <c r="D4" s="487"/>
      <c r="E4" s="486"/>
      <c r="F4" s="486"/>
      <c r="G4" s="487"/>
      <c r="H4" s="488"/>
      <c r="I4" s="488"/>
    </row>
    <row r="5" spans="1:10" ht="15" customHeight="1" x14ac:dyDescent="0.2">
      <c r="A5" s="485"/>
      <c r="B5" s="183" t="s">
        <v>343</v>
      </c>
      <c r="C5" s="413" t="s">
        <v>330</v>
      </c>
      <c r="D5" s="487"/>
      <c r="E5" s="369" t="s">
        <v>343</v>
      </c>
      <c r="F5" s="413" t="s">
        <v>330</v>
      </c>
      <c r="G5" s="487"/>
      <c r="H5" s="369" t="s">
        <v>343</v>
      </c>
      <c r="I5" s="413" t="s">
        <v>330</v>
      </c>
    </row>
    <row r="6" spans="1:10" s="8" customFormat="1" ht="14.1" customHeight="1" x14ac:dyDescent="0.25">
      <c r="A6" s="199" t="s">
        <v>13</v>
      </c>
      <c r="B6" s="10">
        <v>1481074</v>
      </c>
      <c r="C6" s="10">
        <v>1604344</v>
      </c>
      <c r="D6" s="10">
        <f>B6-C6</f>
        <v>-123270</v>
      </c>
      <c r="E6" s="157">
        <v>1798307</v>
      </c>
      <c r="F6" s="157">
        <v>1828910</v>
      </c>
      <c r="G6" s="10">
        <f>E6-F6</f>
        <v>-30603</v>
      </c>
      <c r="H6" s="132">
        <f>B6-E6</f>
        <v>-317233</v>
      </c>
      <c r="I6" s="132">
        <v>-224566</v>
      </c>
      <c r="J6" s="131"/>
    </row>
    <row r="7" spans="1:10" s="8" customFormat="1" ht="14.1" customHeight="1" x14ac:dyDescent="0.25">
      <c r="A7" s="185" t="s">
        <v>14</v>
      </c>
      <c r="B7" s="10">
        <v>366668</v>
      </c>
      <c r="C7" s="10">
        <v>391129</v>
      </c>
      <c r="D7" s="10">
        <f t="shared" ref="D7:D70" si="0">B7-C7</f>
        <v>-24461</v>
      </c>
      <c r="E7" s="157">
        <v>496740</v>
      </c>
      <c r="F7" s="157">
        <v>508436</v>
      </c>
      <c r="G7" s="10">
        <f t="shared" ref="G7:G70" si="1">E7-F7</f>
        <v>-11696</v>
      </c>
      <c r="H7" s="132">
        <f t="shared" ref="H7:H70" si="2">B7-E7</f>
        <v>-130072</v>
      </c>
      <c r="I7" s="132">
        <v>-117307</v>
      </c>
      <c r="J7" s="131"/>
    </row>
    <row r="8" spans="1:10" ht="14.1" customHeight="1" x14ac:dyDescent="0.25">
      <c r="A8" s="186" t="s">
        <v>15</v>
      </c>
      <c r="B8" s="11">
        <v>13183</v>
      </c>
      <c r="C8" s="11">
        <v>14317</v>
      </c>
      <c r="D8" s="11">
        <f t="shared" si="0"/>
        <v>-1134</v>
      </c>
      <c r="E8" s="158">
        <v>20662</v>
      </c>
      <c r="F8" s="158">
        <v>20898</v>
      </c>
      <c r="G8" s="11">
        <f t="shared" si="1"/>
        <v>-236</v>
      </c>
      <c r="H8" s="133">
        <f t="shared" si="2"/>
        <v>-7479</v>
      </c>
      <c r="I8" s="133">
        <v>-6581</v>
      </c>
      <c r="J8" s="131"/>
    </row>
    <row r="9" spans="1:10" ht="14.1" customHeight="1" x14ac:dyDescent="0.25">
      <c r="A9" s="186" t="s">
        <v>16</v>
      </c>
      <c r="B9" s="11">
        <v>9956</v>
      </c>
      <c r="C9" s="11">
        <v>11129</v>
      </c>
      <c r="D9" s="11">
        <f t="shared" si="0"/>
        <v>-1173</v>
      </c>
      <c r="E9" s="158">
        <v>17615</v>
      </c>
      <c r="F9" s="158">
        <v>18273</v>
      </c>
      <c r="G9" s="11">
        <f t="shared" si="1"/>
        <v>-658</v>
      </c>
      <c r="H9" s="133">
        <f t="shared" si="2"/>
        <v>-7659</v>
      </c>
      <c r="I9" s="133">
        <v>-7144</v>
      </c>
      <c r="J9" s="131"/>
    </row>
    <row r="10" spans="1:10" ht="14.1" customHeight="1" x14ac:dyDescent="0.25">
      <c r="A10" s="186" t="s">
        <v>17</v>
      </c>
      <c r="B10" s="11">
        <v>11101</v>
      </c>
      <c r="C10" s="11">
        <v>12693</v>
      </c>
      <c r="D10" s="11">
        <f t="shared" si="0"/>
        <v>-1592</v>
      </c>
      <c r="E10" s="158">
        <v>21183</v>
      </c>
      <c r="F10" s="158">
        <v>21966</v>
      </c>
      <c r="G10" s="11">
        <f t="shared" si="1"/>
        <v>-783</v>
      </c>
      <c r="H10" s="133">
        <f t="shared" si="2"/>
        <v>-10082</v>
      </c>
      <c r="I10" s="133">
        <v>-9273</v>
      </c>
      <c r="J10" s="131"/>
    </row>
    <row r="11" spans="1:10" ht="14.1" customHeight="1" x14ac:dyDescent="0.25">
      <c r="A11" s="186" t="s">
        <v>18</v>
      </c>
      <c r="B11" s="11">
        <v>19576</v>
      </c>
      <c r="C11" s="11">
        <v>21470</v>
      </c>
      <c r="D11" s="11">
        <f t="shared" si="0"/>
        <v>-1894</v>
      </c>
      <c r="E11" s="158">
        <v>32882</v>
      </c>
      <c r="F11" s="158">
        <v>34280</v>
      </c>
      <c r="G11" s="11">
        <f t="shared" si="1"/>
        <v>-1398</v>
      </c>
      <c r="H11" s="133">
        <f t="shared" si="2"/>
        <v>-13306</v>
      </c>
      <c r="I11" s="133">
        <v>-12810</v>
      </c>
      <c r="J11" s="131"/>
    </row>
    <row r="12" spans="1:10" ht="14.1" customHeight="1" x14ac:dyDescent="0.25">
      <c r="A12" s="186" t="s">
        <v>19</v>
      </c>
      <c r="B12" s="11">
        <v>7938</v>
      </c>
      <c r="C12" s="11">
        <v>9117</v>
      </c>
      <c r="D12" s="11">
        <f t="shared" si="0"/>
        <v>-1179</v>
      </c>
      <c r="E12" s="158">
        <v>15799</v>
      </c>
      <c r="F12" s="158">
        <v>16226</v>
      </c>
      <c r="G12" s="11">
        <f t="shared" si="1"/>
        <v>-427</v>
      </c>
      <c r="H12" s="133">
        <f t="shared" si="2"/>
        <v>-7861</v>
      </c>
      <c r="I12" s="133">
        <v>-7109</v>
      </c>
      <c r="J12" s="131"/>
    </row>
    <row r="13" spans="1:10" ht="14.1" customHeight="1" x14ac:dyDescent="0.25">
      <c r="A13" s="186" t="s">
        <v>20</v>
      </c>
      <c r="B13" s="11">
        <v>8924</v>
      </c>
      <c r="C13" s="11">
        <v>10355</v>
      </c>
      <c r="D13" s="11">
        <f t="shared" si="0"/>
        <v>-1431</v>
      </c>
      <c r="E13" s="158">
        <v>14656</v>
      </c>
      <c r="F13" s="158">
        <v>15067</v>
      </c>
      <c r="G13" s="11">
        <f t="shared" si="1"/>
        <v>-411</v>
      </c>
      <c r="H13" s="133">
        <f t="shared" si="2"/>
        <v>-5732</v>
      </c>
      <c r="I13" s="133">
        <v>-4712</v>
      </c>
      <c r="J13" s="131"/>
    </row>
    <row r="14" spans="1:10" ht="14.1" customHeight="1" x14ac:dyDescent="0.25">
      <c r="A14" s="187" t="s">
        <v>21</v>
      </c>
      <c r="B14" s="11">
        <v>5761</v>
      </c>
      <c r="C14" s="11">
        <v>6230</v>
      </c>
      <c r="D14" s="11">
        <f t="shared" si="0"/>
        <v>-469</v>
      </c>
      <c r="E14" s="158">
        <v>9337</v>
      </c>
      <c r="F14" s="158">
        <v>9510</v>
      </c>
      <c r="G14" s="11">
        <f t="shared" si="1"/>
        <v>-173</v>
      </c>
      <c r="H14" s="133">
        <f t="shared" si="2"/>
        <v>-3576</v>
      </c>
      <c r="I14" s="133">
        <v>-3280</v>
      </c>
      <c r="J14" s="131"/>
    </row>
    <row r="15" spans="1:10" ht="14.1" customHeight="1" x14ac:dyDescent="0.25">
      <c r="A15" s="186" t="s">
        <v>22</v>
      </c>
      <c r="B15" s="11">
        <v>9246</v>
      </c>
      <c r="C15" s="11">
        <v>10256</v>
      </c>
      <c r="D15" s="11">
        <f t="shared" si="0"/>
        <v>-1010</v>
      </c>
      <c r="E15" s="158">
        <v>16562</v>
      </c>
      <c r="F15" s="158">
        <v>17156</v>
      </c>
      <c r="G15" s="11">
        <f t="shared" si="1"/>
        <v>-594</v>
      </c>
      <c r="H15" s="133">
        <f t="shared" si="2"/>
        <v>-7316</v>
      </c>
      <c r="I15" s="133">
        <v>-6900</v>
      </c>
      <c r="J15" s="131"/>
    </row>
    <row r="16" spans="1:10" ht="14.1" customHeight="1" x14ac:dyDescent="0.25">
      <c r="A16" s="186" t="s">
        <v>23</v>
      </c>
      <c r="B16" s="11">
        <v>9788</v>
      </c>
      <c r="C16" s="11">
        <v>10884</v>
      </c>
      <c r="D16" s="11">
        <f t="shared" si="0"/>
        <v>-1096</v>
      </c>
      <c r="E16" s="158">
        <v>16291</v>
      </c>
      <c r="F16" s="158">
        <v>16641</v>
      </c>
      <c r="G16" s="11">
        <f t="shared" si="1"/>
        <v>-350</v>
      </c>
      <c r="H16" s="133">
        <f t="shared" si="2"/>
        <v>-6503</v>
      </c>
      <c r="I16" s="133">
        <v>-5757</v>
      </c>
      <c r="J16" s="131"/>
    </row>
    <row r="17" spans="1:10" ht="14.1" customHeight="1" x14ac:dyDescent="0.25">
      <c r="A17" s="186" t="s">
        <v>24</v>
      </c>
      <c r="B17" s="11">
        <v>72466</v>
      </c>
      <c r="C17" s="11">
        <v>83088</v>
      </c>
      <c r="D17" s="11">
        <f t="shared" si="0"/>
        <v>-10622</v>
      </c>
      <c r="E17" s="158">
        <v>91448</v>
      </c>
      <c r="F17" s="158">
        <v>92305</v>
      </c>
      <c r="G17" s="11">
        <f t="shared" si="1"/>
        <v>-857</v>
      </c>
      <c r="H17" s="133">
        <f t="shared" si="2"/>
        <v>-18982</v>
      </c>
      <c r="I17" s="133">
        <v>-9217</v>
      </c>
      <c r="J17" s="131"/>
    </row>
    <row r="18" spans="1:10" ht="14.1" customHeight="1" x14ac:dyDescent="0.25">
      <c r="A18" s="186" t="s">
        <v>25</v>
      </c>
      <c r="B18" s="11">
        <v>5949</v>
      </c>
      <c r="C18" s="11">
        <v>6710</v>
      </c>
      <c r="D18" s="11">
        <f t="shared" si="0"/>
        <v>-761</v>
      </c>
      <c r="E18" s="158">
        <v>11289</v>
      </c>
      <c r="F18" s="158">
        <v>11775</v>
      </c>
      <c r="G18" s="11">
        <f t="shared" si="1"/>
        <v>-486</v>
      </c>
      <c r="H18" s="133">
        <f t="shared" si="2"/>
        <v>-5340</v>
      </c>
      <c r="I18" s="133">
        <v>-5065</v>
      </c>
      <c r="J18" s="131"/>
    </row>
    <row r="19" spans="1:10" ht="14.1" customHeight="1" x14ac:dyDescent="0.25">
      <c r="A19" s="187" t="s">
        <v>26</v>
      </c>
      <c r="B19" s="11">
        <v>9236</v>
      </c>
      <c r="C19" s="11">
        <v>10273</v>
      </c>
      <c r="D19" s="11">
        <f t="shared" si="0"/>
        <v>-1037</v>
      </c>
      <c r="E19" s="158">
        <v>16853</v>
      </c>
      <c r="F19" s="158">
        <v>17185</v>
      </c>
      <c r="G19" s="11">
        <f t="shared" si="1"/>
        <v>-332</v>
      </c>
      <c r="H19" s="133">
        <f t="shared" si="2"/>
        <v>-7617</v>
      </c>
      <c r="I19" s="133">
        <v>-6912</v>
      </c>
      <c r="J19" s="131"/>
    </row>
    <row r="20" spans="1:10" ht="14.1" customHeight="1" x14ac:dyDescent="0.25">
      <c r="A20" s="186" t="s">
        <v>27</v>
      </c>
      <c r="B20" s="11">
        <v>7079</v>
      </c>
      <c r="C20" s="11">
        <v>7814</v>
      </c>
      <c r="D20" s="11">
        <f t="shared" si="0"/>
        <v>-735</v>
      </c>
      <c r="E20" s="158">
        <v>14192</v>
      </c>
      <c r="F20" s="158">
        <v>14652</v>
      </c>
      <c r="G20" s="11">
        <f t="shared" si="1"/>
        <v>-460</v>
      </c>
      <c r="H20" s="133">
        <f t="shared" si="2"/>
        <v>-7113</v>
      </c>
      <c r="I20" s="133">
        <v>-6838</v>
      </c>
      <c r="J20" s="131"/>
    </row>
    <row r="21" spans="1:10" ht="14.1" customHeight="1" x14ac:dyDescent="0.25">
      <c r="A21" s="186" t="s">
        <v>28</v>
      </c>
      <c r="B21" s="11">
        <v>7744</v>
      </c>
      <c r="C21" s="11">
        <v>8289</v>
      </c>
      <c r="D21" s="11">
        <f t="shared" si="0"/>
        <v>-545</v>
      </c>
      <c r="E21" s="158">
        <v>15187</v>
      </c>
      <c r="F21" s="158">
        <v>15958</v>
      </c>
      <c r="G21" s="11">
        <f t="shared" si="1"/>
        <v>-771</v>
      </c>
      <c r="H21" s="133">
        <f t="shared" si="2"/>
        <v>-7443</v>
      </c>
      <c r="I21" s="133">
        <v>-7669</v>
      </c>
      <c r="J21" s="131"/>
    </row>
    <row r="22" spans="1:10" ht="14.1" customHeight="1" x14ac:dyDescent="0.25">
      <c r="A22" s="186" t="s">
        <v>29</v>
      </c>
      <c r="B22" s="11">
        <v>10680</v>
      </c>
      <c r="C22" s="11">
        <v>11605</v>
      </c>
      <c r="D22" s="11">
        <f t="shared" si="0"/>
        <v>-925</v>
      </c>
      <c r="E22" s="158">
        <v>20591</v>
      </c>
      <c r="F22" s="158">
        <v>21494</v>
      </c>
      <c r="G22" s="11">
        <f t="shared" si="1"/>
        <v>-903</v>
      </c>
      <c r="H22" s="133">
        <f t="shared" si="2"/>
        <v>-9911</v>
      </c>
      <c r="I22" s="133">
        <v>-9889</v>
      </c>
      <c r="J22" s="131"/>
    </row>
    <row r="23" spans="1:10" ht="14.1" customHeight="1" x14ac:dyDescent="0.25">
      <c r="A23" s="186" t="s">
        <v>30</v>
      </c>
      <c r="B23" s="11">
        <v>11232</v>
      </c>
      <c r="C23" s="11">
        <v>12321</v>
      </c>
      <c r="D23" s="11">
        <f t="shared" si="0"/>
        <v>-1089</v>
      </c>
      <c r="E23" s="158">
        <v>23354</v>
      </c>
      <c r="F23" s="158">
        <v>24052</v>
      </c>
      <c r="G23" s="11">
        <f t="shared" si="1"/>
        <v>-698</v>
      </c>
      <c r="H23" s="133">
        <f t="shared" si="2"/>
        <v>-12122</v>
      </c>
      <c r="I23" s="133">
        <v>-11731</v>
      </c>
      <c r="J23" s="131"/>
    </row>
    <row r="24" spans="1:10" ht="14.1" customHeight="1" x14ac:dyDescent="0.25">
      <c r="A24" s="186" t="s">
        <v>31</v>
      </c>
      <c r="B24" s="11">
        <v>11172</v>
      </c>
      <c r="C24" s="11">
        <v>12386</v>
      </c>
      <c r="D24" s="11">
        <f t="shared" si="0"/>
        <v>-1214</v>
      </c>
      <c r="E24" s="158">
        <v>18418</v>
      </c>
      <c r="F24" s="158">
        <v>18854</v>
      </c>
      <c r="G24" s="11">
        <f t="shared" si="1"/>
        <v>-436</v>
      </c>
      <c r="H24" s="133">
        <f t="shared" si="2"/>
        <v>-7246</v>
      </c>
      <c r="I24" s="133">
        <v>-6468</v>
      </c>
      <c r="J24" s="131"/>
    </row>
    <row r="25" spans="1:10" ht="14.1" customHeight="1" x14ac:dyDescent="0.25">
      <c r="A25" s="186" t="s">
        <v>32</v>
      </c>
      <c r="B25" s="11">
        <v>135637</v>
      </c>
      <c r="C25" s="11">
        <v>132192</v>
      </c>
      <c r="D25" s="11">
        <f t="shared" si="0"/>
        <v>3445</v>
      </c>
      <c r="E25" s="158">
        <v>120421</v>
      </c>
      <c r="F25" s="158">
        <v>122144</v>
      </c>
      <c r="G25" s="11">
        <f t="shared" si="1"/>
        <v>-1723</v>
      </c>
      <c r="H25" s="133">
        <f t="shared" si="2"/>
        <v>15216</v>
      </c>
      <c r="I25" s="133">
        <v>10048</v>
      </c>
      <c r="J25" s="131"/>
    </row>
    <row r="26" spans="1:10" s="8" customFormat="1" ht="14.1" customHeight="1" x14ac:dyDescent="0.25">
      <c r="A26" s="188" t="s">
        <v>33</v>
      </c>
      <c r="B26" s="10">
        <v>133612</v>
      </c>
      <c r="C26" s="10">
        <v>145537</v>
      </c>
      <c r="D26" s="10">
        <f t="shared" si="0"/>
        <v>-11925</v>
      </c>
      <c r="E26" s="157">
        <v>173155</v>
      </c>
      <c r="F26" s="157">
        <v>176127</v>
      </c>
      <c r="G26" s="10">
        <f t="shared" si="1"/>
        <v>-2972</v>
      </c>
      <c r="H26" s="132">
        <f t="shared" si="2"/>
        <v>-39543</v>
      </c>
      <c r="I26" s="132">
        <v>-30590</v>
      </c>
      <c r="J26" s="131"/>
    </row>
    <row r="27" spans="1:10" ht="14.1" customHeight="1" x14ac:dyDescent="0.25">
      <c r="A27" s="186" t="s">
        <v>34</v>
      </c>
      <c r="B27" s="11">
        <v>5491</v>
      </c>
      <c r="C27" s="11">
        <v>6050</v>
      </c>
      <c r="D27" s="11">
        <f t="shared" si="0"/>
        <v>-559</v>
      </c>
      <c r="E27" s="158">
        <v>8775</v>
      </c>
      <c r="F27" s="158">
        <v>9158</v>
      </c>
      <c r="G27" s="11">
        <f t="shared" si="1"/>
        <v>-383</v>
      </c>
      <c r="H27" s="133">
        <f t="shared" si="2"/>
        <v>-3284</v>
      </c>
      <c r="I27" s="133">
        <v>-3108</v>
      </c>
      <c r="J27" s="131"/>
    </row>
    <row r="28" spans="1:10" ht="14.1" customHeight="1" x14ac:dyDescent="0.25">
      <c r="A28" s="186" t="s">
        <v>35</v>
      </c>
      <c r="B28" s="11">
        <v>7918</v>
      </c>
      <c r="C28" s="11">
        <v>8561</v>
      </c>
      <c r="D28" s="11">
        <f t="shared" si="0"/>
        <v>-643</v>
      </c>
      <c r="E28" s="158">
        <v>9891</v>
      </c>
      <c r="F28" s="158">
        <v>9923</v>
      </c>
      <c r="G28" s="11">
        <f t="shared" si="1"/>
        <v>-32</v>
      </c>
      <c r="H28" s="133">
        <f t="shared" si="2"/>
        <v>-1973</v>
      </c>
      <c r="I28" s="133">
        <v>-1362</v>
      </c>
      <c r="J28" s="131"/>
    </row>
    <row r="29" spans="1:10" ht="14.1" customHeight="1" x14ac:dyDescent="0.25">
      <c r="A29" s="186" t="s">
        <v>36</v>
      </c>
      <c r="B29" s="11">
        <v>10227</v>
      </c>
      <c r="C29" s="11">
        <v>11248</v>
      </c>
      <c r="D29" s="11">
        <f t="shared" si="0"/>
        <v>-1021</v>
      </c>
      <c r="E29" s="158">
        <v>14819</v>
      </c>
      <c r="F29" s="158">
        <v>15064</v>
      </c>
      <c r="G29" s="11">
        <f t="shared" si="1"/>
        <v>-245</v>
      </c>
      <c r="H29" s="133">
        <f t="shared" si="2"/>
        <v>-4592</v>
      </c>
      <c r="I29" s="133">
        <v>-3816</v>
      </c>
      <c r="J29" s="131"/>
    </row>
    <row r="30" spans="1:10" ht="14.1" customHeight="1" x14ac:dyDescent="0.25">
      <c r="A30" s="186" t="s">
        <v>37</v>
      </c>
      <c r="B30" s="11">
        <v>585</v>
      </c>
      <c r="C30" s="11">
        <v>618</v>
      </c>
      <c r="D30" s="11">
        <f t="shared" si="0"/>
        <v>-33</v>
      </c>
      <c r="E30" s="158">
        <v>380</v>
      </c>
      <c r="F30" s="158">
        <v>394</v>
      </c>
      <c r="G30" s="11">
        <f t="shared" si="1"/>
        <v>-14</v>
      </c>
      <c r="H30" s="133">
        <f t="shared" si="2"/>
        <v>205</v>
      </c>
      <c r="I30" s="133">
        <v>224</v>
      </c>
      <c r="J30" s="131"/>
    </row>
    <row r="31" spans="1:10" ht="14.1" customHeight="1" x14ac:dyDescent="0.25">
      <c r="A31" s="189" t="s">
        <v>287</v>
      </c>
      <c r="B31" s="11">
        <v>9642</v>
      </c>
      <c r="C31" s="11">
        <v>10630</v>
      </c>
      <c r="D31" s="11">
        <f t="shared" si="0"/>
        <v>-988</v>
      </c>
      <c r="E31" s="158">
        <v>14439</v>
      </c>
      <c r="F31" s="158">
        <v>14670</v>
      </c>
      <c r="G31" s="11">
        <f t="shared" si="1"/>
        <v>-231</v>
      </c>
      <c r="H31" s="133">
        <f t="shared" si="2"/>
        <v>-4797</v>
      </c>
      <c r="I31" s="133">
        <v>-4040</v>
      </c>
      <c r="J31" s="131"/>
    </row>
    <row r="32" spans="1:10" ht="14.1" customHeight="1" x14ac:dyDescent="0.25">
      <c r="A32" s="186" t="s">
        <v>38</v>
      </c>
      <c r="B32" s="11">
        <v>11172</v>
      </c>
      <c r="C32" s="11">
        <v>12312</v>
      </c>
      <c r="D32" s="11">
        <f t="shared" si="0"/>
        <v>-1140</v>
      </c>
      <c r="E32" s="158">
        <v>16366</v>
      </c>
      <c r="F32" s="158">
        <v>16843</v>
      </c>
      <c r="G32" s="11">
        <f t="shared" si="1"/>
        <v>-477</v>
      </c>
      <c r="H32" s="133">
        <f t="shared" si="2"/>
        <v>-5194</v>
      </c>
      <c r="I32" s="133">
        <v>-4531</v>
      </c>
      <c r="J32" s="131"/>
    </row>
    <row r="33" spans="1:10" ht="14.1" customHeight="1" x14ac:dyDescent="0.25">
      <c r="A33" s="186" t="s">
        <v>39</v>
      </c>
      <c r="B33" s="11">
        <v>9293</v>
      </c>
      <c r="C33" s="11">
        <v>10326</v>
      </c>
      <c r="D33" s="11">
        <f t="shared" si="0"/>
        <v>-1033</v>
      </c>
      <c r="E33" s="158">
        <v>11937</v>
      </c>
      <c r="F33" s="158">
        <v>12205</v>
      </c>
      <c r="G33" s="11">
        <f t="shared" si="1"/>
        <v>-268</v>
      </c>
      <c r="H33" s="133">
        <f t="shared" si="2"/>
        <v>-2644</v>
      </c>
      <c r="I33" s="133">
        <v>-1879</v>
      </c>
      <c r="J33" s="131"/>
    </row>
    <row r="34" spans="1:10" ht="14.1" customHeight="1" x14ac:dyDescent="0.25">
      <c r="A34" s="186" t="s">
        <v>40</v>
      </c>
      <c r="B34" s="11">
        <v>13478</v>
      </c>
      <c r="C34" s="11">
        <v>13950</v>
      </c>
      <c r="D34" s="11">
        <f t="shared" si="0"/>
        <v>-472</v>
      </c>
      <c r="E34" s="158">
        <v>23354</v>
      </c>
      <c r="F34" s="158">
        <v>23640</v>
      </c>
      <c r="G34" s="11">
        <f t="shared" si="1"/>
        <v>-286</v>
      </c>
      <c r="H34" s="133">
        <f t="shared" si="2"/>
        <v>-9876</v>
      </c>
      <c r="I34" s="133">
        <v>-9690</v>
      </c>
      <c r="J34" s="131"/>
    </row>
    <row r="35" spans="1:10" ht="14.1" customHeight="1" x14ac:dyDescent="0.25">
      <c r="A35" s="186" t="s">
        <v>41</v>
      </c>
      <c r="B35" s="11">
        <v>6673</v>
      </c>
      <c r="C35" s="11">
        <v>7364</v>
      </c>
      <c r="D35" s="11">
        <f t="shared" si="0"/>
        <v>-691</v>
      </c>
      <c r="E35" s="158">
        <v>8462</v>
      </c>
      <c r="F35" s="158">
        <v>8463</v>
      </c>
      <c r="G35" s="11">
        <f t="shared" si="1"/>
        <v>-1</v>
      </c>
      <c r="H35" s="133">
        <f t="shared" si="2"/>
        <v>-1789</v>
      </c>
      <c r="I35" s="133">
        <v>-1099</v>
      </c>
      <c r="J35" s="131"/>
    </row>
    <row r="36" spans="1:10" ht="14.1" customHeight="1" x14ac:dyDescent="0.25">
      <c r="A36" s="186" t="s">
        <v>42</v>
      </c>
      <c r="B36" s="11">
        <v>5189</v>
      </c>
      <c r="C36" s="11">
        <v>5845</v>
      </c>
      <c r="D36" s="11">
        <f t="shared" si="0"/>
        <v>-656</v>
      </c>
      <c r="E36" s="158">
        <v>9801</v>
      </c>
      <c r="F36" s="158">
        <v>10093</v>
      </c>
      <c r="G36" s="11">
        <f t="shared" si="1"/>
        <v>-292</v>
      </c>
      <c r="H36" s="133">
        <f t="shared" si="2"/>
        <v>-4612</v>
      </c>
      <c r="I36" s="133">
        <v>-4248</v>
      </c>
      <c r="J36" s="131"/>
    </row>
    <row r="37" spans="1:10" ht="14.1" customHeight="1" x14ac:dyDescent="0.25">
      <c r="A37" s="186" t="s">
        <v>43</v>
      </c>
      <c r="B37" s="11">
        <v>5301</v>
      </c>
      <c r="C37" s="11">
        <v>5858</v>
      </c>
      <c r="D37" s="11">
        <f t="shared" si="0"/>
        <v>-557</v>
      </c>
      <c r="E37" s="158">
        <v>10572</v>
      </c>
      <c r="F37" s="158">
        <v>10894</v>
      </c>
      <c r="G37" s="11">
        <f t="shared" si="1"/>
        <v>-322</v>
      </c>
      <c r="H37" s="133">
        <f t="shared" si="2"/>
        <v>-5271</v>
      </c>
      <c r="I37" s="133">
        <v>-5036</v>
      </c>
      <c r="J37" s="131"/>
    </row>
    <row r="38" spans="1:10" s="8" customFormat="1" ht="14.1" customHeight="1" x14ac:dyDescent="0.25">
      <c r="A38" s="186" t="s">
        <v>44</v>
      </c>
      <c r="B38" s="11">
        <v>58870</v>
      </c>
      <c r="C38" s="11">
        <v>64023</v>
      </c>
      <c r="D38" s="11">
        <f t="shared" si="0"/>
        <v>-5153</v>
      </c>
      <c r="E38" s="158">
        <v>59178</v>
      </c>
      <c r="F38" s="158">
        <v>59844</v>
      </c>
      <c r="G38" s="11">
        <f t="shared" si="1"/>
        <v>-666</v>
      </c>
      <c r="H38" s="133">
        <f t="shared" si="2"/>
        <v>-308</v>
      </c>
      <c r="I38" s="133">
        <v>4179</v>
      </c>
      <c r="J38" s="311"/>
    </row>
    <row r="39" spans="1:10" ht="14.1" customHeight="1" x14ac:dyDescent="0.2">
      <c r="A39" s="190" t="s">
        <v>45</v>
      </c>
      <c r="B39" s="10">
        <v>161238</v>
      </c>
      <c r="C39" s="10">
        <v>173257</v>
      </c>
      <c r="D39" s="10">
        <f t="shared" si="0"/>
        <v>-12019</v>
      </c>
      <c r="E39" s="319">
        <v>210614</v>
      </c>
      <c r="F39" s="319">
        <v>210304</v>
      </c>
      <c r="G39" s="10">
        <f t="shared" si="1"/>
        <v>310</v>
      </c>
      <c r="H39" s="132">
        <f t="shared" si="2"/>
        <v>-49376</v>
      </c>
      <c r="I39" s="320">
        <v>-37047</v>
      </c>
    </row>
    <row r="40" spans="1:10" ht="14.1" customHeight="1" x14ac:dyDescent="0.25">
      <c r="A40" s="186" t="s">
        <v>46</v>
      </c>
      <c r="B40" s="11">
        <v>4184</v>
      </c>
      <c r="C40" s="318">
        <v>4503</v>
      </c>
      <c r="D40" s="11">
        <f t="shared" si="0"/>
        <v>-319</v>
      </c>
      <c r="E40" s="158">
        <v>5654</v>
      </c>
      <c r="F40" s="158">
        <v>5607</v>
      </c>
      <c r="G40" s="11">
        <f t="shared" si="1"/>
        <v>47</v>
      </c>
      <c r="H40" s="133">
        <f t="shared" si="2"/>
        <v>-1470</v>
      </c>
      <c r="I40" s="133">
        <v>-1104</v>
      </c>
      <c r="J40" s="131"/>
    </row>
    <row r="41" spans="1:10" ht="14.1" customHeight="1" x14ac:dyDescent="0.25">
      <c r="A41" s="186" t="s">
        <v>47</v>
      </c>
      <c r="B41" s="11">
        <v>2814</v>
      </c>
      <c r="C41" s="11">
        <v>3054</v>
      </c>
      <c r="D41" s="11">
        <f t="shared" si="0"/>
        <v>-240</v>
      </c>
      <c r="E41" s="158">
        <v>2561</v>
      </c>
      <c r="F41" s="158">
        <v>2656</v>
      </c>
      <c r="G41" s="11">
        <f t="shared" si="1"/>
        <v>-95</v>
      </c>
      <c r="H41" s="133">
        <f t="shared" si="2"/>
        <v>253</v>
      </c>
      <c r="I41" s="133">
        <v>398</v>
      </c>
      <c r="J41" s="131"/>
    </row>
    <row r="42" spans="1:10" ht="14.1" customHeight="1" x14ac:dyDescent="0.25">
      <c r="A42" s="186" t="s">
        <v>202</v>
      </c>
      <c r="B42" s="11">
        <v>19114</v>
      </c>
      <c r="C42" s="11">
        <v>20331</v>
      </c>
      <c r="D42" s="11">
        <f t="shared" si="0"/>
        <v>-1217</v>
      </c>
      <c r="E42" s="158">
        <v>26794</v>
      </c>
      <c r="F42" s="158">
        <v>27025</v>
      </c>
      <c r="G42" s="11">
        <f t="shared" si="1"/>
        <v>-231</v>
      </c>
      <c r="H42" s="133">
        <f t="shared" si="2"/>
        <v>-7680</v>
      </c>
      <c r="I42" s="134">
        <v>-6694</v>
      </c>
      <c r="J42" s="131"/>
    </row>
    <row r="43" spans="1:10" ht="14.1" customHeight="1" x14ac:dyDescent="0.25">
      <c r="A43" s="186" t="s">
        <v>48</v>
      </c>
      <c r="B43" s="11">
        <v>61165</v>
      </c>
      <c r="C43" s="11">
        <v>64519</v>
      </c>
      <c r="D43" s="11">
        <f t="shared" si="0"/>
        <v>-3354</v>
      </c>
      <c r="E43" s="158">
        <v>69890</v>
      </c>
      <c r="F43" s="158">
        <v>67274</v>
      </c>
      <c r="G43" s="11">
        <f t="shared" si="1"/>
        <v>2616</v>
      </c>
      <c r="H43" s="133">
        <f t="shared" si="2"/>
        <v>-8725</v>
      </c>
      <c r="I43" s="133">
        <v>-2755</v>
      </c>
      <c r="J43" s="131"/>
    </row>
    <row r="44" spans="1:10" ht="14.1" customHeight="1" x14ac:dyDescent="0.25">
      <c r="A44" s="186" t="s">
        <v>49</v>
      </c>
      <c r="B44" s="11">
        <v>10981</v>
      </c>
      <c r="C44" s="11">
        <v>11781</v>
      </c>
      <c r="D44" s="11">
        <f t="shared" si="0"/>
        <v>-800</v>
      </c>
      <c r="E44" s="158">
        <v>11426</v>
      </c>
      <c r="F44" s="158">
        <v>11734</v>
      </c>
      <c r="G44" s="11">
        <f t="shared" si="1"/>
        <v>-308</v>
      </c>
      <c r="H44" s="133">
        <f t="shared" si="2"/>
        <v>-445</v>
      </c>
      <c r="I44" s="133">
        <v>47</v>
      </c>
      <c r="J44" s="131"/>
    </row>
    <row r="45" spans="1:10" ht="14.1" customHeight="1" x14ac:dyDescent="0.25">
      <c r="A45" s="186" t="s">
        <v>50</v>
      </c>
      <c r="B45" s="11">
        <v>20974</v>
      </c>
      <c r="C45" s="11">
        <v>23563</v>
      </c>
      <c r="D45" s="11">
        <f t="shared" si="0"/>
        <v>-2589</v>
      </c>
      <c r="E45" s="158">
        <v>32763</v>
      </c>
      <c r="F45" s="158">
        <v>33563</v>
      </c>
      <c r="G45" s="11">
        <f t="shared" si="1"/>
        <v>-800</v>
      </c>
      <c r="H45" s="133">
        <f t="shared" si="2"/>
        <v>-11789</v>
      </c>
      <c r="I45" s="133">
        <v>-10000</v>
      </c>
      <c r="J45" s="131"/>
    </row>
    <row r="46" spans="1:10" ht="14.1" customHeight="1" x14ac:dyDescent="0.25">
      <c r="A46" s="186" t="s">
        <v>51</v>
      </c>
      <c r="B46" s="11">
        <v>37730</v>
      </c>
      <c r="C46" s="11">
        <v>41052</v>
      </c>
      <c r="D46" s="11">
        <f t="shared" si="0"/>
        <v>-3322</v>
      </c>
      <c r="E46" s="158">
        <v>55747</v>
      </c>
      <c r="F46" s="158">
        <v>56794</v>
      </c>
      <c r="G46" s="11">
        <f t="shared" si="1"/>
        <v>-1047</v>
      </c>
      <c r="H46" s="133">
        <f t="shared" si="2"/>
        <v>-18017</v>
      </c>
      <c r="I46" s="133">
        <v>-15742</v>
      </c>
      <c r="J46" s="131"/>
    </row>
    <row r="47" spans="1:10" ht="14.1" customHeight="1" x14ac:dyDescent="0.25">
      <c r="A47" s="186" t="s">
        <v>203</v>
      </c>
      <c r="B47" s="11">
        <v>4276</v>
      </c>
      <c r="C47" s="11">
        <v>4454</v>
      </c>
      <c r="D47" s="11">
        <f t="shared" si="0"/>
        <v>-178</v>
      </c>
      <c r="E47" s="158">
        <v>5779</v>
      </c>
      <c r="F47" s="158">
        <v>5651</v>
      </c>
      <c r="G47" s="11">
        <f t="shared" si="1"/>
        <v>128</v>
      </c>
      <c r="H47" s="133">
        <f t="shared" si="2"/>
        <v>-1503</v>
      </c>
      <c r="I47" s="134">
        <v>-1197</v>
      </c>
      <c r="J47" s="131"/>
    </row>
    <row r="48" spans="1:10" ht="14.1" customHeight="1" x14ac:dyDescent="0.25">
      <c r="A48" s="191" t="s">
        <v>52</v>
      </c>
      <c r="B48" s="10">
        <v>135576</v>
      </c>
      <c r="C48" s="10">
        <v>141841</v>
      </c>
      <c r="D48" s="10">
        <f t="shared" si="0"/>
        <v>-6265</v>
      </c>
      <c r="E48" s="157">
        <v>73158</v>
      </c>
      <c r="F48" s="157">
        <v>73388</v>
      </c>
      <c r="G48" s="10">
        <f t="shared" si="1"/>
        <v>-230</v>
      </c>
      <c r="H48" s="132">
        <f t="shared" si="2"/>
        <v>62418</v>
      </c>
      <c r="I48" s="132">
        <v>68453</v>
      </c>
      <c r="J48" s="131"/>
    </row>
    <row r="49" spans="1:10" ht="14.1" customHeight="1" x14ac:dyDescent="0.25">
      <c r="A49" s="186" t="s">
        <v>53</v>
      </c>
      <c r="B49" s="11">
        <v>45977</v>
      </c>
      <c r="C49" s="11">
        <v>48120</v>
      </c>
      <c r="D49" s="11">
        <f t="shared" si="0"/>
        <v>-2143</v>
      </c>
      <c r="E49" s="158">
        <v>14941</v>
      </c>
      <c r="F49" s="158">
        <v>14871</v>
      </c>
      <c r="G49" s="11">
        <f t="shared" si="1"/>
        <v>70</v>
      </c>
      <c r="H49" s="133">
        <f t="shared" si="2"/>
        <v>31036</v>
      </c>
      <c r="I49" s="133">
        <v>33249</v>
      </c>
      <c r="J49" s="131"/>
    </row>
    <row r="50" spans="1:10" ht="14.1" customHeight="1" x14ac:dyDescent="0.25">
      <c r="A50" s="186" t="s">
        <v>54</v>
      </c>
      <c r="B50" s="11">
        <v>8252</v>
      </c>
      <c r="C50" s="11">
        <v>8048</v>
      </c>
      <c r="D50" s="11">
        <f t="shared" si="0"/>
        <v>204</v>
      </c>
      <c r="E50" s="158">
        <v>1529</v>
      </c>
      <c r="F50" s="158">
        <v>1548</v>
      </c>
      <c r="G50" s="11">
        <f t="shared" si="1"/>
        <v>-19</v>
      </c>
      <c r="H50" s="133">
        <f t="shared" si="2"/>
        <v>6723</v>
      </c>
      <c r="I50" s="133">
        <v>6500</v>
      </c>
      <c r="J50" s="131"/>
    </row>
    <row r="51" spans="1:10" ht="14.1" customHeight="1" x14ac:dyDescent="0.25">
      <c r="A51" s="186" t="s">
        <v>55</v>
      </c>
      <c r="B51" s="11">
        <v>9935</v>
      </c>
      <c r="C51" s="11">
        <v>10879</v>
      </c>
      <c r="D51" s="11">
        <f t="shared" si="0"/>
        <v>-944</v>
      </c>
      <c r="E51" s="158">
        <v>7231</v>
      </c>
      <c r="F51" s="158">
        <v>7120</v>
      </c>
      <c r="G51" s="11">
        <f t="shared" si="1"/>
        <v>111</v>
      </c>
      <c r="H51" s="133">
        <f t="shared" si="2"/>
        <v>2704</v>
      </c>
      <c r="I51" s="133">
        <v>3759</v>
      </c>
      <c r="J51" s="131"/>
    </row>
    <row r="52" spans="1:10" ht="14.1" customHeight="1" x14ac:dyDescent="0.25">
      <c r="A52" s="186" t="s">
        <v>56</v>
      </c>
      <c r="B52" s="11">
        <v>5050</v>
      </c>
      <c r="C52" s="11">
        <v>4998</v>
      </c>
      <c r="D52" s="11">
        <f t="shared" si="0"/>
        <v>52</v>
      </c>
      <c r="E52" s="158">
        <v>4219</v>
      </c>
      <c r="F52" s="158">
        <v>4181</v>
      </c>
      <c r="G52" s="11">
        <f t="shared" si="1"/>
        <v>38</v>
      </c>
      <c r="H52" s="133">
        <f t="shared" si="2"/>
        <v>831</v>
      </c>
      <c r="I52" s="133">
        <v>817</v>
      </c>
      <c r="J52" s="131"/>
    </row>
    <row r="53" spans="1:10" ht="14.1" customHeight="1" x14ac:dyDescent="0.25">
      <c r="A53" s="186" t="s">
        <v>57</v>
      </c>
      <c r="B53" s="11">
        <v>8575</v>
      </c>
      <c r="C53" s="11">
        <v>9180</v>
      </c>
      <c r="D53" s="11">
        <f t="shared" si="0"/>
        <v>-605</v>
      </c>
      <c r="E53" s="158">
        <v>7211</v>
      </c>
      <c r="F53" s="158">
        <v>7180</v>
      </c>
      <c r="G53" s="11">
        <f t="shared" si="1"/>
        <v>31</v>
      </c>
      <c r="H53" s="133">
        <f t="shared" si="2"/>
        <v>1364</v>
      </c>
      <c r="I53" s="133">
        <v>2000</v>
      </c>
      <c r="J53" s="131"/>
    </row>
    <row r="54" spans="1:10" ht="14.1" customHeight="1" x14ac:dyDescent="0.25">
      <c r="A54" s="186" t="s">
        <v>58</v>
      </c>
      <c r="B54" s="11">
        <v>29813</v>
      </c>
      <c r="C54" s="11">
        <v>29946</v>
      </c>
      <c r="D54" s="11">
        <f t="shared" si="0"/>
        <v>-133</v>
      </c>
      <c r="E54" s="158">
        <v>6384</v>
      </c>
      <c r="F54" s="158">
        <v>6418</v>
      </c>
      <c r="G54" s="11">
        <f t="shared" si="1"/>
        <v>-34</v>
      </c>
      <c r="H54" s="133">
        <f t="shared" si="2"/>
        <v>23429</v>
      </c>
      <c r="I54" s="133">
        <v>23528</v>
      </c>
      <c r="J54" s="131"/>
    </row>
    <row r="55" spans="1:10" s="8" customFormat="1" ht="14.1" customHeight="1" x14ac:dyDescent="0.25">
      <c r="A55" s="186" t="s">
        <v>59</v>
      </c>
      <c r="B55" s="11">
        <v>27974</v>
      </c>
      <c r="C55" s="11">
        <v>30670</v>
      </c>
      <c r="D55" s="11">
        <f t="shared" si="0"/>
        <v>-2696</v>
      </c>
      <c r="E55" s="158">
        <v>31643</v>
      </c>
      <c r="F55" s="158">
        <v>32070</v>
      </c>
      <c r="G55" s="11">
        <f t="shared" si="1"/>
        <v>-427</v>
      </c>
      <c r="H55" s="133">
        <f t="shared" si="2"/>
        <v>-3669</v>
      </c>
      <c r="I55" s="133">
        <v>-1400</v>
      </c>
      <c r="J55" s="131"/>
    </row>
    <row r="56" spans="1:10" ht="14.1" customHeight="1" x14ac:dyDescent="0.25">
      <c r="A56" s="185" t="s">
        <v>60</v>
      </c>
      <c r="B56" s="10">
        <v>280443</v>
      </c>
      <c r="C56" s="10">
        <v>311450</v>
      </c>
      <c r="D56" s="10">
        <f t="shared" si="0"/>
        <v>-31007</v>
      </c>
      <c r="E56" s="157">
        <v>379513</v>
      </c>
      <c r="F56" s="157">
        <v>390946</v>
      </c>
      <c r="G56" s="10">
        <f t="shared" si="1"/>
        <v>-11433</v>
      </c>
      <c r="H56" s="132">
        <f t="shared" si="2"/>
        <v>-99070</v>
      </c>
      <c r="I56" s="132">
        <v>-79496</v>
      </c>
      <c r="J56" s="131"/>
    </row>
    <row r="57" spans="1:10" ht="14.1" customHeight="1" x14ac:dyDescent="0.25">
      <c r="A57" s="186" t="s">
        <v>61</v>
      </c>
      <c r="B57" s="11">
        <v>41767</v>
      </c>
      <c r="C57" s="11">
        <v>47010</v>
      </c>
      <c r="D57" s="11">
        <f t="shared" si="0"/>
        <v>-5243</v>
      </c>
      <c r="E57" s="158">
        <v>49115</v>
      </c>
      <c r="F57" s="158">
        <v>50440</v>
      </c>
      <c r="G57" s="11">
        <f t="shared" si="1"/>
        <v>-1325</v>
      </c>
      <c r="H57" s="133">
        <f t="shared" si="2"/>
        <v>-7348</v>
      </c>
      <c r="I57" s="133">
        <v>-3430</v>
      </c>
      <c r="J57" s="131"/>
    </row>
    <row r="58" spans="1:10" ht="14.1" customHeight="1" x14ac:dyDescent="0.25">
      <c r="A58" s="186" t="s">
        <v>62</v>
      </c>
      <c r="B58" s="11">
        <v>6683</v>
      </c>
      <c r="C58" s="11">
        <v>7392</v>
      </c>
      <c r="D58" s="11">
        <f t="shared" si="0"/>
        <v>-709</v>
      </c>
      <c r="E58" s="158">
        <v>8177</v>
      </c>
      <c r="F58" s="158">
        <v>8646</v>
      </c>
      <c r="G58" s="11">
        <f t="shared" si="1"/>
        <v>-469</v>
      </c>
      <c r="H58" s="133">
        <f t="shared" si="2"/>
        <v>-1494</v>
      </c>
      <c r="I58" s="133">
        <v>-1254</v>
      </c>
      <c r="J58" s="131"/>
    </row>
    <row r="59" spans="1:10" ht="14.1" customHeight="1" x14ac:dyDescent="0.25">
      <c r="A59" s="186" t="s">
        <v>63</v>
      </c>
      <c r="B59" s="11">
        <v>5948</v>
      </c>
      <c r="C59" s="11">
        <v>6652</v>
      </c>
      <c r="D59" s="11">
        <f t="shared" si="0"/>
        <v>-704</v>
      </c>
      <c r="E59" s="158">
        <v>10484</v>
      </c>
      <c r="F59" s="158">
        <v>10723</v>
      </c>
      <c r="G59" s="11">
        <f t="shared" si="1"/>
        <v>-239</v>
      </c>
      <c r="H59" s="133">
        <f t="shared" si="2"/>
        <v>-4536</v>
      </c>
      <c r="I59" s="133">
        <v>-4071</v>
      </c>
      <c r="J59" s="131"/>
    </row>
    <row r="60" spans="1:10" ht="14.1" customHeight="1" x14ac:dyDescent="0.25">
      <c r="A60" s="186" t="s">
        <v>64</v>
      </c>
      <c r="B60" s="11">
        <v>42668</v>
      </c>
      <c r="C60" s="11">
        <v>46215</v>
      </c>
      <c r="D60" s="11">
        <f t="shared" si="0"/>
        <v>-3547</v>
      </c>
      <c r="E60" s="158">
        <v>42848</v>
      </c>
      <c r="F60" s="158">
        <v>44608</v>
      </c>
      <c r="G60" s="11">
        <f t="shared" si="1"/>
        <v>-1760</v>
      </c>
      <c r="H60" s="133">
        <f t="shared" si="2"/>
        <v>-180</v>
      </c>
      <c r="I60" s="133">
        <v>1607</v>
      </c>
      <c r="J60" s="131"/>
    </row>
    <row r="61" spans="1:10" ht="14.1" customHeight="1" x14ac:dyDescent="0.25">
      <c r="A61" s="186" t="s">
        <v>65</v>
      </c>
      <c r="B61" s="11">
        <v>14601</v>
      </c>
      <c r="C61" s="11">
        <v>16423</v>
      </c>
      <c r="D61" s="11">
        <f t="shared" si="0"/>
        <v>-1822</v>
      </c>
      <c r="E61" s="158">
        <v>17870</v>
      </c>
      <c r="F61" s="158">
        <v>18079</v>
      </c>
      <c r="G61" s="11">
        <f t="shared" si="1"/>
        <v>-209</v>
      </c>
      <c r="H61" s="133">
        <f t="shared" si="2"/>
        <v>-3269</v>
      </c>
      <c r="I61" s="133">
        <v>-1656</v>
      </c>
      <c r="J61" s="131"/>
    </row>
    <row r="62" spans="1:10" ht="14.1" customHeight="1" x14ac:dyDescent="0.25">
      <c r="A62" s="186" t="s">
        <v>66</v>
      </c>
      <c r="B62" s="11">
        <v>11624</v>
      </c>
      <c r="C62" s="11">
        <v>13065</v>
      </c>
      <c r="D62" s="11">
        <f t="shared" si="0"/>
        <v>-1441</v>
      </c>
      <c r="E62" s="158">
        <v>15196</v>
      </c>
      <c r="F62" s="158">
        <v>15462</v>
      </c>
      <c r="G62" s="11">
        <f t="shared" si="1"/>
        <v>-266</v>
      </c>
      <c r="H62" s="133">
        <f t="shared" si="2"/>
        <v>-3572</v>
      </c>
      <c r="I62" s="133">
        <v>-2397</v>
      </c>
      <c r="J62" s="131"/>
    </row>
    <row r="63" spans="1:10" ht="14.1" customHeight="1" x14ac:dyDescent="0.25">
      <c r="A63" s="186" t="s">
        <v>67</v>
      </c>
      <c r="B63" s="11">
        <v>26617</v>
      </c>
      <c r="C63" s="11">
        <v>29526</v>
      </c>
      <c r="D63" s="11">
        <f t="shared" si="0"/>
        <v>-2909</v>
      </c>
      <c r="E63" s="158">
        <v>34394</v>
      </c>
      <c r="F63" s="158">
        <v>35340</v>
      </c>
      <c r="G63" s="11">
        <f t="shared" si="1"/>
        <v>-946</v>
      </c>
      <c r="H63" s="133">
        <f t="shared" si="2"/>
        <v>-7777</v>
      </c>
      <c r="I63" s="133">
        <v>-5814</v>
      </c>
      <c r="J63" s="131"/>
    </row>
    <row r="64" spans="1:10" ht="14.1" customHeight="1" x14ac:dyDescent="0.25">
      <c r="A64" s="186" t="s">
        <v>68</v>
      </c>
      <c r="B64" s="11">
        <v>11205</v>
      </c>
      <c r="C64" s="11">
        <v>12613</v>
      </c>
      <c r="D64" s="11">
        <f t="shared" si="0"/>
        <v>-1408</v>
      </c>
      <c r="E64" s="158">
        <v>18131</v>
      </c>
      <c r="F64" s="158">
        <v>19037</v>
      </c>
      <c r="G64" s="11">
        <f t="shared" si="1"/>
        <v>-906</v>
      </c>
      <c r="H64" s="133">
        <f t="shared" si="2"/>
        <v>-6926</v>
      </c>
      <c r="I64" s="133">
        <v>-6424</v>
      </c>
      <c r="J64" s="131"/>
    </row>
    <row r="65" spans="1:10" ht="14.1" customHeight="1" x14ac:dyDescent="0.25">
      <c r="A65" s="186" t="s">
        <v>69</v>
      </c>
      <c r="B65" s="11">
        <v>28732</v>
      </c>
      <c r="C65" s="11">
        <v>32021</v>
      </c>
      <c r="D65" s="11">
        <f t="shared" si="0"/>
        <v>-3289</v>
      </c>
      <c r="E65" s="158">
        <v>46839</v>
      </c>
      <c r="F65" s="158">
        <v>48419</v>
      </c>
      <c r="G65" s="11">
        <f t="shared" si="1"/>
        <v>-1580</v>
      </c>
      <c r="H65" s="133">
        <f t="shared" si="2"/>
        <v>-18107</v>
      </c>
      <c r="I65" s="133">
        <v>-16398</v>
      </c>
      <c r="J65" s="131"/>
    </row>
    <row r="66" spans="1:10" ht="14.1" customHeight="1" x14ac:dyDescent="0.25">
      <c r="A66" s="186" t="s">
        <v>70</v>
      </c>
      <c r="B66" s="11">
        <v>19640</v>
      </c>
      <c r="C66" s="11">
        <v>21769</v>
      </c>
      <c r="D66" s="11">
        <f t="shared" si="0"/>
        <v>-2129</v>
      </c>
      <c r="E66" s="158">
        <v>25575</v>
      </c>
      <c r="F66" s="158">
        <v>26188</v>
      </c>
      <c r="G66" s="11">
        <f t="shared" si="1"/>
        <v>-613</v>
      </c>
      <c r="H66" s="133">
        <f t="shared" si="2"/>
        <v>-5935</v>
      </c>
      <c r="I66" s="133">
        <v>-4419</v>
      </c>
      <c r="J66" s="131"/>
    </row>
    <row r="67" spans="1:10" ht="14.1" customHeight="1" x14ac:dyDescent="0.25">
      <c r="A67" s="186" t="s">
        <v>71</v>
      </c>
      <c r="B67" s="11">
        <v>10320</v>
      </c>
      <c r="C67" s="11">
        <v>11467</v>
      </c>
      <c r="D67" s="11">
        <f t="shared" si="0"/>
        <v>-1147</v>
      </c>
      <c r="E67" s="158">
        <v>18359</v>
      </c>
      <c r="F67" s="158">
        <v>19201</v>
      </c>
      <c r="G67" s="11">
        <f t="shared" si="1"/>
        <v>-842</v>
      </c>
      <c r="H67" s="133">
        <f t="shared" si="2"/>
        <v>-8039</v>
      </c>
      <c r="I67" s="133">
        <v>-7734</v>
      </c>
      <c r="J67" s="131"/>
    </row>
    <row r="68" spans="1:10" ht="14.1" customHeight="1" x14ac:dyDescent="0.25">
      <c r="A68" s="186" t="s">
        <v>72</v>
      </c>
      <c r="B68" s="11">
        <v>29608</v>
      </c>
      <c r="C68" s="11">
        <v>33045</v>
      </c>
      <c r="D68" s="11">
        <f t="shared" si="0"/>
        <v>-3437</v>
      </c>
      <c r="E68" s="158">
        <v>42062</v>
      </c>
      <c r="F68" s="158">
        <v>43114</v>
      </c>
      <c r="G68" s="11">
        <f t="shared" si="1"/>
        <v>-1052</v>
      </c>
      <c r="H68" s="133">
        <f t="shared" si="2"/>
        <v>-12454</v>
      </c>
      <c r="I68" s="133">
        <v>-10069</v>
      </c>
      <c r="J68" s="131"/>
    </row>
    <row r="69" spans="1:10" ht="14.1" customHeight="1" x14ac:dyDescent="0.25">
      <c r="A69" s="187" t="s">
        <v>73</v>
      </c>
      <c r="B69" s="11">
        <v>20147</v>
      </c>
      <c r="C69" s="11">
        <v>22266</v>
      </c>
      <c r="D69" s="11">
        <f t="shared" si="0"/>
        <v>-2119</v>
      </c>
      <c r="E69" s="158">
        <v>33383</v>
      </c>
      <c r="F69" s="158">
        <v>34053</v>
      </c>
      <c r="G69" s="11">
        <f t="shared" si="1"/>
        <v>-670</v>
      </c>
      <c r="H69" s="133">
        <f t="shared" si="2"/>
        <v>-13236</v>
      </c>
      <c r="I69" s="133">
        <v>-11787</v>
      </c>
      <c r="J69" s="131"/>
    </row>
    <row r="70" spans="1:10" s="8" customFormat="1" ht="14.1" customHeight="1" x14ac:dyDescent="0.25">
      <c r="A70" s="186" t="s">
        <v>74</v>
      </c>
      <c r="B70" s="11">
        <v>10883</v>
      </c>
      <c r="C70" s="11">
        <v>11986</v>
      </c>
      <c r="D70" s="11">
        <f t="shared" si="0"/>
        <v>-1103</v>
      </c>
      <c r="E70" s="158">
        <v>17080</v>
      </c>
      <c r="F70" s="158">
        <v>17636</v>
      </c>
      <c r="G70" s="11">
        <f t="shared" si="1"/>
        <v>-556</v>
      </c>
      <c r="H70" s="133">
        <f t="shared" si="2"/>
        <v>-6197</v>
      </c>
      <c r="I70" s="133">
        <v>-5650</v>
      </c>
      <c r="J70" s="131"/>
    </row>
    <row r="71" spans="1:10" ht="14.1" customHeight="1" x14ac:dyDescent="0.25">
      <c r="A71" s="190" t="s">
        <v>75</v>
      </c>
      <c r="B71" s="10">
        <v>134660</v>
      </c>
      <c r="C71" s="10">
        <v>147057</v>
      </c>
      <c r="D71" s="10">
        <f t="shared" ref="D71:D101" si="3">B71-C71</f>
        <v>-12397</v>
      </c>
      <c r="E71" s="157">
        <v>144213</v>
      </c>
      <c r="F71" s="157">
        <v>146947</v>
      </c>
      <c r="G71" s="10">
        <f t="shared" ref="G71:G101" si="4">E71-F71</f>
        <v>-2734</v>
      </c>
      <c r="H71" s="132">
        <f t="shared" ref="H71:H101" si="5">B71-E71</f>
        <v>-9553</v>
      </c>
      <c r="I71" s="132">
        <v>110</v>
      </c>
      <c r="J71" s="131"/>
    </row>
    <row r="72" spans="1:10" ht="14.1" customHeight="1" x14ac:dyDescent="0.25">
      <c r="A72" s="186" t="s">
        <v>76</v>
      </c>
      <c r="B72" s="11">
        <v>7643</v>
      </c>
      <c r="C72" s="11">
        <v>8642</v>
      </c>
      <c r="D72" s="11">
        <f t="shared" si="3"/>
        <v>-999</v>
      </c>
      <c r="E72" s="158">
        <v>12651</v>
      </c>
      <c r="F72" s="158">
        <v>12990</v>
      </c>
      <c r="G72" s="11">
        <f t="shared" si="4"/>
        <v>-339</v>
      </c>
      <c r="H72" s="133">
        <f t="shared" si="5"/>
        <v>-5008</v>
      </c>
      <c r="I72" s="133">
        <v>-4348</v>
      </c>
      <c r="J72" s="131"/>
    </row>
    <row r="73" spans="1:10" ht="14.1" customHeight="1" x14ac:dyDescent="0.25">
      <c r="A73" s="186" t="s">
        <v>77</v>
      </c>
      <c r="B73" s="11">
        <v>46039</v>
      </c>
      <c r="C73" s="11">
        <v>50254</v>
      </c>
      <c r="D73" s="11">
        <f t="shared" si="3"/>
        <v>-4215</v>
      </c>
      <c r="E73" s="158">
        <v>57392</v>
      </c>
      <c r="F73" s="158">
        <v>58511</v>
      </c>
      <c r="G73" s="11">
        <f t="shared" si="4"/>
        <v>-1119</v>
      </c>
      <c r="H73" s="133">
        <f t="shared" si="5"/>
        <v>-11353</v>
      </c>
      <c r="I73" s="133">
        <v>-8257</v>
      </c>
      <c r="J73" s="131"/>
    </row>
    <row r="74" spans="1:10" ht="14.1" customHeight="1" x14ac:dyDescent="0.25">
      <c r="A74" s="186" t="s">
        <v>78</v>
      </c>
      <c r="B74" s="11">
        <v>46747</v>
      </c>
      <c r="C74" s="11">
        <v>50469</v>
      </c>
      <c r="D74" s="11">
        <f t="shared" si="3"/>
        <v>-3722</v>
      </c>
      <c r="E74" s="158">
        <v>28750</v>
      </c>
      <c r="F74" s="158">
        <v>29424</v>
      </c>
      <c r="G74" s="11">
        <f t="shared" si="4"/>
        <v>-674</v>
      </c>
      <c r="H74" s="133">
        <f t="shared" si="5"/>
        <v>17997</v>
      </c>
      <c r="I74" s="133">
        <v>21045</v>
      </c>
      <c r="J74" s="131"/>
    </row>
    <row r="75" spans="1:10" ht="14.1" customHeight="1" x14ac:dyDescent="0.25">
      <c r="A75" s="186" t="s">
        <v>79</v>
      </c>
      <c r="B75" s="11">
        <v>20719</v>
      </c>
      <c r="C75" s="11">
        <v>22538</v>
      </c>
      <c r="D75" s="11">
        <f t="shared" si="3"/>
        <v>-1819</v>
      </c>
      <c r="E75" s="158">
        <v>10077</v>
      </c>
      <c r="F75" s="158">
        <v>10393</v>
      </c>
      <c r="G75" s="11">
        <f t="shared" si="4"/>
        <v>-316</v>
      </c>
      <c r="H75" s="133">
        <f t="shared" si="5"/>
        <v>10642</v>
      </c>
      <c r="I75" s="133">
        <v>12145</v>
      </c>
      <c r="J75" s="131"/>
    </row>
    <row r="76" spans="1:10" ht="14.1" customHeight="1" x14ac:dyDescent="0.25">
      <c r="A76" s="186" t="s">
        <v>80</v>
      </c>
      <c r="B76" s="11">
        <v>6836</v>
      </c>
      <c r="C76" s="11">
        <v>7214</v>
      </c>
      <c r="D76" s="11">
        <f t="shared" si="3"/>
        <v>-378</v>
      </c>
      <c r="E76" s="158">
        <v>2553</v>
      </c>
      <c r="F76" s="158">
        <v>2547</v>
      </c>
      <c r="G76" s="11">
        <f t="shared" si="4"/>
        <v>6</v>
      </c>
      <c r="H76" s="133">
        <f t="shared" si="5"/>
        <v>4283</v>
      </c>
      <c r="I76" s="133">
        <v>4667</v>
      </c>
      <c r="J76" s="131"/>
    </row>
    <row r="77" spans="1:10" ht="14.1" customHeight="1" x14ac:dyDescent="0.25">
      <c r="A77" s="189" t="s">
        <v>288</v>
      </c>
      <c r="B77" s="11">
        <v>19192</v>
      </c>
      <c r="C77" s="11">
        <v>20717</v>
      </c>
      <c r="D77" s="11">
        <f t="shared" si="3"/>
        <v>-1525</v>
      </c>
      <c r="E77" s="158">
        <v>16120</v>
      </c>
      <c r="F77" s="158">
        <v>16484</v>
      </c>
      <c r="G77" s="11">
        <f t="shared" si="4"/>
        <v>-364</v>
      </c>
      <c r="H77" s="133">
        <f t="shared" si="5"/>
        <v>3072</v>
      </c>
      <c r="I77" s="133">
        <v>4233</v>
      </c>
      <c r="J77" s="131"/>
    </row>
    <row r="78" spans="1:10" ht="14.1" customHeight="1" x14ac:dyDescent="0.25">
      <c r="A78" s="186" t="s">
        <v>81</v>
      </c>
      <c r="B78" s="11">
        <v>34231</v>
      </c>
      <c r="C78" s="11">
        <v>37692</v>
      </c>
      <c r="D78" s="11">
        <f t="shared" si="3"/>
        <v>-3461</v>
      </c>
      <c r="E78" s="158">
        <v>45420</v>
      </c>
      <c r="F78" s="158">
        <v>46022</v>
      </c>
      <c r="G78" s="11">
        <f t="shared" si="4"/>
        <v>-602</v>
      </c>
      <c r="H78" s="133">
        <f t="shared" si="5"/>
        <v>-11189</v>
      </c>
      <c r="I78" s="133">
        <v>-8330</v>
      </c>
      <c r="J78" s="131"/>
    </row>
    <row r="79" spans="1:10" ht="14.1" customHeight="1" x14ac:dyDescent="0.25">
      <c r="A79" s="185" t="s">
        <v>82</v>
      </c>
      <c r="B79" s="10">
        <v>177831</v>
      </c>
      <c r="C79" s="10">
        <v>196185</v>
      </c>
      <c r="D79" s="10">
        <f t="shared" si="3"/>
        <v>-18354</v>
      </c>
      <c r="E79" s="10">
        <v>220987</v>
      </c>
      <c r="F79" s="10">
        <v>224041</v>
      </c>
      <c r="G79" s="10">
        <f t="shared" si="4"/>
        <v>-3054</v>
      </c>
      <c r="H79" s="132">
        <f t="shared" si="5"/>
        <v>-43156</v>
      </c>
      <c r="I79" s="10">
        <v>-27856</v>
      </c>
      <c r="J79" s="131"/>
    </row>
    <row r="80" spans="1:10" ht="14.1" customHeight="1" x14ac:dyDescent="0.25">
      <c r="A80" s="186" t="s">
        <v>83</v>
      </c>
      <c r="B80" s="11">
        <v>2984</v>
      </c>
      <c r="C80" s="11">
        <v>3347</v>
      </c>
      <c r="D80" s="11">
        <f t="shared" si="3"/>
        <v>-363</v>
      </c>
      <c r="E80" s="158">
        <v>2227</v>
      </c>
      <c r="F80" s="158">
        <v>2201</v>
      </c>
      <c r="G80" s="11">
        <f t="shared" si="4"/>
        <v>26</v>
      </c>
      <c r="H80" s="133">
        <f t="shared" si="5"/>
        <v>757</v>
      </c>
      <c r="I80" s="133">
        <v>1146</v>
      </c>
      <c r="J80" s="131"/>
    </row>
    <row r="81" spans="1:10" ht="14.1" customHeight="1" x14ac:dyDescent="0.25">
      <c r="A81" s="186" t="s">
        <v>85</v>
      </c>
      <c r="B81" s="11">
        <v>6046</v>
      </c>
      <c r="C81" s="11">
        <v>6537</v>
      </c>
      <c r="D81" s="11">
        <f t="shared" si="3"/>
        <v>-491</v>
      </c>
      <c r="E81" s="158">
        <v>2704</v>
      </c>
      <c r="F81" s="158">
        <v>2856</v>
      </c>
      <c r="G81" s="11">
        <f t="shared" si="4"/>
        <v>-152</v>
      </c>
      <c r="H81" s="133">
        <f t="shared" si="5"/>
        <v>3342</v>
      </c>
      <c r="I81" s="133">
        <v>3681</v>
      </c>
      <c r="J81" s="131"/>
    </row>
    <row r="82" spans="1:10" ht="14.1" customHeight="1" x14ac:dyDescent="0.25">
      <c r="A82" s="186" t="s">
        <v>86</v>
      </c>
      <c r="B82" s="11">
        <v>5568</v>
      </c>
      <c r="C82" s="11">
        <v>6207</v>
      </c>
      <c r="D82" s="11">
        <f t="shared" si="3"/>
        <v>-639</v>
      </c>
      <c r="E82" s="158">
        <v>6696</v>
      </c>
      <c r="F82" s="158">
        <v>6657</v>
      </c>
      <c r="G82" s="11">
        <f t="shared" si="4"/>
        <v>39</v>
      </c>
      <c r="H82" s="133">
        <f t="shared" si="5"/>
        <v>-1128</v>
      </c>
      <c r="I82" s="133">
        <v>-450</v>
      </c>
      <c r="J82" s="131"/>
    </row>
    <row r="83" spans="1:10" ht="14.1" customHeight="1" x14ac:dyDescent="0.25">
      <c r="A83" s="186" t="s">
        <v>87</v>
      </c>
      <c r="B83" s="11">
        <v>21085</v>
      </c>
      <c r="C83" s="11">
        <v>23408</v>
      </c>
      <c r="D83" s="11">
        <f t="shared" si="3"/>
        <v>-2323</v>
      </c>
      <c r="E83" s="158">
        <v>32594</v>
      </c>
      <c r="F83" s="158">
        <v>33264</v>
      </c>
      <c r="G83" s="11">
        <f t="shared" si="4"/>
        <v>-670</v>
      </c>
      <c r="H83" s="133">
        <f t="shared" si="5"/>
        <v>-11509</v>
      </c>
      <c r="I83" s="133">
        <v>-9856</v>
      </c>
      <c r="J83" s="131"/>
    </row>
    <row r="84" spans="1:10" ht="14.1" customHeight="1" x14ac:dyDescent="0.25">
      <c r="A84" s="186" t="s">
        <v>89</v>
      </c>
      <c r="B84" s="11">
        <v>30143</v>
      </c>
      <c r="C84" s="11">
        <v>33527</v>
      </c>
      <c r="D84" s="11">
        <f t="shared" si="3"/>
        <v>-3384</v>
      </c>
      <c r="E84" s="158">
        <v>35136</v>
      </c>
      <c r="F84" s="158">
        <v>35720</v>
      </c>
      <c r="G84" s="11">
        <f t="shared" si="4"/>
        <v>-584</v>
      </c>
      <c r="H84" s="133">
        <f t="shared" si="5"/>
        <v>-4993</v>
      </c>
      <c r="I84" s="133">
        <v>-2193</v>
      </c>
      <c r="J84" s="131"/>
    </row>
    <row r="85" spans="1:10" ht="14.1" customHeight="1" x14ac:dyDescent="0.25">
      <c r="A85" s="186" t="s">
        <v>90</v>
      </c>
      <c r="B85" s="11">
        <v>28258</v>
      </c>
      <c r="C85" s="11">
        <v>30847</v>
      </c>
      <c r="D85" s="11">
        <f t="shared" si="3"/>
        <v>-2589</v>
      </c>
      <c r="E85" s="158">
        <v>31553</v>
      </c>
      <c r="F85" s="158">
        <v>31369</v>
      </c>
      <c r="G85" s="11">
        <f t="shared" si="4"/>
        <v>184</v>
      </c>
      <c r="H85" s="133">
        <f t="shared" si="5"/>
        <v>-3295</v>
      </c>
      <c r="I85" s="133">
        <v>-522</v>
      </c>
      <c r="J85" s="131"/>
    </row>
    <row r="86" spans="1:10" ht="14.1" customHeight="1" x14ac:dyDescent="0.25">
      <c r="A86" s="186" t="s">
        <v>91</v>
      </c>
      <c r="B86" s="11">
        <v>23989</v>
      </c>
      <c r="C86" s="11">
        <v>26540</v>
      </c>
      <c r="D86" s="11">
        <f t="shared" si="3"/>
        <v>-2551</v>
      </c>
      <c r="E86" s="158">
        <v>37882</v>
      </c>
      <c r="F86" s="158">
        <v>38748</v>
      </c>
      <c r="G86" s="11">
        <f t="shared" si="4"/>
        <v>-866</v>
      </c>
      <c r="H86" s="133">
        <f t="shared" si="5"/>
        <v>-13893</v>
      </c>
      <c r="I86" s="133">
        <v>-12208</v>
      </c>
      <c r="J86" s="131"/>
    </row>
    <row r="87" spans="1:10" ht="14.1" customHeight="1" x14ac:dyDescent="0.25">
      <c r="A87" s="186" t="s">
        <v>92</v>
      </c>
      <c r="B87" s="11">
        <v>30023</v>
      </c>
      <c r="C87" s="11">
        <v>32673</v>
      </c>
      <c r="D87" s="11">
        <f t="shared" si="3"/>
        <v>-2650</v>
      </c>
      <c r="E87" s="158">
        <v>35605</v>
      </c>
      <c r="F87" s="158">
        <v>36168</v>
      </c>
      <c r="G87" s="11">
        <f t="shared" si="4"/>
        <v>-563</v>
      </c>
      <c r="H87" s="133">
        <f t="shared" si="5"/>
        <v>-5582</v>
      </c>
      <c r="I87" s="133">
        <v>-3495</v>
      </c>
      <c r="J87" s="131"/>
    </row>
    <row r="88" spans="1:10" s="8" customFormat="1" ht="14.1" customHeight="1" x14ac:dyDescent="0.25">
      <c r="A88" s="186" t="s">
        <v>93</v>
      </c>
      <c r="B88" s="11">
        <v>19031</v>
      </c>
      <c r="C88" s="11">
        <v>21314</v>
      </c>
      <c r="D88" s="11">
        <f t="shared" si="3"/>
        <v>-2283</v>
      </c>
      <c r="E88" s="158">
        <v>24452</v>
      </c>
      <c r="F88" s="158">
        <v>25098</v>
      </c>
      <c r="G88" s="11">
        <f t="shared" si="4"/>
        <v>-646</v>
      </c>
      <c r="H88" s="133">
        <f t="shared" si="5"/>
        <v>-5421</v>
      </c>
      <c r="I88" s="133">
        <v>-3784</v>
      </c>
      <c r="J88" s="131"/>
    </row>
    <row r="89" spans="1:10" ht="14.1" customHeight="1" x14ac:dyDescent="0.25">
      <c r="A89" s="186" t="s">
        <v>94</v>
      </c>
      <c r="B89" s="11">
        <v>10704</v>
      </c>
      <c r="C89" s="11">
        <v>11785</v>
      </c>
      <c r="D89" s="11">
        <f t="shared" si="3"/>
        <v>-1081</v>
      </c>
      <c r="E89" s="158">
        <v>12138</v>
      </c>
      <c r="F89" s="158">
        <v>11960</v>
      </c>
      <c r="G89" s="11">
        <f t="shared" si="4"/>
        <v>178</v>
      </c>
      <c r="H89" s="133">
        <f t="shared" si="5"/>
        <v>-1434</v>
      </c>
      <c r="I89" s="133">
        <v>-175</v>
      </c>
      <c r="J89" s="131"/>
    </row>
    <row r="90" spans="1:10" ht="14.1" customHeight="1" x14ac:dyDescent="0.25">
      <c r="A90" s="190" t="s">
        <v>95</v>
      </c>
      <c r="B90" s="10">
        <v>91046</v>
      </c>
      <c r="C90" s="10">
        <v>97888</v>
      </c>
      <c r="D90" s="10">
        <f t="shared" si="3"/>
        <v>-6842</v>
      </c>
      <c r="E90" s="10">
        <v>99927</v>
      </c>
      <c r="F90" s="10">
        <v>98721</v>
      </c>
      <c r="G90" s="10">
        <f t="shared" si="4"/>
        <v>1206</v>
      </c>
      <c r="H90" s="132">
        <f t="shared" si="5"/>
        <v>-8881</v>
      </c>
      <c r="I90" s="10">
        <v>-833</v>
      </c>
      <c r="J90" s="131"/>
    </row>
    <row r="91" spans="1:10" ht="14.1" customHeight="1" x14ac:dyDescent="0.25">
      <c r="A91" s="186" t="s">
        <v>84</v>
      </c>
      <c r="B91" s="11">
        <v>12471</v>
      </c>
      <c r="C91" s="11">
        <v>13909</v>
      </c>
      <c r="D91" s="11">
        <f t="shared" si="3"/>
        <v>-1438</v>
      </c>
      <c r="E91" s="158">
        <v>10844</v>
      </c>
      <c r="F91" s="158">
        <v>10570</v>
      </c>
      <c r="G91" s="11">
        <f t="shared" si="4"/>
        <v>274</v>
      </c>
      <c r="H91" s="133">
        <f t="shared" si="5"/>
        <v>1627</v>
      </c>
      <c r="I91" s="133">
        <v>3339</v>
      </c>
      <c r="J91" s="131"/>
    </row>
    <row r="92" spans="1:10" ht="14.1" customHeight="1" x14ac:dyDescent="0.25">
      <c r="A92" s="186" t="s">
        <v>96</v>
      </c>
      <c r="B92" s="11">
        <v>12817</v>
      </c>
      <c r="C92" s="11">
        <v>13191</v>
      </c>
      <c r="D92" s="11">
        <f t="shared" si="3"/>
        <v>-374</v>
      </c>
      <c r="E92" s="158">
        <v>7601</v>
      </c>
      <c r="F92" s="158">
        <v>7572</v>
      </c>
      <c r="G92" s="11">
        <f t="shared" si="4"/>
        <v>29</v>
      </c>
      <c r="H92" s="133">
        <f t="shared" si="5"/>
        <v>5216</v>
      </c>
      <c r="I92" s="133">
        <v>5619</v>
      </c>
      <c r="J92" s="131"/>
    </row>
    <row r="93" spans="1:10" ht="14.1" customHeight="1" x14ac:dyDescent="0.25">
      <c r="A93" s="186" t="s">
        <v>88</v>
      </c>
      <c r="B93" s="11">
        <v>12547</v>
      </c>
      <c r="C93" s="11">
        <v>13546</v>
      </c>
      <c r="D93" s="11">
        <f t="shared" si="3"/>
        <v>-999</v>
      </c>
      <c r="E93" s="158">
        <v>13143</v>
      </c>
      <c r="F93" s="158">
        <v>13146</v>
      </c>
      <c r="G93" s="11">
        <f t="shared" si="4"/>
        <v>-3</v>
      </c>
      <c r="H93" s="133">
        <f t="shared" si="5"/>
        <v>-596</v>
      </c>
      <c r="I93" s="133">
        <v>400</v>
      </c>
      <c r="J93" s="131"/>
    </row>
    <row r="94" spans="1:10" ht="14.1" customHeight="1" x14ac:dyDescent="0.25">
      <c r="A94" s="186" t="s">
        <v>97</v>
      </c>
      <c r="B94" s="11">
        <v>3308</v>
      </c>
      <c r="C94" s="11">
        <v>3417</v>
      </c>
      <c r="D94" s="11">
        <f t="shared" si="3"/>
        <v>-109</v>
      </c>
      <c r="E94" s="158">
        <v>3447</v>
      </c>
      <c r="F94" s="158">
        <v>3549</v>
      </c>
      <c r="G94" s="11">
        <f t="shared" si="4"/>
        <v>-102</v>
      </c>
      <c r="H94" s="133">
        <f t="shared" si="5"/>
        <v>-139</v>
      </c>
      <c r="I94" s="133">
        <v>-132</v>
      </c>
      <c r="J94" s="131"/>
    </row>
    <row r="95" spans="1:10" ht="14.1" customHeight="1" x14ac:dyDescent="0.25">
      <c r="A95" s="186" t="s">
        <v>98</v>
      </c>
      <c r="B95" s="11">
        <v>18235</v>
      </c>
      <c r="C95" s="11">
        <v>19995</v>
      </c>
      <c r="D95" s="11">
        <f t="shared" si="3"/>
        <v>-1760</v>
      </c>
      <c r="E95" s="158">
        <v>25764</v>
      </c>
      <c r="F95" s="158">
        <v>25660</v>
      </c>
      <c r="G95" s="11">
        <f t="shared" si="4"/>
        <v>104</v>
      </c>
      <c r="H95" s="133">
        <f t="shared" si="5"/>
        <v>-7529</v>
      </c>
      <c r="I95" s="133">
        <v>-5665</v>
      </c>
      <c r="J95" s="131"/>
    </row>
    <row r="96" spans="1:10" ht="14.1" customHeight="1" x14ac:dyDescent="0.25">
      <c r="A96" s="186" t="s">
        <v>99</v>
      </c>
      <c r="B96" s="11">
        <v>14432</v>
      </c>
      <c r="C96" s="11">
        <v>15107</v>
      </c>
      <c r="D96" s="11">
        <f t="shared" si="3"/>
        <v>-675</v>
      </c>
      <c r="E96" s="158">
        <v>17551</v>
      </c>
      <c r="F96" s="158">
        <v>17005</v>
      </c>
      <c r="G96" s="11">
        <f t="shared" si="4"/>
        <v>546</v>
      </c>
      <c r="H96" s="133">
        <f t="shared" si="5"/>
        <v>-3119</v>
      </c>
      <c r="I96" s="133">
        <v>-1898</v>
      </c>
      <c r="J96" s="131"/>
    </row>
    <row r="97" spans="1:11" ht="14.1" customHeight="1" x14ac:dyDescent="0.25">
      <c r="A97" s="186" t="s">
        <v>100</v>
      </c>
      <c r="B97" s="11">
        <v>7941</v>
      </c>
      <c r="C97" s="11">
        <v>8812</v>
      </c>
      <c r="D97" s="11">
        <f t="shared" si="3"/>
        <v>-871</v>
      </c>
      <c r="E97" s="158">
        <v>11103</v>
      </c>
      <c r="F97" s="158">
        <v>10650</v>
      </c>
      <c r="G97" s="11">
        <f t="shared" si="4"/>
        <v>453</v>
      </c>
      <c r="H97" s="133">
        <f t="shared" si="5"/>
        <v>-3162</v>
      </c>
      <c r="I97" s="133">
        <v>-1838</v>
      </c>
      <c r="J97" s="131"/>
    </row>
    <row r="98" spans="1:11" ht="14.1" customHeight="1" x14ac:dyDescent="0.25">
      <c r="A98" s="186" t="s">
        <v>101</v>
      </c>
      <c r="B98" s="11">
        <v>1285</v>
      </c>
      <c r="C98" s="11">
        <v>1427</v>
      </c>
      <c r="D98" s="11">
        <f t="shared" si="3"/>
        <v>-142</v>
      </c>
      <c r="E98" s="158">
        <v>1629</v>
      </c>
      <c r="F98" s="158">
        <v>1621</v>
      </c>
      <c r="G98" s="11">
        <f t="shared" si="4"/>
        <v>8</v>
      </c>
      <c r="H98" s="133">
        <f t="shared" si="5"/>
        <v>-344</v>
      </c>
      <c r="I98" s="133">
        <v>-194</v>
      </c>
      <c r="J98" s="131"/>
    </row>
    <row r="99" spans="1:11" ht="14.1" customHeight="1" x14ac:dyDescent="0.25">
      <c r="A99" s="186" t="s">
        <v>102</v>
      </c>
      <c r="B99" s="11">
        <v>5802</v>
      </c>
      <c r="C99" s="11">
        <v>5982</v>
      </c>
      <c r="D99" s="11">
        <f t="shared" si="3"/>
        <v>-180</v>
      </c>
      <c r="E99" s="158">
        <v>6126</v>
      </c>
      <c r="F99" s="158">
        <v>6201</v>
      </c>
      <c r="G99" s="11">
        <f t="shared" si="4"/>
        <v>-75</v>
      </c>
      <c r="H99" s="133">
        <f t="shared" si="5"/>
        <v>-324</v>
      </c>
      <c r="I99" s="133">
        <v>-219</v>
      </c>
      <c r="J99" s="131"/>
    </row>
    <row r="100" spans="1:11" ht="14.1" customHeight="1" x14ac:dyDescent="0.25">
      <c r="A100" s="186" t="s">
        <v>103</v>
      </c>
      <c r="B100" s="11">
        <v>1683</v>
      </c>
      <c r="C100" s="11">
        <v>1877</v>
      </c>
      <c r="D100" s="11">
        <f t="shared" si="3"/>
        <v>-194</v>
      </c>
      <c r="E100" s="158">
        <v>2265</v>
      </c>
      <c r="F100" s="158">
        <v>2200</v>
      </c>
      <c r="G100" s="11">
        <f t="shared" si="4"/>
        <v>65</v>
      </c>
      <c r="H100" s="133">
        <f t="shared" si="5"/>
        <v>-582</v>
      </c>
      <c r="I100" s="133">
        <v>-323</v>
      </c>
      <c r="J100" s="131"/>
    </row>
    <row r="101" spans="1:11" ht="14.1" customHeight="1" x14ac:dyDescent="0.25">
      <c r="A101" s="266" t="s">
        <v>104</v>
      </c>
      <c r="B101" s="267">
        <v>525</v>
      </c>
      <c r="C101" s="267">
        <v>625</v>
      </c>
      <c r="D101" s="267">
        <f t="shared" si="3"/>
        <v>-100</v>
      </c>
      <c r="E101" s="268">
        <v>454</v>
      </c>
      <c r="F101" s="268">
        <v>547</v>
      </c>
      <c r="G101" s="267">
        <f t="shared" si="4"/>
        <v>-93</v>
      </c>
      <c r="H101" s="269">
        <f t="shared" si="5"/>
        <v>71</v>
      </c>
      <c r="I101" s="269">
        <v>78</v>
      </c>
      <c r="J101" s="131"/>
    </row>
    <row r="104" spans="1:11" ht="14.1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131"/>
      <c r="K104" s="131"/>
    </row>
    <row r="105" spans="1:11" ht="14.1" customHeight="1" x14ac:dyDescent="0.2">
      <c r="A105" s="15"/>
      <c r="B105" s="16"/>
      <c r="C105" s="13"/>
      <c r="D105" s="13"/>
      <c r="E105" s="13"/>
      <c r="F105" s="13"/>
      <c r="G105" s="13"/>
      <c r="H105" s="13"/>
      <c r="I105" s="13"/>
    </row>
    <row r="106" spans="1:11" ht="14.1" customHeight="1" x14ac:dyDescent="0.2">
      <c r="A106" s="15"/>
      <c r="B106" s="14"/>
      <c r="F106" s="17"/>
    </row>
    <row r="107" spans="1:11" ht="14.1" customHeight="1" x14ac:dyDescent="0.2">
      <c r="A107" s="15"/>
      <c r="B107" s="14"/>
    </row>
    <row r="108" spans="1:11" ht="14.1" customHeight="1" x14ac:dyDescent="0.2">
      <c r="B108" s="14"/>
    </row>
    <row r="109" spans="1:11" ht="14.1" customHeight="1" x14ac:dyDescent="0.2">
      <c r="B109" s="14"/>
    </row>
    <row r="110" spans="1:11" ht="14.1" customHeight="1" x14ac:dyDescent="0.2">
      <c r="B110" s="14"/>
    </row>
    <row r="111" spans="1:11" ht="14.1" customHeight="1" x14ac:dyDescent="0.2">
      <c r="B111" s="14"/>
    </row>
    <row r="112" spans="1:11" ht="14.1" customHeight="1" x14ac:dyDescent="0.2">
      <c r="B112" s="14"/>
    </row>
    <row r="113" spans="1:9" ht="14.1" customHeight="1" x14ac:dyDescent="0.2">
      <c r="B113" s="14"/>
    </row>
    <row r="114" spans="1:9" ht="14.1" customHeight="1" x14ac:dyDescent="0.2">
      <c r="B114" s="14"/>
    </row>
    <row r="115" spans="1:9" ht="14.1" customHeight="1" x14ac:dyDescent="0.2">
      <c r="B115" s="14"/>
    </row>
    <row r="116" spans="1:9" ht="14.1" customHeight="1" x14ac:dyDescent="0.2">
      <c r="A116" s="9"/>
      <c r="B116" s="18"/>
      <c r="C116" s="9"/>
      <c r="D116" s="9"/>
      <c r="E116" s="9"/>
      <c r="F116" s="9"/>
      <c r="G116" s="9"/>
      <c r="H116" s="9"/>
      <c r="I116" s="9"/>
    </row>
    <row r="117" spans="1:9" ht="14.1" customHeight="1" x14ac:dyDescent="0.2">
      <c r="A117" s="9"/>
      <c r="B117" s="18"/>
      <c r="C117" s="9"/>
      <c r="D117" s="9"/>
      <c r="E117" s="9"/>
      <c r="F117" s="9"/>
      <c r="G117" s="9"/>
      <c r="H117" s="9"/>
      <c r="I117" s="9"/>
    </row>
    <row r="118" spans="1:9" ht="14.1" customHeight="1" x14ac:dyDescent="0.2">
      <c r="A118" s="9"/>
      <c r="B118" s="18"/>
      <c r="C118" s="9"/>
      <c r="D118" s="9"/>
      <c r="E118" s="9"/>
      <c r="F118" s="9"/>
      <c r="G118" s="9"/>
      <c r="H118" s="9"/>
      <c r="I118" s="9"/>
    </row>
    <row r="119" spans="1:9" ht="14.1" customHeight="1" x14ac:dyDescent="0.2">
      <c r="A119" s="9"/>
      <c r="B119" s="18"/>
      <c r="C119" s="9"/>
      <c r="D119" s="9"/>
      <c r="E119" s="9"/>
      <c r="F119" s="9"/>
      <c r="G119" s="9"/>
      <c r="H119" s="9"/>
      <c r="I119" s="9"/>
    </row>
    <row r="120" spans="1:9" ht="14.1" customHeight="1" x14ac:dyDescent="0.2">
      <c r="A120" s="9"/>
      <c r="B120" s="18"/>
      <c r="C120" s="9"/>
      <c r="D120" s="9"/>
      <c r="E120" s="9"/>
      <c r="F120" s="9"/>
      <c r="G120" s="9"/>
      <c r="H120" s="9"/>
      <c r="I120" s="9"/>
    </row>
    <row r="121" spans="1:9" ht="14.1" customHeight="1" x14ac:dyDescent="0.2">
      <c r="A121" s="9"/>
      <c r="B121" s="18"/>
      <c r="C121" s="9"/>
      <c r="D121" s="9"/>
      <c r="E121" s="9"/>
      <c r="F121" s="9"/>
      <c r="G121" s="9"/>
      <c r="H121" s="9"/>
      <c r="I121" s="9"/>
    </row>
    <row r="122" spans="1:9" ht="14.1" customHeight="1" x14ac:dyDescent="0.2">
      <c r="A122" s="9"/>
      <c r="B122" s="18"/>
      <c r="C122" s="9"/>
      <c r="D122" s="9"/>
      <c r="E122" s="9"/>
      <c r="F122" s="9"/>
      <c r="G122" s="9"/>
      <c r="H122" s="9"/>
      <c r="I122" s="9"/>
    </row>
    <row r="123" spans="1:9" ht="14.1" customHeight="1" x14ac:dyDescent="0.2">
      <c r="A123" s="9"/>
      <c r="B123" s="18"/>
      <c r="C123" s="9"/>
      <c r="D123" s="9"/>
      <c r="E123" s="9"/>
      <c r="F123" s="9"/>
      <c r="G123" s="9"/>
      <c r="H123" s="9"/>
      <c r="I123" s="9"/>
    </row>
    <row r="124" spans="1:9" ht="14.1" customHeight="1" x14ac:dyDescent="0.2">
      <c r="A124" s="9"/>
      <c r="B124" s="18"/>
      <c r="C124" s="9"/>
      <c r="D124" s="9"/>
      <c r="E124" s="9"/>
      <c r="F124" s="9"/>
      <c r="G124" s="9"/>
      <c r="H124" s="9"/>
      <c r="I124" s="9"/>
    </row>
    <row r="125" spans="1:9" ht="14.1" customHeight="1" x14ac:dyDescent="0.2">
      <c r="A125" s="9"/>
      <c r="B125" s="18"/>
      <c r="C125" s="9"/>
      <c r="D125" s="9"/>
      <c r="E125" s="9"/>
      <c r="F125" s="9"/>
      <c r="G125" s="9"/>
      <c r="H125" s="9"/>
      <c r="I125" s="9"/>
    </row>
    <row r="126" spans="1:9" ht="14.1" customHeight="1" x14ac:dyDescent="0.2">
      <c r="A126" s="9"/>
      <c r="B126" s="18"/>
      <c r="C126" s="9"/>
      <c r="D126" s="9"/>
      <c r="E126" s="9"/>
      <c r="F126" s="9"/>
      <c r="G126" s="9"/>
      <c r="H126" s="9"/>
      <c r="I126" s="9"/>
    </row>
    <row r="127" spans="1:9" ht="14.1" customHeight="1" x14ac:dyDescent="0.2">
      <c r="A127" s="9"/>
      <c r="B127" s="18"/>
      <c r="C127" s="9"/>
      <c r="D127" s="9"/>
      <c r="E127" s="9"/>
      <c r="F127" s="9"/>
      <c r="G127" s="9"/>
      <c r="H127" s="9"/>
      <c r="I127" s="9"/>
    </row>
    <row r="128" spans="1:9" ht="14.1" customHeight="1" x14ac:dyDescent="0.2">
      <c r="A128" s="9"/>
      <c r="B128" s="18"/>
      <c r="C128" s="9"/>
      <c r="D128" s="9"/>
      <c r="E128" s="9"/>
      <c r="F128" s="9"/>
      <c r="G128" s="9"/>
      <c r="H128" s="9"/>
      <c r="I128" s="9"/>
    </row>
    <row r="129" spans="1:9" ht="14.1" customHeight="1" x14ac:dyDescent="0.2">
      <c r="A129" s="9"/>
      <c r="B129" s="18"/>
      <c r="C129" s="9"/>
      <c r="D129" s="9"/>
      <c r="E129" s="9"/>
      <c r="F129" s="9"/>
      <c r="G129" s="9"/>
      <c r="H129" s="9"/>
      <c r="I129" s="9"/>
    </row>
    <row r="130" spans="1:9" ht="14.1" customHeight="1" x14ac:dyDescent="0.2">
      <c r="A130" s="9"/>
      <c r="B130" s="18"/>
      <c r="C130" s="9"/>
      <c r="D130" s="9"/>
      <c r="E130" s="9"/>
      <c r="F130" s="9"/>
      <c r="G130" s="9"/>
      <c r="H130" s="9"/>
      <c r="I130" s="9"/>
    </row>
    <row r="131" spans="1:9" ht="14.1" customHeight="1" x14ac:dyDescent="0.2">
      <c r="A131" s="9"/>
      <c r="B131" s="18"/>
      <c r="C131" s="9"/>
      <c r="D131" s="9"/>
      <c r="E131" s="9"/>
      <c r="F131" s="9"/>
      <c r="G131" s="9"/>
      <c r="H131" s="9"/>
      <c r="I131" s="9"/>
    </row>
    <row r="132" spans="1:9" ht="14.1" customHeight="1" x14ac:dyDescent="0.2">
      <c r="A132" s="9"/>
      <c r="B132" s="18"/>
      <c r="C132" s="9"/>
      <c r="D132" s="9"/>
      <c r="E132" s="9"/>
      <c r="F132" s="9"/>
      <c r="G132" s="9"/>
      <c r="H132" s="9"/>
      <c r="I132" s="9"/>
    </row>
    <row r="133" spans="1:9" ht="14.1" customHeight="1" x14ac:dyDescent="0.2">
      <c r="A133" s="9"/>
      <c r="B133" s="18"/>
      <c r="C133" s="9"/>
      <c r="D133" s="9"/>
      <c r="E133" s="9"/>
      <c r="F133" s="9"/>
      <c r="G133" s="9"/>
      <c r="H133" s="9"/>
      <c r="I133" s="9"/>
    </row>
    <row r="134" spans="1:9" ht="14.1" customHeight="1" x14ac:dyDescent="0.2">
      <c r="A134" s="9"/>
      <c r="B134" s="18"/>
      <c r="C134" s="9"/>
      <c r="D134" s="9"/>
      <c r="E134" s="9"/>
      <c r="F134" s="9"/>
      <c r="G134" s="9"/>
      <c r="H134" s="9"/>
      <c r="I134" s="9"/>
    </row>
    <row r="135" spans="1:9" ht="14.1" customHeight="1" x14ac:dyDescent="0.2">
      <c r="A135" s="9"/>
      <c r="B135" s="18"/>
      <c r="C135" s="9"/>
      <c r="D135" s="9"/>
      <c r="E135" s="9"/>
      <c r="F135" s="9"/>
      <c r="G135" s="9"/>
      <c r="H135" s="9"/>
      <c r="I135" s="9"/>
    </row>
    <row r="136" spans="1:9" ht="14.1" customHeight="1" x14ac:dyDescent="0.2">
      <c r="A136" s="9"/>
      <c r="B136" s="18"/>
      <c r="C136" s="9"/>
      <c r="D136" s="9"/>
      <c r="E136" s="9"/>
      <c r="F136" s="9"/>
      <c r="G136" s="9"/>
      <c r="H136" s="9"/>
      <c r="I136" s="9"/>
    </row>
    <row r="137" spans="1:9" ht="14.1" customHeight="1" x14ac:dyDescent="0.2">
      <c r="A137" s="9"/>
      <c r="B137" s="18"/>
      <c r="C137" s="9"/>
      <c r="D137" s="9"/>
      <c r="E137" s="9"/>
      <c r="F137" s="9"/>
      <c r="G137" s="9"/>
      <c r="H137" s="9"/>
      <c r="I137" s="9"/>
    </row>
    <row r="138" spans="1:9" ht="14.1" customHeight="1" x14ac:dyDescent="0.2">
      <c r="A138" s="9"/>
      <c r="B138" s="18"/>
      <c r="C138" s="9"/>
      <c r="D138" s="9"/>
      <c r="E138" s="9"/>
      <c r="F138" s="9"/>
      <c r="G138" s="9"/>
      <c r="H138" s="9"/>
      <c r="I138" s="9"/>
    </row>
    <row r="139" spans="1:9" ht="14.1" customHeight="1" x14ac:dyDescent="0.2">
      <c r="A139" s="9"/>
      <c r="B139" s="18"/>
      <c r="C139" s="9"/>
      <c r="D139" s="9"/>
      <c r="E139" s="9"/>
      <c r="F139" s="9"/>
      <c r="G139" s="9"/>
      <c r="H139" s="9"/>
      <c r="I139" s="9"/>
    </row>
    <row r="140" spans="1:9" ht="14.1" customHeight="1" x14ac:dyDescent="0.2">
      <c r="A140" s="9"/>
      <c r="B140" s="18"/>
      <c r="C140" s="9"/>
      <c r="D140" s="9"/>
      <c r="E140" s="9"/>
      <c r="F140" s="9"/>
      <c r="G140" s="9"/>
      <c r="H140" s="9"/>
      <c r="I140" s="9"/>
    </row>
    <row r="141" spans="1:9" ht="14.1" customHeight="1" x14ac:dyDescent="0.2">
      <c r="A141" s="9"/>
      <c r="B141" s="18"/>
      <c r="C141" s="9"/>
      <c r="D141" s="9"/>
      <c r="E141" s="9"/>
      <c r="F141" s="9"/>
      <c r="G141" s="9"/>
      <c r="H141" s="9"/>
      <c r="I141" s="9"/>
    </row>
    <row r="142" spans="1:9" ht="14.1" customHeight="1" x14ac:dyDescent="0.2">
      <c r="A142" s="9"/>
      <c r="B142" s="18"/>
      <c r="C142" s="9"/>
      <c r="D142" s="9"/>
      <c r="E142" s="9"/>
      <c r="F142" s="9"/>
      <c r="G142" s="9"/>
      <c r="H142" s="9"/>
      <c r="I142" s="9"/>
    </row>
    <row r="143" spans="1:9" ht="14.1" customHeight="1" x14ac:dyDescent="0.2">
      <c r="A143" s="9"/>
      <c r="B143" s="18"/>
      <c r="C143" s="9"/>
      <c r="D143" s="9"/>
      <c r="E143" s="9"/>
      <c r="F143" s="9"/>
      <c r="G143" s="9"/>
      <c r="H143" s="9"/>
      <c r="I143" s="9"/>
    </row>
    <row r="144" spans="1:9" ht="14.1" customHeight="1" x14ac:dyDescent="0.2">
      <c r="A144" s="9"/>
      <c r="B144" s="18"/>
      <c r="C144" s="9"/>
      <c r="D144" s="9"/>
      <c r="E144" s="9"/>
      <c r="F144" s="9"/>
      <c r="G144" s="9"/>
      <c r="H144" s="9"/>
      <c r="I144" s="9"/>
    </row>
    <row r="145" spans="1:9" ht="14.1" customHeight="1" x14ac:dyDescent="0.2">
      <c r="A145" s="9"/>
      <c r="B145" s="18"/>
      <c r="C145" s="9"/>
      <c r="D145" s="9"/>
      <c r="E145" s="9"/>
      <c r="F145" s="9"/>
      <c r="G145" s="9"/>
      <c r="H145" s="9"/>
      <c r="I145" s="9"/>
    </row>
    <row r="146" spans="1:9" ht="14.1" customHeight="1" x14ac:dyDescent="0.2">
      <c r="A146" s="9"/>
      <c r="B146" s="18"/>
      <c r="C146" s="9"/>
      <c r="D146" s="9"/>
      <c r="E146" s="9"/>
      <c r="F146" s="9"/>
      <c r="G146" s="9"/>
      <c r="H146" s="9"/>
      <c r="I146" s="9"/>
    </row>
    <row r="147" spans="1:9" ht="14.1" customHeight="1" x14ac:dyDescent="0.2">
      <c r="A147" s="9"/>
      <c r="B147" s="18"/>
      <c r="C147" s="9"/>
      <c r="D147" s="9"/>
      <c r="E147" s="9"/>
      <c r="F147" s="9"/>
      <c r="G147" s="9"/>
      <c r="H147" s="9"/>
      <c r="I147" s="9"/>
    </row>
    <row r="148" spans="1:9" ht="14.1" customHeight="1" x14ac:dyDescent="0.2">
      <c r="A148" s="9"/>
      <c r="B148" s="18"/>
      <c r="C148" s="9"/>
      <c r="D148" s="9"/>
      <c r="E148" s="9"/>
      <c r="F148" s="9"/>
      <c r="G148" s="9"/>
      <c r="H148" s="9"/>
      <c r="I148" s="9"/>
    </row>
    <row r="149" spans="1:9" ht="14.1" customHeight="1" x14ac:dyDescent="0.2">
      <c r="A149" s="9"/>
      <c r="B149" s="18"/>
      <c r="C149" s="9"/>
      <c r="D149" s="9"/>
      <c r="E149" s="9"/>
      <c r="F149" s="9"/>
      <c r="G149" s="9"/>
      <c r="H149" s="9"/>
      <c r="I149" s="9"/>
    </row>
    <row r="150" spans="1:9" ht="14.1" customHeight="1" x14ac:dyDescent="0.2">
      <c r="A150" s="9"/>
      <c r="B150" s="18"/>
      <c r="C150" s="9"/>
      <c r="D150" s="9"/>
      <c r="E150" s="9"/>
      <c r="F150" s="9"/>
      <c r="G150" s="9"/>
      <c r="H150" s="9"/>
      <c r="I150" s="9"/>
    </row>
    <row r="151" spans="1:9" ht="14.1" customHeight="1" x14ac:dyDescent="0.2">
      <c r="A151" s="9"/>
      <c r="B151" s="18"/>
      <c r="C151" s="9"/>
      <c r="D151" s="9"/>
      <c r="E151" s="9"/>
      <c r="F151" s="9"/>
      <c r="G151" s="9"/>
      <c r="H151" s="9"/>
      <c r="I151" s="9"/>
    </row>
    <row r="152" spans="1:9" ht="14.1" customHeight="1" x14ac:dyDescent="0.2">
      <c r="A152" s="9"/>
      <c r="B152" s="18"/>
      <c r="C152" s="9"/>
      <c r="D152" s="9"/>
      <c r="E152" s="9"/>
      <c r="F152" s="9"/>
      <c r="G152" s="9"/>
      <c r="H152" s="9"/>
      <c r="I152" s="9"/>
    </row>
    <row r="153" spans="1:9" ht="14.1" customHeight="1" x14ac:dyDescent="0.2">
      <c r="A153" s="9"/>
      <c r="B153" s="18"/>
      <c r="C153" s="9"/>
      <c r="D153" s="9"/>
      <c r="E153" s="9"/>
      <c r="F153" s="9"/>
      <c r="G153" s="9"/>
      <c r="H153" s="9"/>
      <c r="I153" s="9"/>
    </row>
    <row r="154" spans="1:9" ht="14.1" customHeight="1" x14ac:dyDescent="0.2">
      <c r="A154" s="9"/>
      <c r="B154" s="18"/>
      <c r="C154" s="9"/>
      <c r="D154" s="9"/>
      <c r="E154" s="9"/>
      <c r="F154" s="9"/>
      <c r="G154" s="9"/>
      <c r="H154" s="9"/>
      <c r="I154" s="9"/>
    </row>
    <row r="155" spans="1:9" ht="14.1" customHeight="1" x14ac:dyDescent="0.2">
      <c r="A155" s="9"/>
      <c r="B155" s="18"/>
      <c r="C155" s="9"/>
      <c r="D155" s="9"/>
      <c r="E155" s="9"/>
      <c r="F155" s="9"/>
      <c r="G155" s="9"/>
      <c r="H155" s="9"/>
      <c r="I155" s="9"/>
    </row>
    <row r="156" spans="1:9" ht="14.1" customHeight="1" x14ac:dyDescent="0.2">
      <c r="A156" s="9"/>
      <c r="B156" s="18"/>
      <c r="C156" s="9"/>
      <c r="D156" s="9"/>
      <c r="E156" s="9"/>
      <c r="F156" s="9"/>
      <c r="G156" s="9"/>
      <c r="H156" s="9"/>
      <c r="I156" s="9"/>
    </row>
    <row r="157" spans="1:9" ht="14.1" customHeight="1" x14ac:dyDescent="0.2">
      <c r="A157" s="9"/>
      <c r="B157" s="18"/>
      <c r="C157" s="9"/>
      <c r="D157" s="9"/>
      <c r="E157" s="9"/>
      <c r="F157" s="9"/>
      <c r="G157" s="9"/>
      <c r="H157" s="9"/>
      <c r="I157" s="9"/>
    </row>
    <row r="158" spans="1:9" ht="14.1" customHeight="1" x14ac:dyDescent="0.2">
      <c r="A158" s="9"/>
      <c r="B158" s="18"/>
      <c r="C158" s="9"/>
      <c r="D158" s="9"/>
      <c r="E158" s="9"/>
      <c r="F158" s="9"/>
      <c r="G158" s="9"/>
      <c r="H158" s="9"/>
      <c r="I158" s="9"/>
    </row>
    <row r="159" spans="1:9" ht="14.1" customHeight="1" x14ac:dyDescent="0.2">
      <c r="A159" s="9"/>
      <c r="B159" s="18"/>
      <c r="C159" s="9"/>
      <c r="D159" s="9"/>
      <c r="E159" s="9"/>
      <c r="F159" s="9"/>
      <c r="G159" s="9"/>
      <c r="H159" s="9"/>
      <c r="I159" s="9"/>
    </row>
    <row r="160" spans="1:9" ht="14.1" customHeight="1" x14ac:dyDescent="0.2">
      <c r="A160" s="9"/>
      <c r="B160" s="18"/>
      <c r="C160" s="9"/>
      <c r="D160" s="9"/>
      <c r="E160" s="9"/>
      <c r="F160" s="9"/>
      <c r="G160" s="9"/>
      <c r="H160" s="9"/>
      <c r="I160" s="9"/>
    </row>
    <row r="161" spans="1:9" ht="14.1" customHeight="1" x14ac:dyDescent="0.2">
      <c r="A161" s="9"/>
      <c r="B161" s="18"/>
      <c r="C161" s="9"/>
      <c r="D161" s="9"/>
      <c r="E161" s="9"/>
      <c r="F161" s="9"/>
      <c r="G161" s="9"/>
      <c r="H161" s="9"/>
      <c r="I161" s="9"/>
    </row>
    <row r="162" spans="1:9" ht="14.1" customHeight="1" x14ac:dyDescent="0.2">
      <c r="A162" s="9"/>
      <c r="B162" s="18"/>
      <c r="C162" s="9"/>
      <c r="D162" s="9"/>
      <c r="E162" s="9"/>
      <c r="F162" s="9"/>
      <c r="G162" s="9"/>
      <c r="H162" s="9"/>
      <c r="I162" s="9"/>
    </row>
  </sheetData>
  <mergeCells count="7">
    <mergeCell ref="A1:I1"/>
    <mergeCell ref="A3:A5"/>
    <mergeCell ref="B3:C4"/>
    <mergeCell ref="D3:D5"/>
    <mergeCell ref="E3:F4"/>
    <mergeCell ref="G3:G5"/>
    <mergeCell ref="H3:I4"/>
  </mergeCells>
  <pageMargins left="0.86614173228346458" right="0.59055118110236227" top="0.70866141732283472" bottom="0.19685039370078741" header="0.31496062992125984" footer="0.51181102362204722"/>
  <pageSetup paperSize="9" firstPageNumber="6" orientation="landscape" useFirstPageNumber="1" r:id="rId1"/>
  <headerFooter alignWithMargins="0">
    <oddHeader>&amp;C&amp;"Arial,обычный"&amp;10&amp;P</oddHeader>
  </headerFooter>
  <rowBreaks count="2" manualBreakCount="2">
    <brk id="38" max="8" man="1"/>
    <brk id="7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H195"/>
  <sheetViews>
    <sheetView zoomScaleNormal="100" zoomScaleSheetLayoutView="100" workbookViewId="0">
      <selection activeCell="J25" sqref="J25"/>
    </sheetView>
  </sheetViews>
  <sheetFormatPr defaultColWidth="10.28515625" defaultRowHeight="14.25" x14ac:dyDescent="0.2"/>
  <cols>
    <col min="1" max="1" width="41.7109375" style="24" customWidth="1"/>
    <col min="2" max="7" width="15.140625" style="24" customWidth="1"/>
    <col min="8" max="16384" width="10.28515625" style="19"/>
  </cols>
  <sheetData>
    <row r="1" spans="1:8" ht="15" x14ac:dyDescent="0.25">
      <c r="A1" s="490" t="s">
        <v>105</v>
      </c>
      <c r="B1" s="491"/>
      <c r="C1" s="491"/>
      <c r="D1" s="491"/>
      <c r="E1" s="491"/>
      <c r="F1" s="491"/>
      <c r="G1" s="491"/>
    </row>
    <row r="2" spans="1:8" s="20" customFormat="1" ht="15" x14ac:dyDescent="0.25">
      <c r="A2" s="490" t="s">
        <v>106</v>
      </c>
      <c r="B2" s="491"/>
      <c r="C2" s="491"/>
      <c r="D2" s="491"/>
      <c r="E2" s="491"/>
      <c r="F2" s="491"/>
      <c r="G2" s="491"/>
    </row>
    <row r="3" spans="1:8" ht="12.95" customHeight="1" x14ac:dyDescent="0.25">
      <c r="A3" s="492" t="s">
        <v>214</v>
      </c>
      <c r="B3" s="492"/>
      <c r="C3" s="492"/>
      <c r="D3" s="492"/>
      <c r="E3" s="492"/>
      <c r="F3" s="492"/>
      <c r="G3" s="492"/>
    </row>
    <row r="4" spans="1:8" x14ac:dyDescent="0.2">
      <c r="A4" s="493"/>
      <c r="B4" s="494" t="s">
        <v>9</v>
      </c>
      <c r="C4" s="494"/>
      <c r="D4" s="494" t="s">
        <v>11</v>
      </c>
      <c r="E4" s="494"/>
      <c r="F4" s="495" t="s">
        <v>107</v>
      </c>
      <c r="G4" s="495"/>
    </row>
    <row r="5" spans="1:8" ht="11.1" customHeight="1" x14ac:dyDescent="0.2">
      <c r="A5" s="493"/>
      <c r="B5" s="494"/>
      <c r="C5" s="494"/>
      <c r="D5" s="494"/>
      <c r="E5" s="494"/>
      <c r="F5" s="495"/>
      <c r="G5" s="495"/>
    </row>
    <row r="6" spans="1:8" x14ac:dyDescent="0.2">
      <c r="A6" s="493"/>
      <c r="B6" s="183" t="s">
        <v>343</v>
      </c>
      <c r="C6" s="413" t="s">
        <v>330</v>
      </c>
      <c r="D6" s="369" t="s">
        <v>343</v>
      </c>
      <c r="E6" s="413" t="s">
        <v>330</v>
      </c>
      <c r="F6" s="369" t="s">
        <v>343</v>
      </c>
      <c r="G6" s="413" t="s">
        <v>330</v>
      </c>
      <c r="H6" s="21"/>
    </row>
    <row r="7" spans="1:8" s="20" customFormat="1" ht="14.1" customHeight="1" x14ac:dyDescent="0.25">
      <c r="A7" s="199" t="s">
        <v>13</v>
      </c>
      <c r="B7" s="436">
        <v>10.1</v>
      </c>
      <c r="C7" s="312">
        <v>10.9</v>
      </c>
      <c r="D7" s="443">
        <v>12.3</v>
      </c>
      <c r="E7" s="312">
        <v>12.5</v>
      </c>
      <c r="F7" s="443">
        <f>B7-D7</f>
        <v>-2.2000000000000011</v>
      </c>
      <c r="G7" s="312">
        <v>-1.6</v>
      </c>
    </row>
    <row r="8" spans="1:8" s="20" customFormat="1" ht="14.1" customHeight="1" x14ac:dyDescent="0.25">
      <c r="A8" s="185" t="s">
        <v>14</v>
      </c>
      <c r="B8" s="437">
        <v>9.3000000000000007</v>
      </c>
      <c r="C8" s="312">
        <v>9.9</v>
      </c>
      <c r="D8" s="444">
        <v>12.6</v>
      </c>
      <c r="E8" s="312">
        <v>12.9</v>
      </c>
      <c r="F8" s="444">
        <f t="shared" ref="F8:F71" si="0">B8-D8</f>
        <v>-3.2999999999999989</v>
      </c>
      <c r="G8" s="312">
        <v>-3</v>
      </c>
    </row>
    <row r="9" spans="1:8" ht="14.1" customHeight="1" x14ac:dyDescent="0.2">
      <c r="A9" s="186" t="s">
        <v>15</v>
      </c>
      <c r="B9" s="438">
        <v>8.5</v>
      </c>
      <c r="C9" s="313">
        <v>9.1999999999999993</v>
      </c>
      <c r="D9" s="445">
        <v>13.3</v>
      </c>
      <c r="E9" s="313">
        <v>13.5</v>
      </c>
      <c r="F9" s="445">
        <f t="shared" si="0"/>
        <v>-4.8000000000000007</v>
      </c>
      <c r="G9" s="313">
        <v>-4.3</v>
      </c>
    </row>
    <row r="10" spans="1:8" ht="14.1" customHeight="1" x14ac:dyDescent="0.2">
      <c r="A10" s="186" t="s">
        <v>16</v>
      </c>
      <c r="B10" s="438">
        <v>8.3000000000000007</v>
      </c>
      <c r="C10" s="313">
        <v>9.1999999999999993</v>
      </c>
      <c r="D10" s="445">
        <v>14.7</v>
      </c>
      <c r="E10" s="313">
        <v>15.2</v>
      </c>
      <c r="F10" s="445">
        <f t="shared" si="0"/>
        <v>-6.3999999999999986</v>
      </c>
      <c r="G10" s="313">
        <v>-6</v>
      </c>
    </row>
    <row r="11" spans="1:8" ht="14.1" customHeight="1" x14ac:dyDescent="0.2">
      <c r="A11" s="186" t="s">
        <v>17</v>
      </c>
      <c r="B11" s="438">
        <v>8.1</v>
      </c>
      <c r="C11" s="313">
        <v>9.3000000000000007</v>
      </c>
      <c r="D11" s="445">
        <v>15.6</v>
      </c>
      <c r="E11" s="313">
        <v>16</v>
      </c>
      <c r="F11" s="445">
        <f t="shared" si="0"/>
        <v>-7.5</v>
      </c>
      <c r="G11" s="313">
        <v>-6.7</v>
      </c>
    </row>
    <row r="12" spans="1:8" ht="14.1" customHeight="1" x14ac:dyDescent="0.2">
      <c r="A12" s="186" t="s">
        <v>18</v>
      </c>
      <c r="B12" s="438">
        <v>8.4</v>
      </c>
      <c r="C12" s="313">
        <v>9.1999999999999993</v>
      </c>
      <c r="D12" s="445">
        <v>14.1</v>
      </c>
      <c r="E12" s="313">
        <v>14.7</v>
      </c>
      <c r="F12" s="445">
        <f t="shared" si="0"/>
        <v>-5.6999999999999993</v>
      </c>
      <c r="G12" s="313">
        <v>-5.5</v>
      </c>
    </row>
    <row r="13" spans="1:8" ht="14.1" customHeight="1" x14ac:dyDescent="0.2">
      <c r="A13" s="186" t="s">
        <v>19</v>
      </c>
      <c r="B13" s="438">
        <v>7.9</v>
      </c>
      <c r="C13" s="313">
        <v>9</v>
      </c>
      <c r="D13" s="445">
        <v>15.8</v>
      </c>
      <c r="E13" s="313">
        <v>16.100000000000001</v>
      </c>
      <c r="F13" s="445">
        <f t="shared" si="0"/>
        <v>-7.9</v>
      </c>
      <c r="G13" s="313">
        <v>-7.1</v>
      </c>
    </row>
    <row r="14" spans="1:8" ht="14.1" customHeight="1" x14ac:dyDescent="0.2">
      <c r="A14" s="186" t="s">
        <v>20</v>
      </c>
      <c r="B14" s="438">
        <v>8.9</v>
      </c>
      <c r="C14" s="313">
        <v>10.199999999999999</v>
      </c>
      <c r="D14" s="445">
        <v>14.6</v>
      </c>
      <c r="E14" s="313">
        <v>14.9</v>
      </c>
      <c r="F14" s="445">
        <f t="shared" si="0"/>
        <v>-5.6999999999999993</v>
      </c>
      <c r="G14" s="313">
        <v>-4.7</v>
      </c>
    </row>
    <row r="15" spans="1:8" ht="14.1" customHeight="1" x14ac:dyDescent="0.2">
      <c r="A15" s="187" t="s">
        <v>21</v>
      </c>
      <c r="B15" s="438">
        <v>9.1</v>
      </c>
      <c r="C15" s="313">
        <v>9.6999999999999993</v>
      </c>
      <c r="D15" s="445">
        <v>14.7</v>
      </c>
      <c r="E15" s="313">
        <v>14.9</v>
      </c>
      <c r="F15" s="445">
        <f t="shared" si="0"/>
        <v>-5.6</v>
      </c>
      <c r="G15" s="313">
        <v>-5.2</v>
      </c>
    </row>
    <row r="16" spans="1:8" ht="14.1" customHeight="1" x14ac:dyDescent="0.2">
      <c r="A16" s="186" t="s">
        <v>22</v>
      </c>
      <c r="B16" s="438">
        <v>8.4</v>
      </c>
      <c r="C16" s="313">
        <v>9.1999999999999993</v>
      </c>
      <c r="D16" s="445">
        <v>15</v>
      </c>
      <c r="E16" s="313">
        <v>15.4</v>
      </c>
      <c r="F16" s="445">
        <f t="shared" si="0"/>
        <v>-6.6</v>
      </c>
      <c r="G16" s="313">
        <v>-6.2</v>
      </c>
    </row>
    <row r="17" spans="1:7" ht="14.1" customHeight="1" x14ac:dyDescent="0.2">
      <c r="A17" s="186" t="s">
        <v>23</v>
      </c>
      <c r="B17" s="438">
        <v>8.6</v>
      </c>
      <c r="C17" s="313">
        <v>9.5</v>
      </c>
      <c r="D17" s="445">
        <v>14.3</v>
      </c>
      <c r="E17" s="313">
        <v>14.5</v>
      </c>
      <c r="F17" s="445">
        <f t="shared" si="0"/>
        <v>-5.7000000000000011</v>
      </c>
      <c r="G17" s="313">
        <v>-5</v>
      </c>
    </row>
    <row r="18" spans="1:7" ht="14.1" customHeight="1" x14ac:dyDescent="0.2">
      <c r="A18" s="186" t="s">
        <v>24</v>
      </c>
      <c r="B18" s="438">
        <v>9.5</v>
      </c>
      <c r="C18" s="313">
        <v>11</v>
      </c>
      <c r="D18" s="445">
        <v>12</v>
      </c>
      <c r="E18" s="313">
        <v>12.2</v>
      </c>
      <c r="F18" s="445">
        <f t="shared" si="0"/>
        <v>-2.5</v>
      </c>
      <c r="G18" s="313">
        <v>-1.2</v>
      </c>
    </row>
    <row r="19" spans="1:7" ht="14.1" customHeight="1" x14ac:dyDescent="0.2">
      <c r="A19" s="186" t="s">
        <v>25</v>
      </c>
      <c r="B19" s="438">
        <v>8.1</v>
      </c>
      <c r="C19" s="313">
        <v>9</v>
      </c>
      <c r="D19" s="445">
        <v>15.3</v>
      </c>
      <c r="E19" s="313">
        <v>15.8</v>
      </c>
      <c r="F19" s="445">
        <f t="shared" si="0"/>
        <v>-7.2000000000000011</v>
      </c>
      <c r="G19" s="313">
        <v>-6.8</v>
      </c>
    </row>
    <row r="20" spans="1:7" ht="14.1" customHeight="1" x14ac:dyDescent="0.2">
      <c r="A20" s="187" t="s">
        <v>26</v>
      </c>
      <c r="B20" s="438">
        <v>8.3000000000000007</v>
      </c>
      <c r="C20" s="313">
        <v>9.1999999999999993</v>
      </c>
      <c r="D20" s="445">
        <v>15.2</v>
      </c>
      <c r="E20" s="313">
        <v>15.4</v>
      </c>
      <c r="F20" s="445">
        <f t="shared" si="0"/>
        <v>-6.8999999999999986</v>
      </c>
      <c r="G20" s="313">
        <v>-6.2</v>
      </c>
    </row>
    <row r="21" spans="1:7" ht="14.1" customHeight="1" x14ac:dyDescent="0.2">
      <c r="A21" s="186" t="s">
        <v>27</v>
      </c>
      <c r="B21" s="438">
        <v>7.5</v>
      </c>
      <c r="C21" s="313">
        <v>8.3000000000000007</v>
      </c>
      <c r="D21" s="445">
        <v>15.1</v>
      </c>
      <c r="E21" s="313">
        <v>15.5</v>
      </c>
      <c r="F21" s="445">
        <f t="shared" si="0"/>
        <v>-7.6</v>
      </c>
      <c r="G21" s="313">
        <v>-7.2</v>
      </c>
    </row>
    <row r="22" spans="1:7" ht="14.1" customHeight="1" x14ac:dyDescent="0.2">
      <c r="A22" s="186" t="s">
        <v>28</v>
      </c>
      <c r="B22" s="438">
        <v>7.7</v>
      </c>
      <c r="C22" s="313">
        <v>8.1</v>
      </c>
      <c r="D22" s="445">
        <v>15</v>
      </c>
      <c r="E22" s="313">
        <v>15.6</v>
      </c>
      <c r="F22" s="445">
        <f t="shared" si="0"/>
        <v>-7.3</v>
      </c>
      <c r="G22" s="313">
        <v>-7.5</v>
      </c>
    </row>
    <row r="23" spans="1:7" ht="14.1" customHeight="1" x14ac:dyDescent="0.2">
      <c r="A23" s="186" t="s">
        <v>29</v>
      </c>
      <c r="B23" s="438">
        <v>8.4</v>
      </c>
      <c r="C23" s="313">
        <v>9.1</v>
      </c>
      <c r="D23" s="445">
        <v>16.3</v>
      </c>
      <c r="E23" s="313">
        <v>16.8</v>
      </c>
      <c r="F23" s="445">
        <f t="shared" si="0"/>
        <v>-7.9</v>
      </c>
      <c r="G23" s="313">
        <v>-7.7</v>
      </c>
    </row>
    <row r="24" spans="1:7" ht="14.1" customHeight="1" x14ac:dyDescent="0.2">
      <c r="A24" s="186" t="s">
        <v>30</v>
      </c>
      <c r="B24" s="438">
        <v>7.6</v>
      </c>
      <c r="C24" s="313">
        <v>8.3000000000000007</v>
      </c>
      <c r="D24" s="445">
        <v>15.9</v>
      </c>
      <c r="E24" s="313">
        <v>16.2</v>
      </c>
      <c r="F24" s="445">
        <f t="shared" si="0"/>
        <v>-8.3000000000000007</v>
      </c>
      <c r="G24" s="313">
        <v>-7.9</v>
      </c>
    </row>
    <row r="25" spans="1:7" ht="14.1" customHeight="1" x14ac:dyDescent="0.2">
      <c r="A25" s="186" t="s">
        <v>31</v>
      </c>
      <c r="B25" s="438">
        <v>8.9</v>
      </c>
      <c r="C25" s="313">
        <v>9.8000000000000007</v>
      </c>
      <c r="D25" s="445">
        <v>14.7</v>
      </c>
      <c r="E25" s="313">
        <v>14.9</v>
      </c>
      <c r="F25" s="445">
        <f t="shared" si="0"/>
        <v>-5.7999999999999989</v>
      </c>
      <c r="G25" s="313">
        <v>-5.0999999999999996</v>
      </c>
    </row>
    <row r="26" spans="1:7" ht="14.1" customHeight="1" x14ac:dyDescent="0.2">
      <c r="A26" s="186" t="s">
        <v>32</v>
      </c>
      <c r="B26" s="438">
        <v>10.7</v>
      </c>
      <c r="C26" s="313">
        <v>10.5</v>
      </c>
      <c r="D26" s="445">
        <v>9.5</v>
      </c>
      <c r="E26" s="313">
        <v>9.6999999999999993</v>
      </c>
      <c r="F26" s="445">
        <f t="shared" si="0"/>
        <v>1.1999999999999993</v>
      </c>
      <c r="G26" s="313">
        <v>0.8</v>
      </c>
    </row>
    <row r="27" spans="1:7" s="20" customFormat="1" ht="14.1" customHeight="1" x14ac:dyDescent="0.25">
      <c r="A27" s="188" t="s">
        <v>33</v>
      </c>
      <c r="B27" s="437">
        <v>9.6</v>
      </c>
      <c r="C27" s="312">
        <v>10.4</v>
      </c>
      <c r="D27" s="444">
        <v>12.4</v>
      </c>
      <c r="E27" s="312">
        <v>12.6</v>
      </c>
      <c r="F27" s="444">
        <f t="shared" si="0"/>
        <v>-2.8000000000000007</v>
      </c>
      <c r="G27" s="312">
        <v>-2.2000000000000002</v>
      </c>
    </row>
    <row r="28" spans="1:7" ht="14.1" customHeight="1" x14ac:dyDescent="0.2">
      <c r="A28" s="186" t="s">
        <v>34</v>
      </c>
      <c r="B28" s="438">
        <v>8.9</v>
      </c>
      <c r="C28" s="313">
        <v>9.8000000000000007</v>
      </c>
      <c r="D28" s="445">
        <v>14.2</v>
      </c>
      <c r="E28" s="313">
        <v>14.8</v>
      </c>
      <c r="F28" s="445">
        <f t="shared" si="0"/>
        <v>-5.2999999999999989</v>
      </c>
      <c r="G28" s="313">
        <v>-5</v>
      </c>
    </row>
    <row r="29" spans="1:7" ht="14.1" customHeight="1" x14ac:dyDescent="0.2">
      <c r="A29" s="186" t="s">
        <v>35</v>
      </c>
      <c r="B29" s="438">
        <v>9.6</v>
      </c>
      <c r="C29" s="313">
        <v>10.199999999999999</v>
      </c>
      <c r="D29" s="445">
        <v>12</v>
      </c>
      <c r="E29" s="313">
        <v>11.9</v>
      </c>
      <c r="F29" s="445">
        <f t="shared" si="0"/>
        <v>-2.4000000000000004</v>
      </c>
      <c r="G29" s="313">
        <v>-1.7</v>
      </c>
    </row>
    <row r="30" spans="1:7" ht="14.1" customHeight="1" x14ac:dyDescent="0.2">
      <c r="A30" s="186" t="s">
        <v>36</v>
      </c>
      <c r="B30" s="438">
        <v>9</v>
      </c>
      <c r="C30" s="313">
        <v>9.8000000000000007</v>
      </c>
      <c r="D30" s="445">
        <v>13</v>
      </c>
      <c r="E30" s="313">
        <v>13.1</v>
      </c>
      <c r="F30" s="445">
        <f t="shared" si="0"/>
        <v>-4</v>
      </c>
      <c r="G30" s="313">
        <v>-3.3</v>
      </c>
    </row>
    <row r="31" spans="1:7" ht="14.1" customHeight="1" x14ac:dyDescent="0.2">
      <c r="A31" s="186" t="s">
        <v>37</v>
      </c>
      <c r="B31" s="438">
        <v>13.3</v>
      </c>
      <c r="C31" s="313">
        <v>14.1</v>
      </c>
      <c r="D31" s="445">
        <v>8.6</v>
      </c>
      <c r="E31" s="313">
        <v>9</v>
      </c>
      <c r="F31" s="445">
        <f t="shared" si="0"/>
        <v>4.7000000000000011</v>
      </c>
      <c r="G31" s="313">
        <v>5.0999999999999996</v>
      </c>
    </row>
    <row r="32" spans="1:7" ht="14.1" customHeight="1" x14ac:dyDescent="0.2">
      <c r="A32" s="189" t="s">
        <v>287</v>
      </c>
      <c r="B32" s="438">
        <v>8.8000000000000007</v>
      </c>
      <c r="C32" s="313">
        <v>9.6</v>
      </c>
      <c r="D32" s="445">
        <v>13.2</v>
      </c>
      <c r="E32" s="313">
        <v>13.3</v>
      </c>
      <c r="F32" s="445">
        <f t="shared" si="0"/>
        <v>-4.3999999999999986</v>
      </c>
      <c r="G32" s="313">
        <v>-3.7</v>
      </c>
    </row>
    <row r="33" spans="1:8" ht="14.1" customHeight="1" x14ac:dyDescent="0.2">
      <c r="A33" s="186" t="s">
        <v>38</v>
      </c>
      <c r="B33" s="438">
        <v>9.6</v>
      </c>
      <c r="C33" s="313">
        <v>10.5</v>
      </c>
      <c r="D33" s="445">
        <v>14.1</v>
      </c>
      <c r="E33" s="313">
        <v>14.4</v>
      </c>
      <c r="F33" s="445">
        <f t="shared" si="0"/>
        <v>-4.5</v>
      </c>
      <c r="G33" s="313">
        <v>-3.9</v>
      </c>
    </row>
    <row r="34" spans="1:8" ht="14.1" customHeight="1" x14ac:dyDescent="0.2">
      <c r="A34" s="186" t="s">
        <v>39</v>
      </c>
      <c r="B34" s="438">
        <v>9.1999999999999993</v>
      </c>
      <c r="C34" s="313">
        <v>10.3</v>
      </c>
      <c r="D34" s="445">
        <v>11.8</v>
      </c>
      <c r="E34" s="313">
        <v>12.2</v>
      </c>
      <c r="F34" s="445">
        <f t="shared" si="0"/>
        <v>-2.6000000000000014</v>
      </c>
      <c r="G34" s="313">
        <v>-1.9</v>
      </c>
    </row>
    <row r="35" spans="1:8" ht="14.1" customHeight="1" x14ac:dyDescent="0.2">
      <c r="A35" s="186" t="s">
        <v>40</v>
      </c>
      <c r="B35" s="438">
        <v>7.2</v>
      </c>
      <c r="C35" s="313">
        <v>7.6</v>
      </c>
      <c r="D35" s="445">
        <v>12.5</v>
      </c>
      <c r="E35" s="313">
        <v>12.9</v>
      </c>
      <c r="F35" s="445">
        <f t="shared" si="0"/>
        <v>-5.3</v>
      </c>
      <c r="G35" s="313">
        <v>-5.3</v>
      </c>
    </row>
    <row r="36" spans="1:8" ht="14.1" customHeight="1" x14ac:dyDescent="0.2">
      <c r="A36" s="186" t="s">
        <v>41</v>
      </c>
      <c r="B36" s="438">
        <v>9</v>
      </c>
      <c r="C36" s="313">
        <v>9.8000000000000007</v>
      </c>
      <c r="D36" s="445">
        <v>11.4</v>
      </c>
      <c r="E36" s="313">
        <v>11.3</v>
      </c>
      <c r="F36" s="445">
        <f t="shared" si="0"/>
        <v>-2.4000000000000004</v>
      </c>
      <c r="G36" s="313">
        <v>-1.5</v>
      </c>
    </row>
    <row r="37" spans="1:8" ht="14.1" customHeight="1" x14ac:dyDescent="0.2">
      <c r="A37" s="186" t="s">
        <v>42</v>
      </c>
      <c r="B37" s="438">
        <v>8.6999999999999993</v>
      </c>
      <c r="C37" s="313">
        <v>9.6999999999999993</v>
      </c>
      <c r="D37" s="445">
        <v>16.399999999999999</v>
      </c>
      <c r="E37" s="313">
        <v>16.7</v>
      </c>
      <c r="F37" s="445">
        <f t="shared" si="0"/>
        <v>-7.6999999999999993</v>
      </c>
      <c r="G37" s="313">
        <v>-7</v>
      </c>
    </row>
    <row r="38" spans="1:8" ht="14.1" customHeight="1" x14ac:dyDescent="0.2">
      <c r="A38" s="186" t="s">
        <v>43</v>
      </c>
      <c r="B38" s="438">
        <v>8.4</v>
      </c>
      <c r="C38" s="313">
        <v>9.3000000000000007</v>
      </c>
      <c r="D38" s="445">
        <v>16.8</v>
      </c>
      <c r="E38" s="313">
        <v>17.2</v>
      </c>
      <c r="F38" s="445">
        <f t="shared" si="0"/>
        <v>-8.4</v>
      </c>
      <c r="G38" s="313">
        <v>-7.9</v>
      </c>
    </row>
    <row r="39" spans="1:8" s="20" customFormat="1" ht="14.1" customHeight="1" x14ac:dyDescent="0.25">
      <c r="A39" s="186" t="s">
        <v>44</v>
      </c>
      <c r="B39" s="438">
        <v>10.9</v>
      </c>
      <c r="C39" s="313">
        <v>11.9</v>
      </c>
      <c r="D39" s="445">
        <v>11</v>
      </c>
      <c r="E39" s="313">
        <v>11.1</v>
      </c>
      <c r="F39" s="445">
        <f t="shared" si="0"/>
        <v>-9.9999999999999645E-2</v>
      </c>
      <c r="G39" s="313">
        <v>0.8</v>
      </c>
    </row>
    <row r="40" spans="1:8" ht="14.1" customHeight="1" x14ac:dyDescent="0.2">
      <c r="A40" s="190" t="s">
        <v>45</v>
      </c>
      <c r="B40" s="439">
        <v>9.8000000000000007</v>
      </c>
      <c r="C40" s="321">
        <v>10.5</v>
      </c>
      <c r="D40" s="446">
        <v>12.8</v>
      </c>
      <c r="E40" s="321">
        <v>12.8</v>
      </c>
      <c r="F40" s="446">
        <f t="shared" si="0"/>
        <v>-3</v>
      </c>
      <c r="G40" s="321">
        <v>-2.2999999999999998</v>
      </c>
      <c r="H40" s="322"/>
    </row>
    <row r="41" spans="1:8" ht="14.1" customHeight="1" x14ac:dyDescent="0.2">
      <c r="A41" s="186" t="s">
        <v>46</v>
      </c>
      <c r="B41" s="438">
        <v>9.1</v>
      </c>
      <c r="C41" s="313">
        <v>9.9</v>
      </c>
      <c r="D41" s="445">
        <v>12.3</v>
      </c>
      <c r="E41" s="313">
        <v>12.3</v>
      </c>
      <c r="F41" s="445">
        <f t="shared" si="0"/>
        <v>-3.2000000000000011</v>
      </c>
      <c r="G41" s="313">
        <v>-2.4</v>
      </c>
    </row>
    <row r="42" spans="1:8" ht="14.1" customHeight="1" x14ac:dyDescent="0.2">
      <c r="A42" s="186" t="s">
        <v>47</v>
      </c>
      <c r="B42" s="438">
        <v>10.3</v>
      </c>
      <c r="C42" s="313">
        <v>11.1</v>
      </c>
      <c r="D42" s="445">
        <v>9.4</v>
      </c>
      <c r="E42" s="313">
        <v>9.6999999999999993</v>
      </c>
      <c r="F42" s="445">
        <f t="shared" si="0"/>
        <v>0.90000000000000036</v>
      </c>
      <c r="G42" s="313">
        <v>1.4</v>
      </c>
    </row>
    <row r="43" spans="1:8" ht="14.1" customHeight="1" x14ac:dyDescent="0.2">
      <c r="A43" s="186" t="s">
        <v>202</v>
      </c>
      <c r="B43" s="440">
        <v>10</v>
      </c>
      <c r="C43" s="314">
        <v>10.6</v>
      </c>
      <c r="D43" s="447">
        <v>14</v>
      </c>
      <c r="E43" s="314">
        <v>14.1</v>
      </c>
      <c r="F43" s="447">
        <f t="shared" si="0"/>
        <v>-4</v>
      </c>
      <c r="G43" s="314">
        <v>-3.5</v>
      </c>
    </row>
    <row r="44" spans="1:8" ht="14.1" customHeight="1" x14ac:dyDescent="0.2">
      <c r="A44" s="186" t="s">
        <v>48</v>
      </c>
      <c r="B44" s="438">
        <v>10.8</v>
      </c>
      <c r="C44" s="313">
        <v>11.5</v>
      </c>
      <c r="D44" s="445">
        <v>12.3</v>
      </c>
      <c r="E44" s="313">
        <v>12</v>
      </c>
      <c r="F44" s="445">
        <f t="shared" si="0"/>
        <v>-1.5</v>
      </c>
      <c r="G44" s="313">
        <v>-0.5</v>
      </c>
    </row>
    <row r="45" spans="1:8" ht="14.1" customHeight="1" x14ac:dyDescent="0.2">
      <c r="A45" s="186" t="s">
        <v>49</v>
      </c>
      <c r="B45" s="438">
        <v>10.9</v>
      </c>
      <c r="C45" s="313">
        <v>11.6</v>
      </c>
      <c r="D45" s="445">
        <v>11.3</v>
      </c>
      <c r="E45" s="313">
        <v>11.6</v>
      </c>
      <c r="F45" s="449">
        <f t="shared" si="0"/>
        <v>-0.40000000000000036</v>
      </c>
      <c r="G45" s="419">
        <v>0.05</v>
      </c>
    </row>
    <row r="46" spans="1:8" ht="14.1" customHeight="1" x14ac:dyDescent="0.2">
      <c r="A46" s="186" t="s">
        <v>50</v>
      </c>
      <c r="B46" s="438">
        <v>8.4</v>
      </c>
      <c r="C46" s="313">
        <v>9.4</v>
      </c>
      <c r="D46" s="445">
        <v>13.1</v>
      </c>
      <c r="E46" s="313">
        <v>13.3</v>
      </c>
      <c r="F46" s="445">
        <f t="shared" si="0"/>
        <v>-4.6999999999999993</v>
      </c>
      <c r="G46" s="313">
        <v>-3.9</v>
      </c>
    </row>
    <row r="47" spans="1:8" ht="14.1" customHeight="1" x14ac:dyDescent="0.2">
      <c r="A47" s="186" t="s">
        <v>51</v>
      </c>
      <c r="B47" s="438">
        <v>9</v>
      </c>
      <c r="C47" s="313">
        <v>9.6999999999999993</v>
      </c>
      <c r="D47" s="445">
        <v>13.3</v>
      </c>
      <c r="E47" s="313">
        <v>13.5</v>
      </c>
      <c r="F47" s="445">
        <f t="shared" si="0"/>
        <v>-4.3000000000000007</v>
      </c>
      <c r="G47" s="313">
        <v>-3.8</v>
      </c>
    </row>
    <row r="48" spans="1:8" ht="14.1" customHeight="1" x14ac:dyDescent="0.2">
      <c r="A48" s="186" t="s">
        <v>204</v>
      </c>
      <c r="B48" s="438">
        <v>9.6</v>
      </c>
      <c r="C48" s="313">
        <v>10.1</v>
      </c>
      <c r="D48" s="445">
        <v>13</v>
      </c>
      <c r="E48" s="313">
        <v>12.8</v>
      </c>
      <c r="F48" s="445">
        <f t="shared" si="0"/>
        <v>-3.4000000000000004</v>
      </c>
      <c r="G48" s="313">
        <v>-2.7</v>
      </c>
    </row>
    <row r="49" spans="1:7" ht="14.1" customHeight="1" x14ac:dyDescent="0.2">
      <c r="A49" s="191" t="s">
        <v>52</v>
      </c>
      <c r="B49" s="441">
        <v>13.7</v>
      </c>
      <c r="C49" s="315">
        <v>14.4</v>
      </c>
      <c r="D49" s="448">
        <v>7.4</v>
      </c>
      <c r="E49" s="315">
        <v>7.5</v>
      </c>
      <c r="F49" s="448">
        <f t="shared" si="0"/>
        <v>6.2999999999999989</v>
      </c>
      <c r="G49" s="315">
        <v>6.9</v>
      </c>
    </row>
    <row r="50" spans="1:7" ht="14.1" customHeight="1" x14ac:dyDescent="0.2">
      <c r="A50" s="186" t="s">
        <v>53</v>
      </c>
      <c r="B50" s="438">
        <v>14.8</v>
      </c>
      <c r="C50" s="313">
        <v>15.6</v>
      </c>
      <c r="D50" s="445">
        <v>4.8</v>
      </c>
      <c r="E50" s="313">
        <v>4.8</v>
      </c>
      <c r="F50" s="445">
        <f t="shared" si="0"/>
        <v>10</v>
      </c>
      <c r="G50" s="313">
        <v>10.8</v>
      </c>
    </row>
    <row r="51" spans="1:7" ht="14.1" customHeight="1" x14ac:dyDescent="0.2">
      <c r="A51" s="186" t="s">
        <v>54</v>
      </c>
      <c r="B51" s="438">
        <v>16.399999999999999</v>
      </c>
      <c r="C51" s="313">
        <v>16.3</v>
      </c>
      <c r="D51" s="445">
        <v>3</v>
      </c>
      <c r="E51" s="313">
        <v>3.1</v>
      </c>
      <c r="F51" s="445">
        <f t="shared" si="0"/>
        <v>13.399999999999999</v>
      </c>
      <c r="G51" s="313">
        <v>13.2</v>
      </c>
    </row>
    <row r="52" spans="1:7" ht="14.1" customHeight="1" x14ac:dyDescent="0.2">
      <c r="A52" s="186" t="s">
        <v>55</v>
      </c>
      <c r="B52" s="438">
        <v>11.5</v>
      </c>
      <c r="C52" s="313">
        <v>12.6</v>
      </c>
      <c r="D52" s="445">
        <v>8.3000000000000007</v>
      </c>
      <c r="E52" s="313">
        <v>8.1999999999999993</v>
      </c>
      <c r="F52" s="445">
        <f t="shared" si="0"/>
        <v>3.1999999999999993</v>
      </c>
      <c r="G52" s="313">
        <v>4.4000000000000004</v>
      </c>
    </row>
    <row r="53" spans="1:7" ht="14.1" customHeight="1" x14ac:dyDescent="0.2">
      <c r="A53" s="186" t="s">
        <v>56</v>
      </c>
      <c r="B53" s="438">
        <v>10.8</v>
      </c>
      <c r="C53" s="313">
        <v>10.7</v>
      </c>
      <c r="D53" s="445">
        <v>9.1</v>
      </c>
      <c r="E53" s="313">
        <v>9</v>
      </c>
      <c r="F53" s="445">
        <f t="shared" si="0"/>
        <v>1.7000000000000011</v>
      </c>
      <c r="G53" s="313">
        <v>1.7</v>
      </c>
    </row>
    <row r="54" spans="1:7" ht="14.1" customHeight="1" x14ac:dyDescent="0.2">
      <c r="A54" s="186" t="s">
        <v>57</v>
      </c>
      <c r="B54" s="438">
        <v>12.3</v>
      </c>
      <c r="C54" s="313">
        <v>13.1</v>
      </c>
      <c r="D54" s="445">
        <v>10.3</v>
      </c>
      <c r="E54" s="313">
        <v>10.199999999999999</v>
      </c>
      <c r="F54" s="445">
        <f t="shared" si="0"/>
        <v>2</v>
      </c>
      <c r="G54" s="313">
        <v>2.9</v>
      </c>
    </row>
    <row r="55" spans="1:7" ht="14.1" customHeight="1" x14ac:dyDescent="0.2">
      <c r="A55" s="186" t="s">
        <v>58</v>
      </c>
      <c r="B55" s="438">
        <v>20.3</v>
      </c>
      <c r="C55" s="313">
        <v>20.7</v>
      </c>
      <c r="D55" s="445">
        <v>4.3</v>
      </c>
      <c r="E55" s="313">
        <v>4.4000000000000004</v>
      </c>
      <c r="F55" s="445">
        <f t="shared" si="0"/>
        <v>16</v>
      </c>
      <c r="G55" s="313">
        <v>16.3</v>
      </c>
    </row>
    <row r="56" spans="1:7" s="20" customFormat="1" ht="14.1" customHeight="1" x14ac:dyDescent="0.25">
      <c r="A56" s="186" t="s">
        <v>59</v>
      </c>
      <c r="B56" s="438">
        <v>10</v>
      </c>
      <c r="C56" s="313">
        <v>11</v>
      </c>
      <c r="D56" s="445">
        <v>11.3</v>
      </c>
      <c r="E56" s="313">
        <v>11.5</v>
      </c>
      <c r="F56" s="445">
        <f t="shared" si="0"/>
        <v>-1.3000000000000007</v>
      </c>
      <c r="G56" s="313">
        <v>-0.5</v>
      </c>
    </row>
    <row r="57" spans="1:7" ht="14.1" customHeight="1" x14ac:dyDescent="0.2">
      <c r="A57" s="185" t="s">
        <v>60</v>
      </c>
      <c r="B57" s="437">
        <v>9.6</v>
      </c>
      <c r="C57" s="312">
        <v>10.6</v>
      </c>
      <c r="D57" s="444">
        <v>12.9</v>
      </c>
      <c r="E57" s="312">
        <v>13.3</v>
      </c>
      <c r="F57" s="444">
        <f t="shared" si="0"/>
        <v>-3.3000000000000007</v>
      </c>
      <c r="G57" s="312">
        <v>-2.7</v>
      </c>
    </row>
    <row r="58" spans="1:7" ht="14.1" customHeight="1" x14ac:dyDescent="0.2">
      <c r="A58" s="186" t="s">
        <v>61</v>
      </c>
      <c r="B58" s="438">
        <v>10.3</v>
      </c>
      <c r="C58" s="313">
        <v>11.6</v>
      </c>
      <c r="D58" s="445">
        <v>12.1</v>
      </c>
      <c r="E58" s="313">
        <v>12.4</v>
      </c>
      <c r="F58" s="445">
        <f t="shared" si="0"/>
        <v>-1.7999999999999989</v>
      </c>
      <c r="G58" s="313">
        <v>-0.8</v>
      </c>
    </row>
    <row r="59" spans="1:7" ht="14.1" customHeight="1" x14ac:dyDescent="0.2">
      <c r="A59" s="186" t="s">
        <v>62</v>
      </c>
      <c r="B59" s="438">
        <v>9.8000000000000007</v>
      </c>
      <c r="C59" s="313">
        <v>10.8</v>
      </c>
      <c r="D59" s="445">
        <v>12</v>
      </c>
      <c r="E59" s="313">
        <v>12.7</v>
      </c>
      <c r="F59" s="445">
        <f t="shared" si="0"/>
        <v>-2.1999999999999993</v>
      </c>
      <c r="G59" s="313">
        <v>-1.9</v>
      </c>
    </row>
    <row r="60" spans="1:7" ht="14.1" customHeight="1" x14ac:dyDescent="0.2">
      <c r="A60" s="186" t="s">
        <v>63</v>
      </c>
      <c r="B60" s="438">
        <v>7.5</v>
      </c>
      <c r="C60" s="313">
        <v>8.3000000000000007</v>
      </c>
      <c r="D60" s="445">
        <v>13.2</v>
      </c>
      <c r="E60" s="313">
        <v>13.4</v>
      </c>
      <c r="F60" s="445">
        <f t="shared" si="0"/>
        <v>-5.6999999999999993</v>
      </c>
      <c r="G60" s="313">
        <v>-5.0999999999999996</v>
      </c>
    </row>
    <row r="61" spans="1:7" ht="14.1" customHeight="1" x14ac:dyDescent="0.2">
      <c r="A61" s="186" t="s">
        <v>64</v>
      </c>
      <c r="B61" s="438">
        <v>10.9</v>
      </c>
      <c r="C61" s="313">
        <v>11.9</v>
      </c>
      <c r="D61" s="445">
        <v>11</v>
      </c>
      <c r="E61" s="313">
        <v>11.4</v>
      </c>
      <c r="F61" s="445">
        <f t="shared" si="0"/>
        <v>-9.9999999999999645E-2</v>
      </c>
      <c r="G61" s="313">
        <v>0.5</v>
      </c>
    </row>
    <row r="62" spans="1:7" ht="14.1" customHeight="1" x14ac:dyDescent="0.2">
      <c r="A62" s="186" t="s">
        <v>65</v>
      </c>
      <c r="B62" s="438">
        <v>9.6999999999999993</v>
      </c>
      <c r="C62" s="313">
        <v>10.9</v>
      </c>
      <c r="D62" s="445">
        <v>11.9</v>
      </c>
      <c r="E62" s="313">
        <v>12</v>
      </c>
      <c r="F62" s="445">
        <f t="shared" si="0"/>
        <v>-2.2000000000000011</v>
      </c>
      <c r="G62" s="313">
        <v>-1.1000000000000001</v>
      </c>
    </row>
    <row r="63" spans="1:7" ht="14.1" customHeight="1" x14ac:dyDescent="0.2">
      <c r="A63" s="186" t="s">
        <v>66</v>
      </c>
      <c r="B63" s="438">
        <v>9.5</v>
      </c>
      <c r="C63" s="313">
        <v>10.6</v>
      </c>
      <c r="D63" s="445">
        <v>12.4</v>
      </c>
      <c r="E63" s="313">
        <v>12.6</v>
      </c>
      <c r="F63" s="445">
        <f t="shared" si="0"/>
        <v>-2.9000000000000004</v>
      </c>
      <c r="G63" s="313">
        <v>-2</v>
      </c>
    </row>
    <row r="64" spans="1:7" ht="14.1" customHeight="1" x14ac:dyDescent="0.2">
      <c r="A64" s="186" t="s">
        <v>67</v>
      </c>
      <c r="B64" s="438">
        <v>10.199999999999999</v>
      </c>
      <c r="C64" s="313">
        <v>11.3</v>
      </c>
      <c r="D64" s="445">
        <v>13.2</v>
      </c>
      <c r="E64" s="313">
        <v>13.5</v>
      </c>
      <c r="F64" s="445">
        <f t="shared" si="0"/>
        <v>-3</v>
      </c>
      <c r="G64" s="313">
        <v>-2.2000000000000002</v>
      </c>
    </row>
    <row r="65" spans="1:7" ht="14.1" customHeight="1" x14ac:dyDescent="0.2">
      <c r="A65" s="186" t="s">
        <v>68</v>
      </c>
      <c r="B65" s="438">
        <v>8.8000000000000007</v>
      </c>
      <c r="C65" s="313">
        <v>9.9</v>
      </c>
      <c r="D65" s="445">
        <v>14.3</v>
      </c>
      <c r="E65" s="313">
        <v>14.9</v>
      </c>
      <c r="F65" s="445">
        <f t="shared" si="0"/>
        <v>-5.5</v>
      </c>
      <c r="G65" s="313">
        <v>-5</v>
      </c>
    </row>
    <row r="66" spans="1:7" ht="14.1" customHeight="1" x14ac:dyDescent="0.2">
      <c r="A66" s="186" t="s">
        <v>69</v>
      </c>
      <c r="B66" s="438">
        <v>9</v>
      </c>
      <c r="C66" s="313">
        <v>9.9</v>
      </c>
      <c r="D66" s="445">
        <v>14.6</v>
      </c>
      <c r="E66" s="313">
        <v>15</v>
      </c>
      <c r="F66" s="445">
        <f t="shared" si="0"/>
        <v>-5.6</v>
      </c>
      <c r="G66" s="313">
        <v>-5.0999999999999996</v>
      </c>
    </row>
    <row r="67" spans="1:7" ht="14.1" customHeight="1" x14ac:dyDescent="0.2">
      <c r="A67" s="186" t="s">
        <v>70</v>
      </c>
      <c r="B67" s="438">
        <v>10</v>
      </c>
      <c r="C67" s="313">
        <v>11</v>
      </c>
      <c r="D67" s="445">
        <v>13</v>
      </c>
      <c r="E67" s="313">
        <v>13.3</v>
      </c>
      <c r="F67" s="445">
        <f t="shared" si="0"/>
        <v>-3</v>
      </c>
      <c r="G67" s="313">
        <v>-2.2999999999999998</v>
      </c>
    </row>
    <row r="68" spans="1:7" ht="14.1" customHeight="1" x14ac:dyDescent="0.2">
      <c r="A68" s="186" t="s">
        <v>71</v>
      </c>
      <c r="B68" s="438">
        <v>7.9</v>
      </c>
      <c r="C68" s="313">
        <v>8.6999999999999993</v>
      </c>
      <c r="D68" s="445">
        <v>14</v>
      </c>
      <c r="E68" s="313">
        <v>14.5</v>
      </c>
      <c r="F68" s="445">
        <f t="shared" si="0"/>
        <v>-6.1</v>
      </c>
      <c r="G68" s="313">
        <v>-5.8</v>
      </c>
    </row>
    <row r="69" spans="1:7" ht="14.1" customHeight="1" x14ac:dyDescent="0.2">
      <c r="A69" s="186" t="s">
        <v>72</v>
      </c>
      <c r="B69" s="438">
        <v>9.3000000000000007</v>
      </c>
      <c r="C69" s="313">
        <v>10.4</v>
      </c>
      <c r="D69" s="445">
        <v>13.2</v>
      </c>
      <c r="E69" s="313">
        <v>13.5</v>
      </c>
      <c r="F69" s="445">
        <f t="shared" si="0"/>
        <v>-3.8999999999999986</v>
      </c>
      <c r="G69" s="313">
        <v>-3.1</v>
      </c>
    </row>
    <row r="70" spans="1:7" ht="14.1" customHeight="1" x14ac:dyDescent="0.2">
      <c r="A70" s="187" t="s">
        <v>73</v>
      </c>
      <c r="B70" s="438">
        <v>8.3000000000000007</v>
      </c>
      <c r="C70" s="313">
        <v>9.1</v>
      </c>
      <c r="D70" s="445">
        <v>13.7</v>
      </c>
      <c r="E70" s="313">
        <v>13.9</v>
      </c>
      <c r="F70" s="445">
        <f t="shared" si="0"/>
        <v>-5.3999999999999986</v>
      </c>
      <c r="G70" s="313">
        <v>-4.8</v>
      </c>
    </row>
    <row r="71" spans="1:7" s="20" customFormat="1" ht="14.1" customHeight="1" x14ac:dyDescent="0.25">
      <c r="A71" s="186" t="s">
        <v>74</v>
      </c>
      <c r="B71" s="438">
        <v>8.8000000000000007</v>
      </c>
      <c r="C71" s="313">
        <v>9.6</v>
      </c>
      <c r="D71" s="445">
        <v>13.8</v>
      </c>
      <c r="E71" s="313">
        <v>14.2</v>
      </c>
      <c r="F71" s="445">
        <f t="shared" si="0"/>
        <v>-5</v>
      </c>
      <c r="G71" s="313">
        <v>-4.5999999999999996</v>
      </c>
    </row>
    <row r="72" spans="1:7" ht="14.1" customHeight="1" x14ac:dyDescent="0.2">
      <c r="A72" s="190" t="s">
        <v>75</v>
      </c>
      <c r="B72" s="437">
        <v>10.9</v>
      </c>
      <c r="C72" s="312">
        <v>11.9</v>
      </c>
      <c r="D72" s="444">
        <v>11.7</v>
      </c>
      <c r="E72" s="312">
        <v>11.9</v>
      </c>
      <c r="F72" s="450">
        <f t="shared" ref="F72:F102" si="1">B72-D72</f>
        <v>-0.79999999999999893</v>
      </c>
      <c r="G72" s="418">
        <v>0.01</v>
      </c>
    </row>
    <row r="73" spans="1:7" ht="14.1" customHeight="1" x14ac:dyDescent="0.2">
      <c r="A73" s="186" t="s">
        <v>76</v>
      </c>
      <c r="B73" s="438">
        <v>9.1999999999999993</v>
      </c>
      <c r="C73" s="313">
        <v>10.3</v>
      </c>
      <c r="D73" s="445">
        <v>15.2</v>
      </c>
      <c r="E73" s="313">
        <v>15.5</v>
      </c>
      <c r="F73" s="445">
        <f t="shared" si="1"/>
        <v>-6</v>
      </c>
      <c r="G73" s="313">
        <v>-5.2</v>
      </c>
    </row>
    <row r="74" spans="1:7" ht="14.1" customHeight="1" x14ac:dyDescent="0.2">
      <c r="A74" s="186" t="s">
        <v>77</v>
      </c>
      <c r="B74" s="438">
        <v>10.7</v>
      </c>
      <c r="C74" s="313">
        <v>11.6</v>
      </c>
      <c r="D74" s="445">
        <v>13.3</v>
      </c>
      <c r="E74" s="313">
        <v>13.5</v>
      </c>
      <c r="F74" s="445">
        <f t="shared" si="1"/>
        <v>-2.6000000000000014</v>
      </c>
      <c r="G74" s="313">
        <v>-1.9</v>
      </c>
    </row>
    <row r="75" spans="1:7" ht="14.1" customHeight="1" x14ac:dyDescent="0.2">
      <c r="A75" s="186" t="s">
        <v>78</v>
      </c>
      <c r="B75" s="438">
        <v>12.5</v>
      </c>
      <c r="C75" s="313">
        <v>13.6</v>
      </c>
      <c r="D75" s="445">
        <v>7.7</v>
      </c>
      <c r="E75" s="313">
        <v>7.9</v>
      </c>
      <c r="F75" s="445">
        <f t="shared" si="1"/>
        <v>4.8</v>
      </c>
      <c r="G75" s="313">
        <v>5.7</v>
      </c>
    </row>
    <row r="76" spans="1:7" ht="14.1" customHeight="1" x14ac:dyDescent="0.2">
      <c r="A76" s="186" t="s">
        <v>79</v>
      </c>
      <c r="B76" s="438">
        <v>12.4</v>
      </c>
      <c r="C76" s="313">
        <v>13.6</v>
      </c>
      <c r="D76" s="445">
        <v>6</v>
      </c>
      <c r="E76" s="313">
        <v>6.3</v>
      </c>
      <c r="F76" s="445">
        <f t="shared" si="1"/>
        <v>6.4</v>
      </c>
      <c r="G76" s="313">
        <v>7.3</v>
      </c>
    </row>
    <row r="77" spans="1:7" ht="14.1" customHeight="1" x14ac:dyDescent="0.2">
      <c r="A77" s="186" t="s">
        <v>80</v>
      </c>
      <c r="B77" s="438">
        <v>12.6</v>
      </c>
      <c r="C77" s="313">
        <v>13.4</v>
      </c>
      <c r="D77" s="445">
        <v>4.7</v>
      </c>
      <c r="E77" s="313">
        <v>4.7</v>
      </c>
      <c r="F77" s="445">
        <f t="shared" si="1"/>
        <v>7.8999999999999995</v>
      </c>
      <c r="G77" s="313">
        <v>8.6999999999999993</v>
      </c>
    </row>
    <row r="78" spans="1:7" s="20" customFormat="1" ht="14.1" customHeight="1" x14ac:dyDescent="0.25">
      <c r="A78" s="189" t="s">
        <v>288</v>
      </c>
      <c r="B78" s="438">
        <v>12.6</v>
      </c>
      <c r="C78" s="313">
        <v>13.7</v>
      </c>
      <c r="D78" s="445">
        <v>10.5</v>
      </c>
      <c r="E78" s="313">
        <v>10.9</v>
      </c>
      <c r="F78" s="445">
        <f t="shared" si="1"/>
        <v>2.0999999999999996</v>
      </c>
      <c r="G78" s="313">
        <v>2.8</v>
      </c>
    </row>
    <row r="79" spans="1:7" ht="14.1" customHeight="1" x14ac:dyDescent="0.2">
      <c r="A79" s="186" t="s">
        <v>81</v>
      </c>
      <c r="B79" s="438">
        <v>9.9</v>
      </c>
      <c r="C79" s="313">
        <v>10.8</v>
      </c>
      <c r="D79" s="445">
        <v>13.1</v>
      </c>
      <c r="E79" s="313">
        <v>13.2</v>
      </c>
      <c r="F79" s="445">
        <f t="shared" si="1"/>
        <v>-3.1999999999999993</v>
      </c>
      <c r="G79" s="313">
        <v>-2.4</v>
      </c>
    </row>
    <row r="80" spans="1:7" ht="16.5" customHeight="1" x14ac:dyDescent="0.2">
      <c r="A80" s="185" t="s">
        <v>345</v>
      </c>
      <c r="B80" s="437">
        <v>10.4</v>
      </c>
      <c r="C80" s="312">
        <v>11.4</v>
      </c>
      <c r="D80" s="444">
        <v>12.9</v>
      </c>
      <c r="E80" s="312">
        <v>13</v>
      </c>
      <c r="F80" s="444">
        <f t="shared" si="1"/>
        <v>-2.5</v>
      </c>
      <c r="G80" s="312">
        <v>-1.6</v>
      </c>
    </row>
    <row r="81" spans="1:7" ht="14.1" customHeight="1" x14ac:dyDescent="0.2">
      <c r="A81" s="186" t="s">
        <v>83</v>
      </c>
      <c r="B81" s="438">
        <v>13.6</v>
      </c>
      <c r="C81" s="313">
        <v>15.3</v>
      </c>
      <c r="D81" s="445">
        <v>10.1</v>
      </c>
      <c r="E81" s="313">
        <v>10.1</v>
      </c>
      <c r="F81" s="445">
        <f t="shared" si="1"/>
        <v>3.5</v>
      </c>
      <c r="G81" s="313">
        <v>5.2</v>
      </c>
    </row>
    <row r="82" spans="1:7" ht="14.1" customHeight="1" x14ac:dyDescent="0.2">
      <c r="A82" s="186" t="s">
        <v>85</v>
      </c>
      <c r="B82" s="438">
        <v>18.600000000000001</v>
      </c>
      <c r="C82" s="313">
        <v>20.2</v>
      </c>
      <c r="D82" s="445">
        <v>8.3000000000000007</v>
      </c>
      <c r="E82" s="313">
        <v>8.8000000000000007</v>
      </c>
      <c r="F82" s="445">
        <f t="shared" si="1"/>
        <v>10.3</v>
      </c>
      <c r="G82" s="313">
        <v>11.4</v>
      </c>
    </row>
    <row r="83" spans="1:7" ht="14.1" customHeight="1" x14ac:dyDescent="0.2">
      <c r="A83" s="186" t="s">
        <v>86</v>
      </c>
      <c r="B83" s="438">
        <v>10.4</v>
      </c>
      <c r="C83" s="313">
        <v>11.6</v>
      </c>
      <c r="D83" s="445">
        <v>12.5</v>
      </c>
      <c r="E83" s="313">
        <v>12.4</v>
      </c>
      <c r="F83" s="445">
        <f t="shared" si="1"/>
        <v>-2.0999999999999996</v>
      </c>
      <c r="G83" s="313">
        <v>-0.8</v>
      </c>
    </row>
    <row r="84" spans="1:7" ht="14.1" customHeight="1" x14ac:dyDescent="0.2">
      <c r="A84" s="186" t="s">
        <v>87</v>
      </c>
      <c r="B84" s="438">
        <v>9.1</v>
      </c>
      <c r="C84" s="313">
        <v>10</v>
      </c>
      <c r="D84" s="445">
        <v>14</v>
      </c>
      <c r="E84" s="313">
        <v>14.2</v>
      </c>
      <c r="F84" s="445">
        <f t="shared" si="1"/>
        <v>-4.9000000000000004</v>
      </c>
      <c r="G84" s="313">
        <v>-4.2</v>
      </c>
    </row>
    <row r="85" spans="1:7" ht="14.1" customHeight="1" x14ac:dyDescent="0.2">
      <c r="A85" s="186" t="s">
        <v>89</v>
      </c>
      <c r="B85" s="438">
        <v>10.5</v>
      </c>
      <c r="C85" s="313">
        <v>11.7</v>
      </c>
      <c r="D85" s="445">
        <v>12.2</v>
      </c>
      <c r="E85" s="313">
        <v>12.4</v>
      </c>
      <c r="F85" s="445">
        <f t="shared" si="1"/>
        <v>-1.6999999999999993</v>
      </c>
      <c r="G85" s="313">
        <v>-0.7</v>
      </c>
    </row>
    <row r="86" spans="1:7" ht="14.1" customHeight="1" x14ac:dyDescent="0.2">
      <c r="A86" s="186" t="s">
        <v>90</v>
      </c>
      <c r="B86" s="438">
        <v>11.8</v>
      </c>
      <c r="C86" s="313">
        <v>12.8</v>
      </c>
      <c r="D86" s="445">
        <v>13.2</v>
      </c>
      <c r="E86" s="313">
        <v>13.1</v>
      </c>
      <c r="F86" s="445">
        <f t="shared" si="1"/>
        <v>-1.3999999999999986</v>
      </c>
      <c r="G86" s="313">
        <v>-0.3</v>
      </c>
    </row>
    <row r="87" spans="1:7" ht="14.1" customHeight="1" x14ac:dyDescent="0.2">
      <c r="A87" s="186" t="s">
        <v>91</v>
      </c>
      <c r="B87" s="438">
        <v>9</v>
      </c>
      <c r="C87" s="313">
        <v>9.9</v>
      </c>
      <c r="D87" s="445">
        <v>14.2</v>
      </c>
      <c r="E87" s="313">
        <v>14.4</v>
      </c>
      <c r="F87" s="445">
        <f t="shared" si="1"/>
        <v>-5.1999999999999993</v>
      </c>
      <c r="G87" s="313">
        <v>-4.5</v>
      </c>
    </row>
    <row r="88" spans="1:7" ht="14.1" customHeight="1" x14ac:dyDescent="0.2">
      <c r="A88" s="186" t="s">
        <v>92</v>
      </c>
      <c r="B88" s="438">
        <v>10.7</v>
      </c>
      <c r="C88" s="313">
        <v>11.7</v>
      </c>
      <c r="D88" s="445">
        <v>12.7</v>
      </c>
      <c r="E88" s="313">
        <v>13</v>
      </c>
      <c r="F88" s="445">
        <f t="shared" si="1"/>
        <v>-2</v>
      </c>
      <c r="G88" s="313">
        <v>-1.3</v>
      </c>
    </row>
    <row r="89" spans="1:7" s="20" customFormat="1" ht="14.1" customHeight="1" x14ac:dyDescent="0.25">
      <c r="A89" s="186" t="s">
        <v>93</v>
      </c>
      <c r="B89" s="438">
        <v>9.8000000000000007</v>
      </c>
      <c r="C89" s="313">
        <v>10.9</v>
      </c>
      <c r="D89" s="445">
        <v>12.6</v>
      </c>
      <c r="E89" s="313">
        <v>12.9</v>
      </c>
      <c r="F89" s="445">
        <f t="shared" si="1"/>
        <v>-2.7999999999999989</v>
      </c>
      <c r="G89" s="313">
        <v>-2</v>
      </c>
    </row>
    <row r="90" spans="1:7" ht="14.1" customHeight="1" x14ac:dyDescent="0.2">
      <c r="A90" s="186" t="s">
        <v>94</v>
      </c>
      <c r="B90" s="438">
        <v>9.9</v>
      </c>
      <c r="C90" s="313">
        <v>10.9</v>
      </c>
      <c r="D90" s="445">
        <v>11.3</v>
      </c>
      <c r="E90" s="313">
        <v>11.1</v>
      </c>
      <c r="F90" s="445">
        <f t="shared" si="1"/>
        <v>-1.4000000000000004</v>
      </c>
      <c r="G90" s="313">
        <v>-0.2</v>
      </c>
    </row>
    <row r="91" spans="1:7" ht="14.1" customHeight="1" x14ac:dyDescent="0.2">
      <c r="A91" s="190" t="s">
        <v>344</v>
      </c>
      <c r="B91" s="437">
        <v>11.1</v>
      </c>
      <c r="C91" s="312">
        <v>11.9</v>
      </c>
      <c r="D91" s="444">
        <v>12.2</v>
      </c>
      <c r="E91" s="312">
        <v>12</v>
      </c>
      <c r="F91" s="451">
        <f t="shared" si="1"/>
        <v>-1.0999999999999996</v>
      </c>
      <c r="G91" s="420">
        <v>-0.1</v>
      </c>
    </row>
    <row r="92" spans="1:7" ht="14.1" customHeight="1" x14ac:dyDescent="0.2">
      <c r="A92" s="186" t="s">
        <v>84</v>
      </c>
      <c r="B92" s="438">
        <v>12.7</v>
      </c>
      <c r="C92" s="313">
        <v>14.1</v>
      </c>
      <c r="D92" s="445">
        <v>11</v>
      </c>
      <c r="E92" s="313">
        <v>10.7</v>
      </c>
      <c r="F92" s="445">
        <f t="shared" si="1"/>
        <v>1.6999999999999993</v>
      </c>
      <c r="G92" s="313">
        <v>3.4</v>
      </c>
    </row>
    <row r="93" spans="1:7" ht="14.1" customHeight="1" x14ac:dyDescent="0.2">
      <c r="A93" s="186" t="s">
        <v>96</v>
      </c>
      <c r="B93" s="438">
        <v>13.2</v>
      </c>
      <c r="C93" s="313">
        <v>13.7</v>
      </c>
      <c r="D93" s="445">
        <v>7.8</v>
      </c>
      <c r="E93" s="313">
        <v>7.8</v>
      </c>
      <c r="F93" s="445">
        <f t="shared" si="1"/>
        <v>5.3999999999999995</v>
      </c>
      <c r="G93" s="313">
        <v>5.9</v>
      </c>
    </row>
    <row r="94" spans="1:7" ht="14.1" customHeight="1" x14ac:dyDescent="0.2">
      <c r="A94" s="186" t="s">
        <v>88</v>
      </c>
      <c r="B94" s="438">
        <v>11.8</v>
      </c>
      <c r="C94" s="313">
        <v>12.7</v>
      </c>
      <c r="D94" s="445">
        <v>12.4</v>
      </c>
      <c r="E94" s="313">
        <v>12.3</v>
      </c>
      <c r="F94" s="445">
        <f t="shared" si="1"/>
        <v>-0.59999999999999964</v>
      </c>
      <c r="G94" s="313">
        <v>0.4</v>
      </c>
    </row>
    <row r="95" spans="1:7" ht="14.1" customHeight="1" x14ac:dyDescent="0.2">
      <c r="A95" s="186" t="s">
        <v>97</v>
      </c>
      <c r="B95" s="438">
        <v>10.5</v>
      </c>
      <c r="C95" s="313">
        <v>10.8</v>
      </c>
      <c r="D95" s="445">
        <v>11</v>
      </c>
      <c r="E95" s="313">
        <v>11.3</v>
      </c>
      <c r="F95" s="445">
        <f t="shared" si="1"/>
        <v>-0.5</v>
      </c>
      <c r="G95" s="313">
        <v>-0.5</v>
      </c>
    </row>
    <row r="96" spans="1:7" ht="14.1" customHeight="1" x14ac:dyDescent="0.2">
      <c r="A96" s="186" t="s">
        <v>98</v>
      </c>
      <c r="B96" s="438">
        <v>9.6</v>
      </c>
      <c r="C96" s="313">
        <v>10.5</v>
      </c>
      <c r="D96" s="445">
        <v>13.6</v>
      </c>
      <c r="E96" s="313">
        <v>13.4</v>
      </c>
      <c r="F96" s="445">
        <f t="shared" si="1"/>
        <v>-4</v>
      </c>
      <c r="G96" s="313">
        <v>-2.9</v>
      </c>
    </row>
    <row r="97" spans="1:7" ht="14.1" customHeight="1" x14ac:dyDescent="0.2">
      <c r="A97" s="186" t="s">
        <v>99</v>
      </c>
      <c r="B97" s="438">
        <v>10.9</v>
      </c>
      <c r="C97" s="313">
        <v>11.4</v>
      </c>
      <c r="D97" s="445">
        <v>13.3</v>
      </c>
      <c r="E97" s="313">
        <v>12.8</v>
      </c>
      <c r="F97" s="445">
        <f t="shared" si="1"/>
        <v>-2.4000000000000004</v>
      </c>
      <c r="G97" s="313">
        <v>-1.4</v>
      </c>
    </row>
    <row r="98" spans="1:7" ht="14.1" customHeight="1" x14ac:dyDescent="0.2">
      <c r="A98" s="186" t="s">
        <v>100</v>
      </c>
      <c r="B98" s="438">
        <v>10</v>
      </c>
      <c r="C98" s="313">
        <v>11.1</v>
      </c>
      <c r="D98" s="445">
        <v>14</v>
      </c>
      <c r="E98" s="313">
        <v>13.4</v>
      </c>
      <c r="F98" s="445">
        <f t="shared" si="1"/>
        <v>-4</v>
      </c>
      <c r="G98" s="313">
        <v>-2.2999999999999998</v>
      </c>
    </row>
    <row r="99" spans="1:7" ht="14.1" customHeight="1" x14ac:dyDescent="0.2">
      <c r="A99" s="186" t="s">
        <v>101</v>
      </c>
      <c r="B99" s="438">
        <v>9.1</v>
      </c>
      <c r="C99" s="313">
        <v>10</v>
      </c>
      <c r="D99" s="445">
        <v>11.6</v>
      </c>
      <c r="E99" s="313">
        <v>11.4</v>
      </c>
      <c r="F99" s="445">
        <f t="shared" si="1"/>
        <v>-2.5</v>
      </c>
      <c r="G99" s="313">
        <v>-1.4</v>
      </c>
    </row>
    <row r="100" spans="1:7" ht="14.1" customHeight="1" x14ac:dyDescent="0.2">
      <c r="A100" s="186" t="s">
        <v>102</v>
      </c>
      <c r="B100" s="438">
        <v>11.9</v>
      </c>
      <c r="C100" s="313">
        <v>12.2</v>
      </c>
      <c r="D100" s="445">
        <v>12.5</v>
      </c>
      <c r="E100" s="313">
        <v>12.7</v>
      </c>
      <c r="F100" s="445">
        <f t="shared" si="1"/>
        <v>-0.59999999999999964</v>
      </c>
      <c r="G100" s="313">
        <v>-0.5</v>
      </c>
    </row>
    <row r="101" spans="1:7" ht="14.1" customHeight="1" x14ac:dyDescent="0.2">
      <c r="A101" s="186" t="s">
        <v>103</v>
      </c>
      <c r="B101" s="438">
        <v>10.6</v>
      </c>
      <c r="C101" s="313">
        <v>11.7</v>
      </c>
      <c r="D101" s="445">
        <v>14.2</v>
      </c>
      <c r="E101" s="313">
        <v>13.7</v>
      </c>
      <c r="F101" s="445">
        <f t="shared" si="1"/>
        <v>-3.5999999999999996</v>
      </c>
      <c r="G101" s="313">
        <v>-2</v>
      </c>
    </row>
    <row r="102" spans="1:7" ht="14.1" customHeight="1" x14ac:dyDescent="0.2">
      <c r="A102" s="266" t="s">
        <v>104</v>
      </c>
      <c r="B102" s="442">
        <v>10.5</v>
      </c>
      <c r="C102" s="316">
        <v>12.6</v>
      </c>
      <c r="D102" s="316">
        <v>9.1</v>
      </c>
      <c r="E102" s="316">
        <v>11</v>
      </c>
      <c r="F102" s="316">
        <f t="shared" si="1"/>
        <v>1.4000000000000004</v>
      </c>
      <c r="G102" s="316">
        <v>1.6</v>
      </c>
    </row>
    <row r="103" spans="1:7" ht="14.1" customHeight="1" x14ac:dyDescent="0.2"/>
    <row r="104" spans="1:7" ht="22.5" customHeight="1" x14ac:dyDescent="0.2">
      <c r="A104" s="489"/>
      <c r="B104" s="489"/>
      <c r="C104" s="489"/>
      <c r="D104" s="489"/>
      <c r="E104" s="489"/>
      <c r="F104" s="489"/>
    </row>
    <row r="105" spans="1:7" x14ac:dyDescent="0.2">
      <c r="B105" s="323"/>
      <c r="C105" s="23"/>
      <c r="D105" s="23"/>
      <c r="E105" s="23"/>
      <c r="G105" s="23"/>
    </row>
    <row r="106" spans="1:7" x14ac:dyDescent="0.2">
      <c r="C106" s="23"/>
      <c r="D106" s="23"/>
      <c r="E106" s="23"/>
      <c r="G106" s="23"/>
    </row>
    <row r="107" spans="1:7" x14ac:dyDescent="0.2">
      <c r="F107" s="25"/>
    </row>
    <row r="108" spans="1:7" x14ac:dyDescent="0.2">
      <c r="F108" s="25"/>
    </row>
    <row r="109" spans="1:7" x14ac:dyDescent="0.2">
      <c r="F109" s="25"/>
    </row>
    <row r="110" spans="1:7" x14ac:dyDescent="0.2">
      <c r="F110" s="25"/>
    </row>
    <row r="111" spans="1:7" x14ac:dyDescent="0.2">
      <c r="F111" s="25"/>
    </row>
    <row r="112" spans="1:7" x14ac:dyDescent="0.2">
      <c r="F112" s="25"/>
    </row>
    <row r="113" spans="1:7" x14ac:dyDescent="0.2">
      <c r="F113" s="25"/>
    </row>
    <row r="114" spans="1:7" x14ac:dyDescent="0.2">
      <c r="F114" s="25"/>
    </row>
    <row r="115" spans="1:7" x14ac:dyDescent="0.2">
      <c r="A115" s="19"/>
      <c r="C115" s="19"/>
      <c r="D115" s="19"/>
      <c r="E115" s="19"/>
      <c r="F115" s="25"/>
      <c r="G115" s="19"/>
    </row>
    <row r="116" spans="1:7" x14ac:dyDescent="0.2">
      <c r="A116" s="19"/>
      <c r="C116" s="19"/>
      <c r="D116" s="19"/>
      <c r="E116" s="19"/>
      <c r="F116" s="25"/>
      <c r="G116" s="19"/>
    </row>
    <row r="117" spans="1:7" x14ac:dyDescent="0.2">
      <c r="A117" s="19"/>
      <c r="B117" s="19"/>
      <c r="C117" s="19"/>
      <c r="D117" s="19"/>
      <c r="E117" s="19"/>
      <c r="F117" s="25"/>
      <c r="G117" s="19"/>
    </row>
    <row r="118" spans="1:7" x14ac:dyDescent="0.2">
      <c r="A118" s="19"/>
      <c r="B118" s="19"/>
      <c r="C118" s="19"/>
      <c r="D118" s="19"/>
      <c r="E118" s="19"/>
      <c r="F118" s="25"/>
      <c r="G118" s="19"/>
    </row>
    <row r="119" spans="1:7" x14ac:dyDescent="0.2">
      <c r="A119" s="19"/>
      <c r="B119" s="19"/>
      <c r="C119" s="19"/>
      <c r="D119" s="19"/>
      <c r="E119" s="19"/>
      <c r="F119" s="25"/>
      <c r="G119" s="19"/>
    </row>
    <row r="120" spans="1:7" x14ac:dyDescent="0.2">
      <c r="A120" s="19"/>
      <c r="B120" s="19"/>
      <c r="C120" s="19"/>
      <c r="D120" s="19"/>
      <c r="E120" s="19"/>
      <c r="F120" s="25"/>
      <c r="G120" s="19"/>
    </row>
    <row r="121" spans="1:7" x14ac:dyDescent="0.2">
      <c r="A121" s="19"/>
      <c r="B121" s="19"/>
      <c r="C121" s="19"/>
      <c r="D121" s="19"/>
      <c r="E121" s="19"/>
      <c r="F121" s="25"/>
      <c r="G121" s="19"/>
    </row>
    <row r="122" spans="1:7" x14ac:dyDescent="0.2">
      <c r="A122" s="19"/>
      <c r="B122" s="19"/>
      <c r="C122" s="19"/>
      <c r="D122" s="19"/>
      <c r="E122" s="19"/>
      <c r="F122" s="25"/>
      <c r="G122" s="19"/>
    </row>
    <row r="123" spans="1:7" x14ac:dyDescent="0.2">
      <c r="A123" s="19"/>
      <c r="B123" s="19"/>
      <c r="C123" s="19"/>
      <c r="D123" s="19"/>
      <c r="E123" s="19"/>
      <c r="F123" s="25"/>
      <c r="G123" s="19"/>
    </row>
    <row r="124" spans="1:7" x14ac:dyDescent="0.2">
      <c r="A124" s="19"/>
      <c r="B124" s="19"/>
      <c r="C124" s="19"/>
      <c r="D124" s="19"/>
      <c r="E124" s="19"/>
      <c r="F124" s="25"/>
      <c r="G124" s="19"/>
    </row>
    <row r="125" spans="1:7" x14ac:dyDescent="0.2">
      <c r="A125" s="19"/>
      <c r="B125" s="19"/>
      <c r="C125" s="19"/>
      <c r="D125" s="19"/>
      <c r="E125" s="19"/>
      <c r="F125" s="25"/>
      <c r="G125" s="19"/>
    </row>
    <row r="126" spans="1:7" x14ac:dyDescent="0.2">
      <c r="A126" s="19"/>
      <c r="B126" s="19"/>
      <c r="C126" s="19"/>
      <c r="D126" s="19"/>
      <c r="E126" s="19"/>
      <c r="F126" s="25"/>
      <c r="G126" s="19"/>
    </row>
    <row r="127" spans="1:7" x14ac:dyDescent="0.2">
      <c r="A127" s="19"/>
      <c r="B127" s="19"/>
      <c r="C127" s="19"/>
      <c r="D127" s="19"/>
      <c r="E127" s="19"/>
      <c r="F127" s="25"/>
      <c r="G127" s="19"/>
    </row>
    <row r="128" spans="1:7" x14ac:dyDescent="0.2">
      <c r="A128" s="19"/>
      <c r="B128" s="19"/>
      <c r="C128" s="19"/>
      <c r="D128" s="19"/>
      <c r="E128" s="19"/>
      <c r="F128" s="25"/>
      <c r="G128" s="19"/>
    </row>
    <row r="129" spans="1:7" x14ac:dyDescent="0.2">
      <c r="A129" s="19"/>
      <c r="B129" s="19"/>
      <c r="C129" s="19"/>
      <c r="D129" s="19"/>
      <c r="E129" s="19"/>
      <c r="F129" s="25"/>
      <c r="G129" s="19"/>
    </row>
    <row r="130" spans="1:7" x14ac:dyDescent="0.2">
      <c r="A130" s="19"/>
      <c r="B130" s="19"/>
      <c r="C130" s="19"/>
      <c r="D130" s="19"/>
      <c r="E130" s="19"/>
      <c r="F130" s="25"/>
      <c r="G130" s="19"/>
    </row>
    <row r="131" spans="1:7" x14ac:dyDescent="0.2">
      <c r="A131" s="19"/>
      <c r="B131" s="19"/>
      <c r="C131" s="19"/>
      <c r="D131" s="19"/>
      <c r="E131" s="19"/>
      <c r="F131" s="25"/>
      <c r="G131" s="19"/>
    </row>
    <row r="132" spans="1:7" x14ac:dyDescent="0.2">
      <c r="A132" s="19"/>
      <c r="B132" s="19"/>
      <c r="C132" s="19"/>
      <c r="D132" s="19"/>
      <c r="E132" s="19"/>
      <c r="F132" s="25"/>
      <c r="G132" s="19"/>
    </row>
    <row r="133" spans="1:7" x14ac:dyDescent="0.2">
      <c r="A133" s="19"/>
      <c r="B133" s="19"/>
      <c r="C133" s="19"/>
      <c r="D133" s="19"/>
      <c r="E133" s="19"/>
      <c r="F133" s="25"/>
      <c r="G133" s="19"/>
    </row>
    <row r="134" spans="1:7" x14ac:dyDescent="0.2">
      <c r="A134" s="19"/>
      <c r="B134" s="19"/>
      <c r="C134" s="19"/>
      <c r="D134" s="19"/>
      <c r="E134" s="19"/>
      <c r="F134" s="25"/>
      <c r="G134" s="19"/>
    </row>
    <row r="135" spans="1:7" x14ac:dyDescent="0.2">
      <c r="A135" s="19"/>
      <c r="B135" s="19"/>
      <c r="C135" s="19"/>
      <c r="D135" s="19"/>
      <c r="E135" s="19"/>
      <c r="F135" s="25"/>
      <c r="G135" s="19"/>
    </row>
    <row r="136" spans="1:7" x14ac:dyDescent="0.2">
      <c r="A136" s="19"/>
      <c r="B136" s="19"/>
      <c r="C136" s="19"/>
      <c r="D136" s="19"/>
      <c r="E136" s="19"/>
      <c r="F136" s="25"/>
      <c r="G136" s="19"/>
    </row>
    <row r="137" spans="1:7" x14ac:dyDescent="0.2">
      <c r="A137" s="19"/>
      <c r="B137" s="19"/>
      <c r="C137" s="19"/>
      <c r="D137" s="19"/>
      <c r="E137" s="19"/>
      <c r="F137" s="25"/>
      <c r="G137" s="19"/>
    </row>
    <row r="138" spans="1:7" x14ac:dyDescent="0.2">
      <c r="A138" s="19"/>
      <c r="B138" s="19"/>
      <c r="C138" s="19"/>
      <c r="D138" s="19"/>
      <c r="E138" s="19"/>
      <c r="F138" s="25"/>
      <c r="G138" s="19"/>
    </row>
    <row r="139" spans="1:7" x14ac:dyDescent="0.2">
      <c r="A139" s="19"/>
      <c r="B139" s="19"/>
      <c r="C139" s="19"/>
      <c r="D139" s="19"/>
      <c r="E139" s="19"/>
      <c r="F139" s="25"/>
      <c r="G139" s="19"/>
    </row>
    <row r="140" spans="1:7" x14ac:dyDescent="0.2">
      <c r="A140" s="19"/>
      <c r="B140" s="19"/>
      <c r="C140" s="19"/>
      <c r="D140" s="19"/>
      <c r="E140" s="19"/>
      <c r="F140" s="25"/>
      <c r="G140" s="19"/>
    </row>
    <row r="141" spans="1:7" x14ac:dyDescent="0.2">
      <c r="A141" s="19"/>
      <c r="B141" s="19"/>
      <c r="C141" s="19"/>
      <c r="D141" s="19"/>
      <c r="E141" s="19"/>
      <c r="F141" s="25"/>
      <c r="G141" s="19"/>
    </row>
    <row r="142" spans="1:7" x14ac:dyDescent="0.2">
      <c r="A142" s="19"/>
      <c r="B142" s="19"/>
      <c r="C142" s="19"/>
      <c r="D142" s="19"/>
      <c r="E142" s="19"/>
      <c r="F142" s="25"/>
      <c r="G142" s="19"/>
    </row>
    <row r="143" spans="1:7" x14ac:dyDescent="0.2">
      <c r="A143" s="19"/>
      <c r="B143" s="19"/>
      <c r="C143" s="19"/>
      <c r="D143" s="19"/>
      <c r="E143" s="19"/>
      <c r="F143" s="25"/>
      <c r="G143" s="19"/>
    </row>
    <row r="144" spans="1:7" x14ac:dyDescent="0.2">
      <c r="A144" s="19"/>
      <c r="B144" s="19"/>
      <c r="C144" s="19"/>
      <c r="D144" s="19"/>
      <c r="E144" s="19"/>
      <c r="F144" s="25"/>
      <c r="G144" s="19"/>
    </row>
    <row r="145" spans="1:7" x14ac:dyDescent="0.2">
      <c r="A145" s="19"/>
      <c r="B145" s="19"/>
      <c r="C145" s="19"/>
      <c r="D145" s="19"/>
      <c r="E145" s="19"/>
      <c r="F145" s="25"/>
      <c r="G145" s="19"/>
    </row>
    <row r="146" spans="1:7" x14ac:dyDescent="0.2">
      <c r="A146" s="19"/>
      <c r="B146" s="19"/>
      <c r="C146" s="19"/>
      <c r="D146" s="19"/>
      <c r="E146" s="19"/>
      <c r="F146" s="25"/>
      <c r="G146" s="19"/>
    </row>
    <row r="147" spans="1:7" x14ac:dyDescent="0.2">
      <c r="A147" s="19"/>
      <c r="B147" s="19"/>
      <c r="C147" s="19"/>
      <c r="D147" s="19"/>
      <c r="E147" s="19"/>
      <c r="F147" s="25"/>
      <c r="G147" s="19"/>
    </row>
    <row r="148" spans="1:7" x14ac:dyDescent="0.2">
      <c r="A148" s="19"/>
      <c r="B148" s="19"/>
      <c r="C148" s="19"/>
      <c r="D148" s="19"/>
      <c r="E148" s="19"/>
      <c r="F148" s="25"/>
      <c r="G148" s="19"/>
    </row>
    <row r="149" spans="1:7" x14ac:dyDescent="0.2">
      <c r="A149" s="19"/>
      <c r="B149" s="19"/>
      <c r="C149" s="19"/>
      <c r="D149" s="19"/>
      <c r="E149" s="19"/>
      <c r="F149" s="25"/>
      <c r="G149" s="19"/>
    </row>
    <row r="150" spans="1:7" x14ac:dyDescent="0.2">
      <c r="A150" s="19"/>
      <c r="B150" s="19"/>
      <c r="C150" s="19"/>
      <c r="D150" s="19"/>
      <c r="E150" s="19"/>
      <c r="F150" s="25"/>
      <c r="G150" s="19"/>
    </row>
    <row r="151" spans="1:7" x14ac:dyDescent="0.2">
      <c r="A151" s="19"/>
      <c r="B151" s="19"/>
      <c r="C151" s="19"/>
      <c r="D151" s="19"/>
      <c r="E151" s="19"/>
      <c r="F151" s="25"/>
      <c r="G151" s="19"/>
    </row>
    <row r="152" spans="1:7" x14ac:dyDescent="0.2">
      <c r="A152" s="19"/>
      <c r="B152" s="19"/>
      <c r="C152" s="19"/>
      <c r="D152" s="19"/>
      <c r="E152" s="19"/>
      <c r="F152" s="25"/>
      <c r="G152" s="19"/>
    </row>
    <row r="153" spans="1:7" x14ac:dyDescent="0.2">
      <c r="A153" s="19"/>
      <c r="B153" s="19"/>
      <c r="C153" s="19"/>
      <c r="D153" s="19"/>
      <c r="E153" s="19"/>
      <c r="F153" s="25"/>
      <c r="G153" s="19"/>
    </row>
    <row r="154" spans="1:7" x14ac:dyDescent="0.2">
      <c r="A154" s="19"/>
      <c r="B154" s="19"/>
      <c r="C154" s="19"/>
      <c r="D154" s="19"/>
      <c r="E154" s="19"/>
      <c r="F154" s="25"/>
      <c r="G154" s="19"/>
    </row>
    <row r="155" spans="1:7" x14ac:dyDescent="0.2">
      <c r="A155" s="19"/>
      <c r="B155" s="19"/>
      <c r="C155" s="19"/>
      <c r="D155" s="19"/>
      <c r="E155" s="19"/>
      <c r="F155" s="25"/>
      <c r="G155" s="19"/>
    </row>
    <row r="156" spans="1:7" x14ac:dyDescent="0.2">
      <c r="A156" s="19"/>
      <c r="B156" s="19"/>
      <c r="C156" s="19"/>
      <c r="D156" s="19"/>
      <c r="E156" s="19"/>
      <c r="F156" s="25"/>
      <c r="G156" s="19"/>
    </row>
    <row r="157" spans="1:7" x14ac:dyDescent="0.2">
      <c r="A157" s="19"/>
      <c r="B157" s="19"/>
      <c r="C157" s="19"/>
      <c r="D157" s="19"/>
      <c r="E157" s="19"/>
      <c r="F157" s="25"/>
      <c r="G157" s="19"/>
    </row>
    <row r="158" spans="1:7" x14ac:dyDescent="0.2">
      <c r="A158" s="19"/>
      <c r="B158" s="19"/>
      <c r="C158" s="19"/>
      <c r="D158" s="19"/>
      <c r="E158" s="19"/>
      <c r="F158" s="25"/>
      <c r="G158" s="19"/>
    </row>
    <row r="159" spans="1:7" x14ac:dyDescent="0.2">
      <c r="A159" s="19"/>
      <c r="B159" s="19"/>
      <c r="C159" s="19"/>
      <c r="D159" s="19"/>
      <c r="E159" s="19"/>
      <c r="F159" s="25"/>
      <c r="G159" s="19"/>
    </row>
    <row r="160" spans="1:7" x14ac:dyDescent="0.2">
      <c r="A160" s="19"/>
      <c r="B160" s="19"/>
      <c r="C160" s="19"/>
      <c r="D160" s="19"/>
      <c r="E160" s="19"/>
      <c r="F160" s="25"/>
      <c r="G160" s="19"/>
    </row>
    <row r="161" spans="1:7" x14ac:dyDescent="0.2">
      <c r="A161" s="19"/>
      <c r="B161" s="19"/>
      <c r="C161" s="19"/>
      <c r="D161" s="19"/>
      <c r="E161" s="19"/>
      <c r="F161" s="25"/>
      <c r="G161" s="19"/>
    </row>
    <row r="162" spans="1:7" x14ac:dyDescent="0.2">
      <c r="A162" s="19"/>
      <c r="B162" s="19"/>
      <c r="C162" s="19"/>
      <c r="D162" s="19"/>
      <c r="E162" s="19"/>
      <c r="F162" s="25"/>
      <c r="G162" s="19"/>
    </row>
    <row r="163" spans="1:7" x14ac:dyDescent="0.2">
      <c r="A163" s="19"/>
      <c r="B163" s="19"/>
      <c r="C163" s="19"/>
      <c r="D163" s="19"/>
      <c r="E163" s="19"/>
      <c r="F163" s="25"/>
      <c r="G163" s="19"/>
    </row>
    <row r="164" spans="1:7" x14ac:dyDescent="0.2">
      <c r="A164" s="19"/>
      <c r="B164" s="19"/>
      <c r="C164" s="19"/>
      <c r="D164" s="19"/>
      <c r="E164" s="19"/>
      <c r="F164" s="25"/>
      <c r="G164" s="19"/>
    </row>
    <row r="165" spans="1:7" x14ac:dyDescent="0.2">
      <c r="A165" s="19"/>
      <c r="B165" s="19"/>
      <c r="C165" s="19"/>
      <c r="D165" s="19"/>
      <c r="E165" s="19"/>
      <c r="F165" s="25"/>
      <c r="G165" s="19"/>
    </row>
    <row r="166" spans="1:7" x14ac:dyDescent="0.2">
      <c r="A166" s="19"/>
      <c r="B166" s="19"/>
      <c r="C166" s="19"/>
      <c r="D166" s="19"/>
      <c r="E166" s="19"/>
      <c r="F166" s="25"/>
      <c r="G166" s="19"/>
    </row>
    <row r="167" spans="1:7" x14ac:dyDescent="0.2">
      <c r="A167" s="19"/>
      <c r="B167" s="19"/>
      <c r="C167" s="19"/>
      <c r="D167" s="19"/>
      <c r="E167" s="19"/>
      <c r="F167" s="25"/>
      <c r="G167" s="19"/>
    </row>
    <row r="168" spans="1:7" x14ac:dyDescent="0.2">
      <c r="A168" s="19"/>
      <c r="B168" s="19"/>
      <c r="C168" s="19"/>
      <c r="D168" s="19"/>
      <c r="E168" s="19"/>
      <c r="F168" s="25"/>
      <c r="G168" s="19"/>
    </row>
    <row r="169" spans="1:7" x14ac:dyDescent="0.2">
      <c r="A169" s="19"/>
      <c r="B169" s="19"/>
      <c r="C169" s="19"/>
      <c r="D169" s="19"/>
      <c r="E169" s="19"/>
      <c r="F169" s="25"/>
      <c r="G169" s="19"/>
    </row>
    <row r="170" spans="1:7" x14ac:dyDescent="0.2">
      <c r="A170" s="19"/>
      <c r="B170" s="19"/>
      <c r="C170" s="19"/>
      <c r="D170" s="19"/>
      <c r="E170" s="19"/>
      <c r="F170" s="25"/>
      <c r="G170" s="19"/>
    </row>
    <row r="171" spans="1:7" x14ac:dyDescent="0.2">
      <c r="A171" s="19"/>
      <c r="B171" s="19"/>
      <c r="C171" s="19"/>
      <c r="D171" s="19"/>
      <c r="E171" s="19"/>
      <c r="F171" s="25"/>
      <c r="G171" s="19"/>
    </row>
    <row r="172" spans="1:7" x14ac:dyDescent="0.2">
      <c r="A172" s="19"/>
      <c r="B172" s="19"/>
      <c r="C172" s="19"/>
      <c r="D172" s="19"/>
      <c r="E172" s="19"/>
      <c r="F172" s="25"/>
      <c r="G172" s="19"/>
    </row>
    <row r="173" spans="1:7" x14ac:dyDescent="0.2">
      <c r="A173" s="19"/>
      <c r="B173" s="19"/>
      <c r="C173" s="19"/>
      <c r="D173" s="19"/>
      <c r="E173" s="19"/>
      <c r="F173" s="25"/>
      <c r="G173" s="19"/>
    </row>
    <row r="174" spans="1:7" x14ac:dyDescent="0.2">
      <c r="A174" s="19"/>
      <c r="B174" s="19"/>
      <c r="C174" s="19"/>
      <c r="D174" s="19"/>
      <c r="E174" s="19"/>
      <c r="F174" s="25"/>
      <c r="G174" s="19"/>
    </row>
    <row r="175" spans="1:7" x14ac:dyDescent="0.2">
      <c r="A175" s="19"/>
      <c r="B175" s="19"/>
      <c r="C175" s="19"/>
      <c r="D175" s="19"/>
      <c r="E175" s="19"/>
      <c r="F175" s="25"/>
      <c r="G175" s="19"/>
    </row>
    <row r="176" spans="1:7" x14ac:dyDescent="0.2">
      <c r="A176" s="19"/>
      <c r="B176" s="19"/>
      <c r="C176" s="19"/>
      <c r="D176" s="19"/>
      <c r="E176" s="19"/>
      <c r="F176" s="25"/>
      <c r="G176" s="19"/>
    </row>
    <row r="177" spans="1:7" x14ac:dyDescent="0.2">
      <c r="A177" s="19"/>
      <c r="B177" s="19"/>
      <c r="C177" s="19"/>
      <c r="D177" s="19"/>
      <c r="E177" s="19"/>
      <c r="F177" s="25"/>
      <c r="G177" s="19"/>
    </row>
    <row r="178" spans="1:7" x14ac:dyDescent="0.2">
      <c r="A178" s="19"/>
      <c r="B178" s="19"/>
      <c r="C178" s="19"/>
      <c r="D178" s="19"/>
      <c r="E178" s="19"/>
      <c r="F178" s="25"/>
      <c r="G178" s="19"/>
    </row>
    <row r="179" spans="1:7" x14ac:dyDescent="0.2">
      <c r="A179" s="19"/>
      <c r="B179" s="19"/>
      <c r="C179" s="19"/>
      <c r="D179" s="19"/>
      <c r="E179" s="19"/>
      <c r="F179" s="25"/>
      <c r="G179" s="19"/>
    </row>
    <row r="180" spans="1:7" x14ac:dyDescent="0.2">
      <c r="A180" s="19"/>
      <c r="B180" s="19"/>
      <c r="C180" s="19"/>
      <c r="D180" s="19"/>
      <c r="E180" s="19"/>
      <c r="F180" s="25"/>
      <c r="G180" s="19"/>
    </row>
    <row r="181" spans="1:7" x14ac:dyDescent="0.2">
      <c r="A181" s="19"/>
      <c r="B181" s="19"/>
      <c r="C181" s="19"/>
      <c r="D181" s="19"/>
      <c r="E181" s="19"/>
      <c r="F181" s="25"/>
      <c r="G181" s="19"/>
    </row>
    <row r="182" spans="1:7" x14ac:dyDescent="0.2">
      <c r="A182" s="19"/>
      <c r="B182" s="19"/>
      <c r="C182" s="19"/>
      <c r="D182" s="19"/>
      <c r="E182" s="19"/>
      <c r="F182" s="25"/>
      <c r="G182" s="19"/>
    </row>
    <row r="183" spans="1:7" x14ac:dyDescent="0.2">
      <c r="A183" s="19"/>
      <c r="B183" s="19"/>
      <c r="C183" s="19"/>
      <c r="D183" s="19"/>
      <c r="E183" s="19"/>
      <c r="F183" s="25"/>
      <c r="G183" s="19"/>
    </row>
    <row r="184" spans="1:7" x14ac:dyDescent="0.2">
      <c r="A184" s="19"/>
      <c r="B184" s="19"/>
      <c r="C184" s="19"/>
      <c r="D184" s="19"/>
      <c r="E184" s="19"/>
      <c r="F184" s="25"/>
      <c r="G184" s="19"/>
    </row>
    <row r="185" spans="1:7" x14ac:dyDescent="0.2">
      <c r="A185" s="19"/>
      <c r="B185" s="19"/>
      <c r="C185" s="19"/>
      <c r="D185" s="19"/>
      <c r="E185" s="19"/>
      <c r="F185" s="25"/>
      <c r="G185" s="19"/>
    </row>
    <row r="186" spans="1:7" x14ac:dyDescent="0.2">
      <c r="A186" s="19"/>
      <c r="B186" s="19"/>
      <c r="C186" s="19"/>
      <c r="D186" s="19"/>
      <c r="E186" s="19"/>
      <c r="F186" s="25"/>
      <c r="G186" s="19"/>
    </row>
    <row r="187" spans="1:7" x14ac:dyDescent="0.2">
      <c r="A187" s="19"/>
      <c r="B187" s="19"/>
      <c r="C187" s="19"/>
      <c r="D187" s="19"/>
      <c r="E187" s="19"/>
      <c r="F187" s="25"/>
      <c r="G187" s="19"/>
    </row>
    <row r="188" spans="1:7" x14ac:dyDescent="0.2">
      <c r="A188" s="19"/>
      <c r="B188" s="19"/>
      <c r="C188" s="19"/>
      <c r="D188" s="19"/>
      <c r="E188" s="19"/>
      <c r="F188" s="25"/>
      <c r="G188" s="19"/>
    </row>
    <row r="189" spans="1:7" x14ac:dyDescent="0.2">
      <c r="A189" s="19"/>
      <c r="B189" s="19"/>
      <c r="C189" s="19"/>
      <c r="D189" s="19"/>
      <c r="E189" s="19"/>
      <c r="F189" s="25"/>
      <c r="G189" s="19"/>
    </row>
    <row r="190" spans="1:7" x14ac:dyDescent="0.2">
      <c r="A190" s="19"/>
      <c r="B190" s="19"/>
      <c r="C190" s="19"/>
      <c r="D190" s="19"/>
      <c r="E190" s="19"/>
      <c r="F190" s="25"/>
      <c r="G190" s="19"/>
    </row>
    <row r="191" spans="1:7" x14ac:dyDescent="0.2">
      <c r="A191" s="19"/>
      <c r="B191" s="19"/>
      <c r="C191" s="19"/>
      <c r="D191" s="19"/>
      <c r="E191" s="19"/>
      <c r="F191" s="25"/>
      <c r="G191" s="19"/>
    </row>
    <row r="192" spans="1:7" x14ac:dyDescent="0.2">
      <c r="A192" s="19"/>
      <c r="B192" s="19"/>
      <c r="C192" s="19"/>
      <c r="D192" s="19"/>
      <c r="E192" s="19"/>
      <c r="F192" s="25"/>
      <c r="G192" s="19"/>
    </row>
    <row r="193" spans="1:7" x14ac:dyDescent="0.2">
      <c r="A193" s="19"/>
      <c r="B193" s="19"/>
      <c r="C193" s="19"/>
      <c r="D193" s="19"/>
      <c r="E193" s="19"/>
      <c r="F193" s="25"/>
      <c r="G193" s="19"/>
    </row>
    <row r="194" spans="1:7" x14ac:dyDescent="0.2">
      <c r="B194" s="19"/>
    </row>
    <row r="195" spans="1:7" x14ac:dyDescent="0.2">
      <c r="B195" s="19"/>
    </row>
  </sheetData>
  <mergeCells count="8">
    <mergeCell ref="A104:F104"/>
    <mergeCell ref="A1:G1"/>
    <mergeCell ref="A2:G2"/>
    <mergeCell ref="A3:G3"/>
    <mergeCell ref="A4:A6"/>
    <mergeCell ref="B4:C5"/>
    <mergeCell ref="D4:E5"/>
    <mergeCell ref="F4:G5"/>
  </mergeCells>
  <printOptions horizontalCentered="1"/>
  <pageMargins left="0.59055118110236227" right="0.59055118110236227" top="0.70866141732283472" bottom="0.19685039370078741" header="0.31496062992125984" footer="0.51181102362204722"/>
  <pageSetup paperSize="9" firstPageNumber="9" orientation="landscape" useFirstPageNumber="1" r:id="rId1"/>
  <headerFooter alignWithMargins="0">
    <oddHeader>&amp;C&amp;"Arial,обычный"&amp;10 &amp;P</oddHeader>
  </headerFooter>
  <rowBreaks count="2" manualBreakCount="2">
    <brk id="39" max="16383" man="1"/>
    <brk id="71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F105"/>
  <sheetViews>
    <sheetView zoomScaleNormal="100" zoomScaleSheetLayoutView="100" workbookViewId="0">
      <selection sqref="A1:E1"/>
    </sheetView>
  </sheetViews>
  <sheetFormatPr defaultColWidth="10.28515625" defaultRowHeight="12.75" x14ac:dyDescent="0.2"/>
  <cols>
    <col min="1" max="1" width="41.7109375" style="5" customWidth="1"/>
    <col min="2" max="5" width="20.140625" style="5" customWidth="1"/>
    <col min="6" max="16384" width="10.28515625" style="5"/>
  </cols>
  <sheetData>
    <row r="1" spans="1:6" s="26" customFormat="1" ht="15" x14ac:dyDescent="0.25">
      <c r="A1" s="496" t="s">
        <v>108</v>
      </c>
      <c r="B1" s="496"/>
      <c r="C1" s="496"/>
      <c r="D1" s="496"/>
      <c r="E1" s="496"/>
    </row>
    <row r="2" spans="1:6" s="26" customFormat="1" ht="15" x14ac:dyDescent="0.25">
      <c r="A2" s="497" t="s">
        <v>109</v>
      </c>
      <c r="B2" s="497"/>
      <c r="C2" s="497"/>
      <c r="D2" s="497"/>
      <c r="E2" s="497"/>
    </row>
    <row r="3" spans="1:6" x14ac:dyDescent="0.2">
      <c r="A3" s="27"/>
      <c r="B3" s="28"/>
      <c r="C3" s="28"/>
      <c r="D3" s="28"/>
      <c r="E3" s="28"/>
    </row>
    <row r="4" spans="1:6" x14ac:dyDescent="0.2">
      <c r="A4" s="498"/>
      <c r="B4" s="499" t="s">
        <v>343</v>
      </c>
      <c r="C4" s="499"/>
      <c r="D4" s="499" t="s">
        <v>330</v>
      </c>
      <c r="E4" s="499"/>
    </row>
    <row r="5" spans="1:6" ht="25.5" x14ac:dyDescent="0.2">
      <c r="A5" s="498"/>
      <c r="B5" s="192" t="s">
        <v>232</v>
      </c>
      <c r="C5" s="192" t="s">
        <v>110</v>
      </c>
      <c r="D5" s="192" t="s">
        <v>232</v>
      </c>
      <c r="E5" s="192" t="s">
        <v>110</v>
      </c>
    </row>
    <row r="6" spans="1:6" x14ac:dyDescent="0.2">
      <c r="A6" s="200" t="s">
        <v>13</v>
      </c>
      <c r="B6" s="29">
        <v>309230</v>
      </c>
      <c r="C6" s="159">
        <f>ROUND(ТАБ_4!B6/ТАБ_2!B6*100,1)</f>
        <v>20.9</v>
      </c>
      <c r="D6" s="29">
        <v>340364</v>
      </c>
      <c r="E6" s="159">
        <f>ROUND(D6/ТАБ_2!C6*100,1)</f>
        <v>21.2</v>
      </c>
      <c r="F6" s="10"/>
    </row>
    <row r="7" spans="1:6" x14ac:dyDescent="0.2">
      <c r="A7" s="201" t="s">
        <v>14</v>
      </c>
      <c r="B7" s="29">
        <v>66535</v>
      </c>
      <c r="C7" s="159">
        <f>ROUND(ТАБ_4!B7/ТАБ_2!B7*100,1)</f>
        <v>18.100000000000001</v>
      </c>
      <c r="D7" s="29">
        <v>72337</v>
      </c>
      <c r="E7" s="159">
        <f>ROUND(D7/ТАБ_2!C7*100,1)</f>
        <v>18.5</v>
      </c>
      <c r="F7" s="10"/>
    </row>
    <row r="8" spans="1:6" x14ac:dyDescent="0.2">
      <c r="A8" s="202" t="s">
        <v>15</v>
      </c>
      <c r="B8" s="31">
        <v>1802</v>
      </c>
      <c r="C8" s="160">
        <f>ROUND(ТАБ_4!B8/ТАБ_2!B8*100,1)</f>
        <v>13.7</v>
      </c>
      <c r="D8" s="31">
        <v>1909</v>
      </c>
      <c r="E8" s="160">
        <f>ROUND(D8/ТАБ_2!C8*100,1)</f>
        <v>13.3</v>
      </c>
      <c r="F8" s="11"/>
    </row>
    <row r="9" spans="1:6" x14ac:dyDescent="0.2">
      <c r="A9" s="202" t="s">
        <v>16</v>
      </c>
      <c r="B9" s="31">
        <v>1691</v>
      </c>
      <c r="C9" s="160">
        <f>ROUND(ТАБ_4!B9/ТАБ_2!B9*100,1)</f>
        <v>17</v>
      </c>
      <c r="D9" s="31">
        <v>1975</v>
      </c>
      <c r="E9" s="160">
        <f>ROUND(D9/ТАБ_2!C9*100,1)</f>
        <v>17.7</v>
      </c>
      <c r="F9" s="11"/>
    </row>
    <row r="10" spans="1:6" x14ac:dyDescent="0.2">
      <c r="A10" s="202" t="s">
        <v>17</v>
      </c>
      <c r="B10" s="135">
        <v>2175</v>
      </c>
      <c r="C10" s="160">
        <f>ROUND(ТАБ_4!B10/ТАБ_2!B10*100,1)</f>
        <v>19.600000000000001</v>
      </c>
      <c r="D10" s="135">
        <v>2486</v>
      </c>
      <c r="E10" s="160">
        <f>ROUND(D10/ТАБ_2!C10*100,1)</f>
        <v>19.600000000000001</v>
      </c>
      <c r="F10" s="11"/>
    </row>
    <row r="11" spans="1:6" x14ac:dyDescent="0.2">
      <c r="A11" s="202" t="s">
        <v>18</v>
      </c>
      <c r="B11" s="135">
        <v>3144</v>
      </c>
      <c r="C11" s="160">
        <f>ROUND(ТАБ_4!B11/ТАБ_2!B11*100,1)</f>
        <v>16.100000000000001</v>
      </c>
      <c r="D11" s="135">
        <v>3353</v>
      </c>
      <c r="E11" s="160">
        <f>ROUND(D11/ТАБ_2!C11*100,1)</f>
        <v>15.6</v>
      </c>
      <c r="F11" s="11"/>
    </row>
    <row r="12" spans="1:6" x14ac:dyDescent="0.2">
      <c r="A12" s="202" t="s">
        <v>19</v>
      </c>
      <c r="B12" s="135">
        <v>1691</v>
      </c>
      <c r="C12" s="160">
        <f>ROUND(ТАБ_4!B12/ТАБ_2!B12*100,1)</f>
        <v>21.3</v>
      </c>
      <c r="D12" s="135">
        <v>1910</v>
      </c>
      <c r="E12" s="160">
        <f>ROUND(D12/ТАБ_2!C12*100,1)</f>
        <v>20.9</v>
      </c>
      <c r="F12" s="11"/>
    </row>
    <row r="13" spans="1:6" x14ac:dyDescent="0.2">
      <c r="A13" s="202" t="s">
        <v>20</v>
      </c>
      <c r="B13" s="135">
        <v>1821</v>
      </c>
      <c r="C13" s="160">
        <f>ROUND(ТАБ_4!B13/ТАБ_2!B13*100,1)</f>
        <v>20.399999999999999</v>
      </c>
      <c r="D13" s="135">
        <v>2048</v>
      </c>
      <c r="E13" s="160">
        <f>ROUND(D13/ТАБ_2!C13*100,1)</f>
        <v>19.8</v>
      </c>
      <c r="F13" s="11"/>
    </row>
    <row r="14" spans="1:6" x14ac:dyDescent="0.2">
      <c r="A14" s="203" t="s">
        <v>21</v>
      </c>
      <c r="B14" s="135">
        <v>1079</v>
      </c>
      <c r="C14" s="160">
        <f>ROUND(ТАБ_4!B14/ТАБ_2!B14*100,1)</f>
        <v>18.7</v>
      </c>
      <c r="D14" s="135">
        <v>1108</v>
      </c>
      <c r="E14" s="160">
        <f>ROUND(D14/ТАБ_2!C14*100,1)</f>
        <v>17.8</v>
      </c>
      <c r="F14" s="11"/>
    </row>
    <row r="15" spans="1:6" x14ac:dyDescent="0.2">
      <c r="A15" s="202" t="s">
        <v>22</v>
      </c>
      <c r="B15" s="135">
        <v>1655</v>
      </c>
      <c r="C15" s="160">
        <f>ROUND(ТАБ_4!B15/ТАБ_2!B15*100,1)</f>
        <v>17.899999999999999</v>
      </c>
      <c r="D15" s="135">
        <v>1818</v>
      </c>
      <c r="E15" s="160">
        <f>ROUND(D15/ТАБ_2!C15*100,1)</f>
        <v>17.7</v>
      </c>
      <c r="F15" s="11"/>
    </row>
    <row r="16" spans="1:6" x14ac:dyDescent="0.2">
      <c r="A16" s="202" t="s">
        <v>23</v>
      </c>
      <c r="B16" s="31">
        <v>1614</v>
      </c>
      <c r="C16" s="160">
        <f>ROUND(ТАБ_4!B16/ТАБ_2!B16*100,1)</f>
        <v>16.5</v>
      </c>
      <c r="D16" s="31">
        <v>1832</v>
      </c>
      <c r="E16" s="160">
        <f>ROUND(D16/ТАБ_2!C16*100,1)</f>
        <v>16.8</v>
      </c>
      <c r="F16" s="11"/>
    </row>
    <row r="17" spans="1:6" x14ac:dyDescent="0.2">
      <c r="A17" s="202" t="s">
        <v>24</v>
      </c>
      <c r="B17" s="31">
        <v>13508</v>
      </c>
      <c r="C17" s="160">
        <f>ROUND(ТАБ_4!B17/ТАБ_2!B17*100,1)</f>
        <v>18.600000000000001</v>
      </c>
      <c r="D17" s="31">
        <v>16044</v>
      </c>
      <c r="E17" s="160">
        <f>ROUND(D17/ТАБ_2!C17*100,1)</f>
        <v>19.3</v>
      </c>
      <c r="F17" s="11"/>
    </row>
    <row r="18" spans="1:6" x14ac:dyDescent="0.2">
      <c r="A18" s="202" t="s">
        <v>25</v>
      </c>
      <c r="B18" s="31">
        <v>1132</v>
      </c>
      <c r="C18" s="160">
        <f>ROUND(ТАБ_4!B18/ТАБ_2!B18*100,1)</f>
        <v>19</v>
      </c>
      <c r="D18" s="31">
        <v>1242</v>
      </c>
      <c r="E18" s="160">
        <f>ROUND(D18/ТАБ_2!C18*100,1)</f>
        <v>18.5</v>
      </c>
      <c r="F18" s="11"/>
    </row>
    <row r="19" spans="1:6" x14ac:dyDescent="0.2">
      <c r="A19" s="203" t="s">
        <v>26</v>
      </c>
      <c r="B19" s="31">
        <v>1640</v>
      </c>
      <c r="C19" s="160">
        <f>ROUND(ТАБ_4!B19/ТАБ_2!B19*100,1)</f>
        <v>17.8</v>
      </c>
      <c r="D19" s="31">
        <v>1723</v>
      </c>
      <c r="E19" s="160">
        <f>ROUND(D19/ТАБ_2!C19*100,1)</f>
        <v>16.8</v>
      </c>
      <c r="F19" s="11"/>
    </row>
    <row r="20" spans="1:6" x14ac:dyDescent="0.2">
      <c r="A20" s="202" t="s">
        <v>27</v>
      </c>
      <c r="B20" s="31">
        <v>1539</v>
      </c>
      <c r="C20" s="160">
        <f>ROUND(ТАБ_4!B20/ТАБ_2!B20*100,1)</f>
        <v>21.7</v>
      </c>
      <c r="D20" s="31">
        <v>1734</v>
      </c>
      <c r="E20" s="160">
        <f>ROUND(D20/ТАБ_2!C20*100,1)</f>
        <v>22.2</v>
      </c>
      <c r="F20" s="11"/>
    </row>
    <row r="21" spans="1:6" x14ac:dyDescent="0.2">
      <c r="A21" s="202" t="s">
        <v>28</v>
      </c>
      <c r="B21" s="31">
        <v>776</v>
      </c>
      <c r="C21" s="160">
        <f>ROUND(ТАБ_4!B21/ТАБ_2!B21*100,1)</f>
        <v>10</v>
      </c>
      <c r="D21" s="31">
        <v>1513</v>
      </c>
      <c r="E21" s="160">
        <f>ROUND(D21/ТАБ_2!C21*100,1)</f>
        <v>18.3</v>
      </c>
      <c r="F21" s="11"/>
    </row>
    <row r="22" spans="1:6" x14ac:dyDescent="0.2">
      <c r="A22" s="202" t="s">
        <v>29</v>
      </c>
      <c r="B22" s="31">
        <v>2288</v>
      </c>
      <c r="C22" s="160">
        <f>ROUND(ТАБ_4!B22/ТАБ_2!B22*100,1)</f>
        <v>21.4</v>
      </c>
      <c r="D22" s="31">
        <v>2449</v>
      </c>
      <c r="E22" s="160">
        <f>ROUND(D22/ТАБ_2!C22*100,1)</f>
        <v>21.1</v>
      </c>
      <c r="F22" s="11"/>
    </row>
    <row r="23" spans="1:6" x14ac:dyDescent="0.2">
      <c r="A23" s="202" t="s">
        <v>30</v>
      </c>
      <c r="B23" s="31">
        <v>2160</v>
      </c>
      <c r="C23" s="160">
        <f>ROUND(ТАБ_4!B23/ТАБ_2!B23*100,1)</f>
        <v>19.2</v>
      </c>
      <c r="D23" s="31">
        <v>2597</v>
      </c>
      <c r="E23" s="160">
        <f>ROUND(D23/ТАБ_2!C23*100,1)</f>
        <v>21.1</v>
      </c>
      <c r="F23" s="11"/>
    </row>
    <row r="24" spans="1:6" x14ac:dyDescent="0.2">
      <c r="A24" s="202" t="s">
        <v>31</v>
      </c>
      <c r="B24" s="31">
        <v>2314</v>
      </c>
      <c r="C24" s="160">
        <f>ROUND(ТАБ_4!B24/ТАБ_2!B24*100,1)</f>
        <v>20.7</v>
      </c>
      <c r="D24" s="31">
        <v>2226</v>
      </c>
      <c r="E24" s="160">
        <f>ROUND(D24/ТАБ_2!C24*100,1)</f>
        <v>18</v>
      </c>
      <c r="F24" s="11"/>
    </row>
    <row r="25" spans="1:6" x14ac:dyDescent="0.2">
      <c r="A25" s="202" t="s">
        <v>32</v>
      </c>
      <c r="B25" s="135">
        <v>24506</v>
      </c>
      <c r="C25" s="160">
        <f>ROUND(ТАБ_4!B25/ТАБ_2!B25*100,1)</f>
        <v>18.100000000000001</v>
      </c>
      <c r="D25" s="135">
        <v>24370</v>
      </c>
      <c r="E25" s="160">
        <f>ROUND(D25/ТАБ_2!C25*100,1)</f>
        <v>18.399999999999999</v>
      </c>
      <c r="F25" s="11"/>
    </row>
    <row r="26" spans="1:6" x14ac:dyDescent="0.2">
      <c r="A26" s="204" t="s">
        <v>33</v>
      </c>
      <c r="B26" s="32">
        <v>27971</v>
      </c>
      <c r="C26" s="159">
        <f>ROUND(ТАБ_4!B26/ТАБ_2!B26*100,1)</f>
        <v>20.9</v>
      </c>
      <c r="D26" s="32">
        <v>30273</v>
      </c>
      <c r="E26" s="159">
        <f>ROUND(D26/ТАБ_2!C26*100,1)</f>
        <v>20.8</v>
      </c>
      <c r="F26" s="10"/>
    </row>
    <row r="27" spans="1:6" x14ac:dyDescent="0.2">
      <c r="A27" s="202" t="s">
        <v>34</v>
      </c>
      <c r="B27" s="31">
        <v>1311</v>
      </c>
      <c r="C27" s="160">
        <f>ROUND(ТАБ_4!B27/ТАБ_2!B27*100,1)</f>
        <v>23.9</v>
      </c>
      <c r="D27" s="31">
        <v>1336</v>
      </c>
      <c r="E27" s="160">
        <f>ROUND(D27/ТАБ_2!C27*100,1)</f>
        <v>22.1</v>
      </c>
      <c r="F27" s="11"/>
    </row>
    <row r="28" spans="1:6" x14ac:dyDescent="0.2">
      <c r="A28" s="202" t="s">
        <v>35</v>
      </c>
      <c r="B28" s="31">
        <v>2303</v>
      </c>
      <c r="C28" s="160">
        <f>ROUND(ТАБ_4!B28/ТАБ_2!B28*100,1)</f>
        <v>29.1</v>
      </c>
      <c r="D28" s="31">
        <v>2472</v>
      </c>
      <c r="E28" s="160">
        <f>ROUND(D28/ТАБ_2!C28*100,1)</f>
        <v>28.9</v>
      </c>
      <c r="F28" s="11"/>
    </row>
    <row r="29" spans="1:6" x14ac:dyDescent="0.2">
      <c r="A29" s="202" t="s">
        <v>36</v>
      </c>
      <c r="B29" s="31">
        <v>2603</v>
      </c>
      <c r="C29" s="160">
        <f>ROUND(ТАБ_4!B29/ТАБ_2!B29*100,1)</f>
        <v>25.5</v>
      </c>
      <c r="D29" s="31">
        <v>2962</v>
      </c>
      <c r="E29" s="160">
        <f>ROUND(D29/ТАБ_2!C29*100,1)</f>
        <v>26.3</v>
      </c>
      <c r="F29" s="11"/>
    </row>
    <row r="30" spans="1:6" x14ac:dyDescent="0.2">
      <c r="A30" s="202" t="s">
        <v>37</v>
      </c>
      <c r="B30" s="31">
        <v>221</v>
      </c>
      <c r="C30" s="160">
        <f>ROUND(ТАБ_4!B30/ТАБ_2!B30*100,1)</f>
        <v>37.799999999999997</v>
      </c>
      <c r="D30" s="31">
        <v>248</v>
      </c>
      <c r="E30" s="160">
        <f>ROUND(D30/ТАБ_2!C30*100,1)</f>
        <v>40.1</v>
      </c>
      <c r="F30" s="11"/>
    </row>
    <row r="31" spans="1:6" x14ac:dyDescent="0.2">
      <c r="A31" s="205" t="s">
        <v>287</v>
      </c>
      <c r="B31" s="31">
        <v>2382</v>
      </c>
      <c r="C31" s="160">
        <f>ROUND(ТАБ_4!B31/ТАБ_2!B31*100,1)</f>
        <v>24.7</v>
      </c>
      <c r="D31" s="31">
        <v>2714</v>
      </c>
      <c r="E31" s="160">
        <f>ROUND(D31/ТАБ_2!C31*100,1)</f>
        <v>25.5</v>
      </c>
      <c r="F31" s="11"/>
    </row>
    <row r="32" spans="1:6" x14ac:dyDescent="0.2">
      <c r="A32" s="202" t="s">
        <v>38</v>
      </c>
      <c r="B32" s="31">
        <v>2860</v>
      </c>
      <c r="C32" s="160">
        <f>ROUND(ТАБ_4!B32/ТАБ_2!B32*100,1)</f>
        <v>25.6</v>
      </c>
      <c r="D32" s="31">
        <v>3216</v>
      </c>
      <c r="E32" s="160">
        <f>ROUND(D32/ТАБ_2!C32*100,1)</f>
        <v>26.1</v>
      </c>
      <c r="F32" s="11"/>
    </row>
    <row r="33" spans="1:6" x14ac:dyDescent="0.2">
      <c r="A33" s="202" t="s">
        <v>39</v>
      </c>
      <c r="B33" s="31">
        <v>1785</v>
      </c>
      <c r="C33" s="160">
        <f>ROUND(ТАБ_4!B33/ТАБ_2!B33*100,1)</f>
        <v>19.2</v>
      </c>
      <c r="D33" s="31">
        <v>1927</v>
      </c>
      <c r="E33" s="160">
        <f>ROUND(D33/ТАБ_2!C33*100,1)</f>
        <v>18.7</v>
      </c>
      <c r="F33" s="11"/>
    </row>
    <row r="34" spans="1:6" x14ac:dyDescent="0.2">
      <c r="A34" s="202" t="s">
        <v>40</v>
      </c>
      <c r="B34" s="31">
        <v>2965</v>
      </c>
      <c r="C34" s="160">
        <f>ROUND(ТАБ_4!B34/ТАБ_2!B34*100,1)</f>
        <v>22</v>
      </c>
      <c r="D34" s="31">
        <v>2978</v>
      </c>
      <c r="E34" s="160">
        <f>ROUND(D34/ТАБ_2!C34*100,1)</f>
        <v>21.3</v>
      </c>
      <c r="F34" s="11"/>
    </row>
    <row r="35" spans="1:6" x14ac:dyDescent="0.2">
      <c r="A35" s="202" t="s">
        <v>41</v>
      </c>
      <c r="B35" s="31">
        <v>1200</v>
      </c>
      <c r="C35" s="160">
        <f>ROUND(ТАБ_4!B35/ТАБ_2!B35*100,1)</f>
        <v>18</v>
      </c>
      <c r="D35" s="31">
        <v>1435</v>
      </c>
      <c r="E35" s="160">
        <f>ROUND(D35/ТАБ_2!C35*100,1)</f>
        <v>19.5</v>
      </c>
      <c r="F35" s="11"/>
    </row>
    <row r="36" spans="1:6" x14ac:dyDescent="0.2">
      <c r="A36" s="202" t="s">
        <v>42</v>
      </c>
      <c r="B36" s="31">
        <v>1186</v>
      </c>
      <c r="C36" s="160">
        <f>ROUND(ТАБ_4!B36/ТАБ_2!B36*100,1)</f>
        <v>22.9</v>
      </c>
      <c r="D36" s="31">
        <v>1245</v>
      </c>
      <c r="E36" s="160">
        <f>ROUND(D36/ТАБ_2!C36*100,1)</f>
        <v>21.3</v>
      </c>
      <c r="F36" s="11"/>
    </row>
    <row r="37" spans="1:6" x14ac:dyDescent="0.2">
      <c r="A37" s="202" t="s">
        <v>43</v>
      </c>
      <c r="B37" s="31">
        <v>1176</v>
      </c>
      <c r="C37" s="160">
        <f>ROUND(ТАБ_4!B37/ТАБ_2!B37*100,1)</f>
        <v>22.2</v>
      </c>
      <c r="D37" s="31">
        <v>1366</v>
      </c>
      <c r="E37" s="160">
        <f>ROUND(D37/ТАБ_2!C37*100,1)</f>
        <v>23.3</v>
      </c>
      <c r="F37" s="11"/>
    </row>
    <row r="38" spans="1:6" x14ac:dyDescent="0.2">
      <c r="A38" s="202" t="s">
        <v>44</v>
      </c>
      <c r="B38" s="31">
        <v>10582</v>
      </c>
      <c r="C38" s="160">
        <f>ROUND(ТАБ_4!B38/ТАБ_2!B38*100,1)</f>
        <v>18</v>
      </c>
      <c r="D38" s="31">
        <v>11336</v>
      </c>
      <c r="E38" s="160">
        <f>ROUND(D38/ТАБ_2!C38*100,1)</f>
        <v>17.7</v>
      </c>
      <c r="F38" s="11"/>
    </row>
    <row r="39" spans="1:6" x14ac:dyDescent="0.2">
      <c r="A39" s="206" t="s">
        <v>45</v>
      </c>
      <c r="B39" s="324">
        <v>31360</v>
      </c>
      <c r="C39" s="325">
        <f>ROUND(ТАБ_4!B39/ТАБ_2!B39*100,1)</f>
        <v>19.399999999999999</v>
      </c>
      <c r="D39" s="324">
        <v>33373</v>
      </c>
      <c r="E39" s="325">
        <f>ROUND(D39/ТАБ_2!C39*100,1)</f>
        <v>19.3</v>
      </c>
      <c r="F39" s="10"/>
    </row>
    <row r="40" spans="1:6" x14ac:dyDescent="0.2">
      <c r="A40" s="202" t="s">
        <v>46</v>
      </c>
      <c r="B40" s="31">
        <v>730</v>
      </c>
      <c r="C40" s="160">
        <f>ROUND(ТАБ_4!B40/ТАБ_2!B40*100,1)</f>
        <v>17.399999999999999</v>
      </c>
      <c r="D40" s="31">
        <v>790</v>
      </c>
      <c r="E40" s="160">
        <f>ROUND(D40/ТАБ_2!C40*100,1)</f>
        <v>17.5</v>
      </c>
      <c r="F40" s="11"/>
    </row>
    <row r="41" spans="1:6" x14ac:dyDescent="0.2">
      <c r="A41" s="202" t="s">
        <v>47</v>
      </c>
      <c r="B41" s="31">
        <v>562</v>
      </c>
      <c r="C41" s="160">
        <f>ROUND(ТАБ_4!B41/ТАБ_2!B41*100,1)</f>
        <v>20</v>
      </c>
      <c r="D41" s="31">
        <v>594</v>
      </c>
      <c r="E41" s="160">
        <f>ROUND(D41/ТАБ_2!C41*100,1)</f>
        <v>19.399999999999999</v>
      </c>
      <c r="F41" s="11"/>
    </row>
    <row r="42" spans="1:6" x14ac:dyDescent="0.2">
      <c r="A42" s="202" t="s">
        <v>202</v>
      </c>
      <c r="B42" s="31">
        <v>3400</v>
      </c>
      <c r="C42" s="162">
        <f>ROUND(ТАБ_4!B42/ТАБ_2!B42*100,1)</f>
        <v>17.8</v>
      </c>
      <c r="D42" s="31">
        <v>3743</v>
      </c>
      <c r="E42" s="162">
        <f>ROUND(D42/ТАБ_2!C42*100,1)</f>
        <v>18.399999999999999</v>
      </c>
      <c r="F42" s="11"/>
    </row>
    <row r="43" spans="1:6" x14ac:dyDescent="0.2">
      <c r="A43" s="202" t="s">
        <v>48</v>
      </c>
      <c r="B43" s="135">
        <v>11393</v>
      </c>
      <c r="C43" s="160">
        <f>ROUND(ТАБ_4!B43/ТАБ_2!B43*100,1)</f>
        <v>18.600000000000001</v>
      </c>
      <c r="D43" s="135">
        <v>11639</v>
      </c>
      <c r="E43" s="160">
        <f>ROUND(D43/ТАБ_2!C43*100,1)</f>
        <v>18</v>
      </c>
      <c r="F43" s="11"/>
    </row>
    <row r="44" spans="1:6" x14ac:dyDescent="0.2">
      <c r="A44" s="202" t="s">
        <v>49</v>
      </c>
      <c r="B44" s="31">
        <v>2362</v>
      </c>
      <c r="C44" s="160">
        <f>ROUND(ТАБ_4!B44/ТАБ_2!B44*100,1)</f>
        <v>21.5</v>
      </c>
      <c r="D44" s="31">
        <v>2506</v>
      </c>
      <c r="E44" s="160">
        <f>ROUND(D44/ТАБ_2!C44*100,1)</f>
        <v>21.3</v>
      </c>
      <c r="F44" s="11"/>
    </row>
    <row r="45" spans="1:6" x14ac:dyDescent="0.2">
      <c r="A45" s="202" t="s">
        <v>50</v>
      </c>
      <c r="B45" s="31">
        <v>4811</v>
      </c>
      <c r="C45" s="160">
        <f>ROUND(ТАБ_4!B45/ТАБ_2!B45*100,1)</f>
        <v>22.9</v>
      </c>
      <c r="D45" s="31">
        <v>5326</v>
      </c>
      <c r="E45" s="160">
        <f>ROUND(D45/ТАБ_2!C45*100,1)</f>
        <v>22.6</v>
      </c>
      <c r="F45" s="11"/>
    </row>
    <row r="46" spans="1:6" x14ac:dyDescent="0.2">
      <c r="A46" s="202" t="s">
        <v>51</v>
      </c>
      <c r="B46" s="31">
        <v>7433</v>
      </c>
      <c r="C46" s="160">
        <f>ROUND(ТАБ_4!B46/ТАБ_2!B46*100,1)</f>
        <v>19.7</v>
      </c>
      <c r="D46" s="31">
        <v>8096</v>
      </c>
      <c r="E46" s="160">
        <f>ROUND(D46/ТАБ_2!C46*100,1)</f>
        <v>19.7</v>
      </c>
      <c r="F46" s="11"/>
    </row>
    <row r="47" spans="1:6" x14ac:dyDescent="0.2">
      <c r="A47" s="202" t="s">
        <v>204</v>
      </c>
      <c r="B47" s="31">
        <v>669</v>
      </c>
      <c r="C47" s="160">
        <f>ROUND(ТАБ_4!B47/ТАБ_2!B47*100,1)</f>
        <v>15.6</v>
      </c>
      <c r="D47" s="31">
        <v>679</v>
      </c>
      <c r="E47" s="160">
        <f>ROUND(D47/ТАБ_2!C47*100,1)</f>
        <v>15.2</v>
      </c>
      <c r="F47" s="11"/>
    </row>
    <row r="48" spans="1:6" x14ac:dyDescent="0.2">
      <c r="A48" s="207" t="s">
        <v>52</v>
      </c>
      <c r="B48" s="32">
        <v>27207</v>
      </c>
      <c r="C48" s="161">
        <f>ROUND(ТАБ_4!B48/ТАБ_2!B48*100,1)</f>
        <v>20.100000000000001</v>
      </c>
      <c r="D48" s="32">
        <v>34456</v>
      </c>
      <c r="E48" s="161">
        <f>ROUND(D48/ТАБ_2!C48*100,1)</f>
        <v>24.3</v>
      </c>
      <c r="F48" s="10"/>
    </row>
    <row r="49" spans="1:6" x14ac:dyDescent="0.2">
      <c r="A49" s="202" t="s">
        <v>53</v>
      </c>
      <c r="B49" s="31">
        <v>10280</v>
      </c>
      <c r="C49" s="160">
        <f>ROUND(ТАБ_4!B49/ТАБ_2!B49*100,1)</f>
        <v>22.4</v>
      </c>
      <c r="D49" s="31">
        <v>10046</v>
      </c>
      <c r="E49" s="160">
        <f>ROUND(D49/ТАБ_2!C49*100,1)</f>
        <v>20.9</v>
      </c>
      <c r="F49" s="11"/>
    </row>
    <row r="50" spans="1:6" x14ac:dyDescent="0.2">
      <c r="A50" s="202" t="s">
        <v>54</v>
      </c>
      <c r="B50" s="31">
        <v>820</v>
      </c>
      <c r="C50" s="160">
        <f>ROUND(ТАБ_4!B50/ТАБ_2!B50*100,1)</f>
        <v>9.9</v>
      </c>
      <c r="D50" s="31">
        <v>1038</v>
      </c>
      <c r="E50" s="160">
        <f>ROUND(D50/ТАБ_2!C50*100,1)</f>
        <v>12.9</v>
      </c>
      <c r="F50" s="11"/>
    </row>
    <row r="51" spans="1:6" x14ac:dyDescent="0.2">
      <c r="A51" s="202" t="s">
        <v>55</v>
      </c>
      <c r="B51" s="31">
        <v>958</v>
      </c>
      <c r="C51" s="160">
        <f>ROUND(ТАБ_4!B51/ТАБ_2!B51*100,1)</f>
        <v>9.6</v>
      </c>
      <c r="D51" s="31">
        <v>1105</v>
      </c>
      <c r="E51" s="160">
        <f>ROUND(D51/ТАБ_2!C51*100,1)</f>
        <v>10.199999999999999</v>
      </c>
      <c r="F51" s="11"/>
    </row>
    <row r="52" spans="1:6" x14ac:dyDescent="0.2">
      <c r="A52" s="202" t="s">
        <v>56</v>
      </c>
      <c r="B52" s="31">
        <v>698</v>
      </c>
      <c r="C52" s="160">
        <f>ROUND(ТАБ_4!B52/ТАБ_2!B52*100,1)</f>
        <v>13.8</v>
      </c>
      <c r="D52" s="31">
        <v>804</v>
      </c>
      <c r="E52" s="160">
        <f>ROUND(D52/ТАБ_2!C52*100,1)</f>
        <v>16.100000000000001</v>
      </c>
      <c r="F52" s="11"/>
    </row>
    <row r="53" spans="1:6" x14ac:dyDescent="0.2">
      <c r="A53" s="202" t="s">
        <v>57</v>
      </c>
      <c r="B53" s="31">
        <v>2129</v>
      </c>
      <c r="C53" s="160">
        <f>ROUND(ТАБ_4!B53/ТАБ_2!B53*100,1)</f>
        <v>24.8</v>
      </c>
      <c r="D53" s="31">
        <v>2245</v>
      </c>
      <c r="E53" s="160">
        <f>ROUND(D53/ТАБ_2!C53*100,1)</f>
        <v>24.5</v>
      </c>
      <c r="F53" s="11"/>
    </row>
    <row r="54" spans="1:6" x14ac:dyDescent="0.2">
      <c r="A54" s="202" t="s">
        <v>58</v>
      </c>
      <c r="B54" s="31">
        <v>6343</v>
      </c>
      <c r="C54" s="160">
        <f>ROUND(ТАБ_4!B54/ТАБ_2!B54*100,1)</f>
        <v>21.3</v>
      </c>
      <c r="D54" s="31">
        <v>12520</v>
      </c>
      <c r="E54" s="160">
        <f>ROUND(D54/ТАБ_2!C54*100,1)</f>
        <v>41.8</v>
      </c>
      <c r="F54" s="11"/>
    </row>
    <row r="55" spans="1:6" x14ac:dyDescent="0.2">
      <c r="A55" s="202" t="s">
        <v>59</v>
      </c>
      <c r="B55" s="31">
        <v>5979</v>
      </c>
      <c r="C55" s="160">
        <f>ROUND(ТАБ_4!B55/ТАБ_2!B55*100,1)</f>
        <v>21.4</v>
      </c>
      <c r="D55" s="31">
        <v>6698</v>
      </c>
      <c r="E55" s="160">
        <f>ROUND(D55/ТАБ_2!C55*100,1)</f>
        <v>21.8</v>
      </c>
      <c r="F55" s="11"/>
    </row>
    <row r="56" spans="1:6" x14ac:dyDescent="0.2">
      <c r="A56" s="201" t="s">
        <v>60</v>
      </c>
      <c r="B56" s="32">
        <v>53356</v>
      </c>
      <c r="C56" s="159">
        <f>ROUND(ТАБ_4!B56/ТАБ_2!B56*100,1)</f>
        <v>19</v>
      </c>
      <c r="D56" s="32">
        <v>59009</v>
      </c>
      <c r="E56" s="159">
        <f>ROUND(D56/ТАБ_2!C56*100,1)</f>
        <v>18.899999999999999</v>
      </c>
      <c r="F56" s="10"/>
    </row>
    <row r="57" spans="1:6" x14ac:dyDescent="0.2">
      <c r="A57" s="202" t="s">
        <v>61</v>
      </c>
      <c r="B57" s="31">
        <v>7095</v>
      </c>
      <c r="C57" s="160">
        <f>ROUND(ТАБ_4!B57/ТАБ_2!B57*100,1)</f>
        <v>17</v>
      </c>
      <c r="D57" s="31">
        <v>7942</v>
      </c>
      <c r="E57" s="160">
        <f>ROUND(D57/ТАБ_2!C57*100,1)</f>
        <v>16.899999999999999</v>
      </c>
      <c r="F57" s="11"/>
    </row>
    <row r="58" spans="1:6" x14ac:dyDescent="0.2">
      <c r="A58" s="202" t="s">
        <v>62</v>
      </c>
      <c r="B58" s="31">
        <v>1558</v>
      </c>
      <c r="C58" s="160">
        <f>ROUND(ТАБ_4!B58/ТАБ_2!B58*100,1)</f>
        <v>23.3</v>
      </c>
      <c r="D58" s="31">
        <v>1700</v>
      </c>
      <c r="E58" s="160">
        <f>ROUND(D58/ТАБ_2!C58*100,1)</f>
        <v>23</v>
      </c>
      <c r="F58" s="11"/>
    </row>
    <row r="59" spans="1:6" x14ac:dyDescent="0.2">
      <c r="A59" s="202" t="s">
        <v>63</v>
      </c>
      <c r="B59" s="31">
        <v>931</v>
      </c>
      <c r="C59" s="160">
        <f>ROUND(ТАБ_4!B59/ТАБ_2!B59*100,1)</f>
        <v>15.7</v>
      </c>
      <c r="D59" s="31">
        <v>1501</v>
      </c>
      <c r="E59" s="160">
        <f>ROUND(D59/ТАБ_2!C59*100,1)</f>
        <v>22.6</v>
      </c>
      <c r="F59" s="11"/>
    </row>
    <row r="60" spans="1:6" x14ac:dyDescent="0.2">
      <c r="A60" s="202" t="s">
        <v>64</v>
      </c>
      <c r="B60" s="31">
        <v>6657</v>
      </c>
      <c r="C60" s="160">
        <f>ROUND(ТАБ_4!B60/ТАБ_2!B60*100,1)</f>
        <v>15.6</v>
      </c>
      <c r="D60" s="31">
        <v>7249</v>
      </c>
      <c r="E60" s="160">
        <f>ROUND(D60/ТАБ_2!C60*100,1)</f>
        <v>15.7</v>
      </c>
      <c r="F60" s="11"/>
    </row>
    <row r="61" spans="1:6" x14ac:dyDescent="0.2">
      <c r="A61" s="202" t="s">
        <v>65</v>
      </c>
      <c r="B61" s="31">
        <v>3360</v>
      </c>
      <c r="C61" s="160">
        <f>ROUND(ТАБ_4!B61/ТАБ_2!B61*100,1)</f>
        <v>23</v>
      </c>
      <c r="D61" s="31">
        <v>3629</v>
      </c>
      <c r="E61" s="160">
        <f>ROUND(D61/ТАБ_2!C61*100,1)</f>
        <v>22.1</v>
      </c>
      <c r="F61" s="11"/>
    </row>
    <row r="62" spans="1:6" x14ac:dyDescent="0.2">
      <c r="A62" s="202" t="s">
        <v>66</v>
      </c>
      <c r="B62" s="31">
        <v>2183</v>
      </c>
      <c r="C62" s="160">
        <f>ROUND(ТАБ_4!B62/ТАБ_2!B62*100,1)</f>
        <v>18.8</v>
      </c>
      <c r="D62" s="31">
        <v>2498</v>
      </c>
      <c r="E62" s="160">
        <f>ROUND(D62/ТАБ_2!C62*100,1)</f>
        <v>19.100000000000001</v>
      </c>
      <c r="F62" s="11"/>
    </row>
    <row r="63" spans="1:6" x14ac:dyDescent="0.2">
      <c r="A63" s="202" t="s">
        <v>67</v>
      </c>
      <c r="B63" s="31">
        <v>7584</v>
      </c>
      <c r="C63" s="160">
        <f>ROUND(ТАБ_4!B63/ТАБ_2!B63*100,1)</f>
        <v>28.5</v>
      </c>
      <c r="D63" s="31">
        <v>8220</v>
      </c>
      <c r="E63" s="160">
        <f>ROUND(D63/ТАБ_2!C63*100,1)</f>
        <v>27.8</v>
      </c>
      <c r="F63" s="11"/>
    </row>
    <row r="64" spans="1:6" x14ac:dyDescent="0.2">
      <c r="A64" s="202" t="s">
        <v>68</v>
      </c>
      <c r="B64" s="31">
        <v>2621</v>
      </c>
      <c r="C64" s="160">
        <f>ROUND(ТАБ_4!B64/ТАБ_2!B64*100,1)</f>
        <v>23.4</v>
      </c>
      <c r="D64" s="31">
        <v>2968</v>
      </c>
      <c r="E64" s="160">
        <f>ROUND(D64/ТАБ_2!C64*100,1)</f>
        <v>23.5</v>
      </c>
      <c r="F64" s="11"/>
    </row>
    <row r="65" spans="1:6" x14ac:dyDescent="0.2">
      <c r="A65" s="202" t="s">
        <v>69</v>
      </c>
      <c r="B65" s="31">
        <v>4692</v>
      </c>
      <c r="C65" s="160">
        <f>ROUND(ТАБ_4!B65/ТАБ_2!B65*100,1)</f>
        <v>16.3</v>
      </c>
      <c r="D65" s="31">
        <v>5093</v>
      </c>
      <c r="E65" s="160">
        <f>ROUND(D65/ТАБ_2!C65*100,1)</f>
        <v>15.9</v>
      </c>
      <c r="F65" s="11"/>
    </row>
    <row r="66" spans="1:6" x14ac:dyDescent="0.2">
      <c r="A66" s="202" t="s">
        <v>70</v>
      </c>
      <c r="B66" s="31">
        <v>3910</v>
      </c>
      <c r="C66" s="160">
        <f>ROUND(ТАБ_4!B66/ТАБ_2!B66*100,1)</f>
        <v>19.899999999999999</v>
      </c>
      <c r="D66" s="31">
        <v>4156</v>
      </c>
      <c r="E66" s="160">
        <f>ROUND(D66/ТАБ_2!C66*100,1)</f>
        <v>19.100000000000001</v>
      </c>
      <c r="F66" s="11"/>
    </row>
    <row r="67" spans="1:6" x14ac:dyDescent="0.2">
      <c r="A67" s="202" t="s">
        <v>71</v>
      </c>
      <c r="B67" s="31">
        <v>1402</v>
      </c>
      <c r="C67" s="160">
        <f>ROUND(ТАБ_4!B67/ТАБ_2!B67*100,1)</f>
        <v>13.6</v>
      </c>
      <c r="D67" s="31">
        <v>1483</v>
      </c>
      <c r="E67" s="160">
        <f>ROUND(D67/ТАБ_2!C67*100,1)</f>
        <v>12.9</v>
      </c>
      <c r="F67" s="11"/>
    </row>
    <row r="68" spans="1:6" x14ac:dyDescent="0.2">
      <c r="A68" s="202" t="s">
        <v>72</v>
      </c>
      <c r="B68" s="31">
        <v>5279</v>
      </c>
      <c r="C68" s="160">
        <f>ROUND(ТАБ_4!B68/ТАБ_2!B68*100,1)</f>
        <v>17.8</v>
      </c>
      <c r="D68" s="31">
        <v>5889</v>
      </c>
      <c r="E68" s="160">
        <f>ROUND(D68/ТАБ_2!C68*100,1)</f>
        <v>17.8</v>
      </c>
      <c r="F68" s="11"/>
    </row>
    <row r="69" spans="1:6" x14ac:dyDescent="0.2">
      <c r="A69" s="203" t="s">
        <v>73</v>
      </c>
      <c r="B69" s="31">
        <v>4354</v>
      </c>
      <c r="C69" s="160">
        <f>ROUND(ТАБ_4!B69/ТАБ_2!B69*100,1)</f>
        <v>21.6</v>
      </c>
      <c r="D69" s="31">
        <v>4697</v>
      </c>
      <c r="E69" s="160">
        <f>ROUND(D69/ТАБ_2!C69*100,1)</f>
        <v>21.1</v>
      </c>
      <c r="F69" s="11"/>
    </row>
    <row r="70" spans="1:6" x14ac:dyDescent="0.2">
      <c r="A70" s="202" t="s">
        <v>74</v>
      </c>
      <c r="B70" s="31">
        <v>1730</v>
      </c>
      <c r="C70" s="160">
        <f>ROUND(ТАБ_4!B70/ТАБ_2!B70*100,1)</f>
        <v>15.9</v>
      </c>
      <c r="D70" s="31">
        <v>1984</v>
      </c>
      <c r="E70" s="160">
        <f>ROUND(D70/ТАБ_2!C70*100,1)</f>
        <v>16.600000000000001</v>
      </c>
      <c r="F70" s="11"/>
    </row>
    <row r="71" spans="1:6" x14ac:dyDescent="0.2">
      <c r="A71" s="206" t="s">
        <v>75</v>
      </c>
      <c r="B71" s="32">
        <v>28988</v>
      </c>
      <c r="C71" s="159">
        <f>ROUND(ТАБ_4!B71/ТАБ_2!B71*100,1)</f>
        <v>21.5</v>
      </c>
      <c r="D71" s="32">
        <v>31664</v>
      </c>
      <c r="E71" s="159">
        <f>ROUND(D71/ТАБ_2!C71*100,1)</f>
        <v>21.5</v>
      </c>
      <c r="F71" s="10"/>
    </row>
    <row r="72" spans="1:6" x14ac:dyDescent="0.2">
      <c r="A72" s="202" t="s">
        <v>76</v>
      </c>
      <c r="B72" s="31">
        <v>1791</v>
      </c>
      <c r="C72" s="160">
        <f>ROUND(ТАБ_4!B72/ТАБ_2!B72*100,1)</f>
        <v>23.4</v>
      </c>
      <c r="D72" s="31">
        <v>1976</v>
      </c>
      <c r="E72" s="160">
        <f>ROUND(D72/ТАБ_2!C72*100,1)</f>
        <v>22.9</v>
      </c>
      <c r="F72" s="11"/>
    </row>
    <row r="73" spans="1:6" x14ac:dyDescent="0.2">
      <c r="A73" s="202" t="s">
        <v>77</v>
      </c>
      <c r="B73" s="31">
        <v>10241</v>
      </c>
      <c r="C73" s="160">
        <f>ROUND(ТАБ_4!B73/ТАБ_2!B73*100,1)</f>
        <v>22.2</v>
      </c>
      <c r="D73" s="31">
        <v>11561</v>
      </c>
      <c r="E73" s="160">
        <f>ROUND(D73/ТАБ_2!C73*100,1)</f>
        <v>23</v>
      </c>
      <c r="F73" s="11"/>
    </row>
    <row r="74" spans="1:6" x14ac:dyDescent="0.2">
      <c r="A74" s="202" t="s">
        <v>78</v>
      </c>
      <c r="B74" s="31">
        <v>9344</v>
      </c>
      <c r="C74" s="160">
        <f>ROUND(ТАБ_4!B74/ТАБ_2!B74*100,1)</f>
        <v>20</v>
      </c>
      <c r="D74" s="31">
        <v>9866</v>
      </c>
      <c r="E74" s="160">
        <f>ROUND(D74/ТАБ_2!C74*100,1)</f>
        <v>19.5</v>
      </c>
      <c r="F74" s="11"/>
    </row>
    <row r="75" spans="1:6" x14ac:dyDescent="0.2">
      <c r="A75" s="202" t="s">
        <v>79</v>
      </c>
      <c r="B75" s="31">
        <v>3530</v>
      </c>
      <c r="C75" s="160">
        <f>ROUND(ТАБ_4!B75/ТАБ_2!B75*100,1)</f>
        <v>17</v>
      </c>
      <c r="D75" s="31">
        <v>3847</v>
      </c>
      <c r="E75" s="160">
        <f>ROUND(D75/ТАБ_2!C75*100,1)</f>
        <v>17.100000000000001</v>
      </c>
      <c r="F75" s="11"/>
    </row>
    <row r="76" spans="1:6" x14ac:dyDescent="0.2">
      <c r="A76" s="202" t="s">
        <v>80</v>
      </c>
      <c r="B76" s="31">
        <v>1502</v>
      </c>
      <c r="C76" s="160">
        <f>ROUND(ТАБ_4!B76/ТАБ_2!B76*100,1)</f>
        <v>22</v>
      </c>
      <c r="D76" s="31">
        <v>1556</v>
      </c>
      <c r="E76" s="160">
        <f>ROUND(D76/ТАБ_2!C76*100,1)</f>
        <v>21.6</v>
      </c>
      <c r="F76" s="11"/>
    </row>
    <row r="77" spans="1:6" x14ac:dyDescent="0.2">
      <c r="A77" s="205" t="s">
        <v>288</v>
      </c>
      <c r="B77" s="31">
        <v>4312</v>
      </c>
      <c r="C77" s="160">
        <f>ROUND(ТАБ_4!B77/ТАБ_2!B77*100,1)</f>
        <v>22.5</v>
      </c>
      <c r="D77" s="31">
        <v>4463</v>
      </c>
      <c r="E77" s="160">
        <f>ROUND(D77/ТАБ_2!C77*100,1)</f>
        <v>21.5</v>
      </c>
      <c r="F77" s="11"/>
    </row>
    <row r="78" spans="1:6" x14ac:dyDescent="0.2">
      <c r="A78" s="202" t="s">
        <v>81</v>
      </c>
      <c r="B78" s="31">
        <v>7612</v>
      </c>
      <c r="C78" s="160">
        <f>ROUND(ТАБ_4!B78/ТАБ_2!B78*100,1)</f>
        <v>22.2</v>
      </c>
      <c r="D78" s="31">
        <v>8261</v>
      </c>
      <c r="E78" s="160">
        <f>ROUND(D78/ТАБ_2!C78*100,1)</f>
        <v>21.9</v>
      </c>
      <c r="F78" s="11"/>
    </row>
    <row r="79" spans="1:6" x14ac:dyDescent="0.2">
      <c r="A79" s="201" t="s">
        <v>82</v>
      </c>
      <c r="B79" s="32">
        <v>46168</v>
      </c>
      <c r="C79" s="159">
        <f>ROUND(ТАБ_4!B79/ТАБ_2!B79*100,1)</f>
        <v>26</v>
      </c>
      <c r="D79" s="32">
        <v>51559</v>
      </c>
      <c r="E79" s="159">
        <f>ROUND(D79/ТАБ_2!C79*100,1)</f>
        <v>26.3</v>
      </c>
      <c r="F79" s="10"/>
    </row>
    <row r="80" spans="1:6" x14ac:dyDescent="0.2">
      <c r="A80" s="202" t="s">
        <v>83</v>
      </c>
      <c r="B80" s="31">
        <v>885</v>
      </c>
      <c r="C80" s="160">
        <f>ROUND(ТАБ_4!B80/ТАБ_2!B80*100,1)</f>
        <v>29.7</v>
      </c>
      <c r="D80" s="31">
        <v>925</v>
      </c>
      <c r="E80" s="160">
        <f>ROUND(D80/ТАБ_2!C80*100,1)</f>
        <v>27.6</v>
      </c>
      <c r="F80" s="11"/>
    </row>
    <row r="81" spans="1:6" x14ac:dyDescent="0.2">
      <c r="A81" s="202" t="s">
        <v>85</v>
      </c>
      <c r="B81" s="31">
        <v>3387</v>
      </c>
      <c r="C81" s="160">
        <f>ROUND(ТАБ_4!B81/ТАБ_2!B81*100,1)</f>
        <v>56</v>
      </c>
      <c r="D81" s="31">
        <v>3948</v>
      </c>
      <c r="E81" s="160">
        <f>ROUND(D81/ТАБ_2!C81*100,1)</f>
        <v>60.4</v>
      </c>
      <c r="F81" s="11"/>
    </row>
    <row r="82" spans="1:6" x14ac:dyDescent="0.2">
      <c r="A82" s="202" t="s">
        <v>86</v>
      </c>
      <c r="B82" s="31">
        <v>1438</v>
      </c>
      <c r="C82" s="160">
        <f>ROUND(ТАБ_4!B82/ТАБ_2!B82*100,1)</f>
        <v>25.8</v>
      </c>
      <c r="D82" s="31">
        <v>1648</v>
      </c>
      <c r="E82" s="160">
        <f>ROUND(D82/ТАБ_2!C82*100,1)</f>
        <v>26.6</v>
      </c>
      <c r="F82" s="11"/>
    </row>
    <row r="83" spans="1:6" x14ac:dyDescent="0.2">
      <c r="A83" s="202" t="s">
        <v>87</v>
      </c>
      <c r="B83" s="31">
        <v>4590</v>
      </c>
      <c r="C83" s="160">
        <f>ROUND(ТАБ_4!B83/ТАБ_2!B83*100,1)</f>
        <v>21.8</v>
      </c>
      <c r="D83" s="31">
        <v>5533</v>
      </c>
      <c r="E83" s="160">
        <f>ROUND(D83/ТАБ_2!C83*100,1)</f>
        <v>23.6</v>
      </c>
      <c r="F83" s="11"/>
    </row>
    <row r="84" spans="1:6" x14ac:dyDescent="0.2">
      <c r="A84" s="202" t="s">
        <v>89</v>
      </c>
      <c r="B84" s="31">
        <v>7812</v>
      </c>
      <c r="C84" s="160">
        <f>ROUND(ТАБ_4!B84/ТАБ_2!B84*100,1)</f>
        <v>25.9</v>
      </c>
      <c r="D84" s="31">
        <v>8704</v>
      </c>
      <c r="E84" s="160">
        <f>ROUND(D84/ТАБ_2!C84*100,1)</f>
        <v>26</v>
      </c>
      <c r="F84" s="11"/>
    </row>
    <row r="85" spans="1:6" x14ac:dyDescent="0.2">
      <c r="A85" s="202" t="s">
        <v>90</v>
      </c>
      <c r="B85" s="31">
        <v>8330</v>
      </c>
      <c r="C85" s="160">
        <f>ROUND(ТАБ_4!B85/ТАБ_2!B85*100,1)</f>
        <v>29.5</v>
      </c>
      <c r="D85" s="31">
        <v>9386</v>
      </c>
      <c r="E85" s="160">
        <f>ROUND(D85/ТАБ_2!C85*100,1)</f>
        <v>30.4</v>
      </c>
      <c r="F85" s="11"/>
    </row>
    <row r="86" spans="1:6" x14ac:dyDescent="0.2">
      <c r="A86" s="202" t="s">
        <v>91</v>
      </c>
      <c r="B86" s="31">
        <v>6381</v>
      </c>
      <c r="C86" s="160">
        <f>ROUND(ТАБ_4!B86/ТАБ_2!B86*100,1)</f>
        <v>26.6</v>
      </c>
      <c r="D86" s="31">
        <v>7099</v>
      </c>
      <c r="E86" s="160">
        <f>ROUND(D86/ТАБ_2!C86*100,1)</f>
        <v>26.7</v>
      </c>
      <c r="F86" s="11"/>
    </row>
    <row r="87" spans="1:6" x14ac:dyDescent="0.2">
      <c r="A87" s="202" t="s">
        <v>92</v>
      </c>
      <c r="B87" s="31">
        <v>6363</v>
      </c>
      <c r="C87" s="160">
        <f>ROUND(ТАБ_4!B87/ТАБ_2!B87*100,1)</f>
        <v>21.2</v>
      </c>
      <c r="D87" s="31">
        <v>6741</v>
      </c>
      <c r="E87" s="160">
        <f>ROUND(D87/ТАБ_2!C87*100,1)</f>
        <v>20.6</v>
      </c>
      <c r="F87" s="11"/>
    </row>
    <row r="88" spans="1:6" x14ac:dyDescent="0.2">
      <c r="A88" s="202" t="s">
        <v>93</v>
      </c>
      <c r="B88" s="31">
        <v>4334</v>
      </c>
      <c r="C88" s="160">
        <f>ROUND(ТАБ_4!B88/ТАБ_2!B88*100,1)</f>
        <v>22.8</v>
      </c>
      <c r="D88" s="31">
        <v>4821</v>
      </c>
      <c r="E88" s="160">
        <f>ROUND(D88/ТАБ_2!C88*100,1)</f>
        <v>22.6</v>
      </c>
      <c r="F88" s="11"/>
    </row>
    <row r="89" spans="1:6" x14ac:dyDescent="0.2">
      <c r="A89" s="202" t="s">
        <v>94</v>
      </c>
      <c r="B89" s="31">
        <v>2648</v>
      </c>
      <c r="C89" s="160">
        <f>ROUND(ТАБ_4!B89/ТАБ_2!B89*100,1)</f>
        <v>24.7</v>
      </c>
      <c r="D89" s="31">
        <v>2754</v>
      </c>
      <c r="E89" s="160">
        <f>ROUND(D89/ТАБ_2!C89*100,1)</f>
        <v>23.4</v>
      </c>
      <c r="F89" s="11"/>
    </row>
    <row r="90" spans="1:6" x14ac:dyDescent="0.2">
      <c r="A90" s="206" t="s">
        <v>95</v>
      </c>
      <c r="B90" s="32">
        <v>27645</v>
      </c>
      <c r="C90" s="159">
        <f>ROUND(ТАБ_4!B90/ТАБ_2!B90*100,1)</f>
        <v>30.4</v>
      </c>
      <c r="D90" s="32">
        <v>27693</v>
      </c>
      <c r="E90" s="159">
        <f>ROUND(D90/ТАБ_2!C90*100,1)</f>
        <v>28.3</v>
      </c>
      <c r="F90" s="10"/>
    </row>
    <row r="91" spans="1:6" x14ac:dyDescent="0.2">
      <c r="A91" s="202" t="s">
        <v>84</v>
      </c>
      <c r="B91" s="31">
        <v>4068</v>
      </c>
      <c r="C91" s="160">
        <f>ROUND(ТАБ_4!B91/ТАБ_2!B91*100,1)</f>
        <v>32.6</v>
      </c>
      <c r="D91" s="31">
        <v>4372</v>
      </c>
      <c r="E91" s="160">
        <f>ROUND(D91/ТАБ_2!C91*100,1)</f>
        <v>31.4</v>
      </c>
      <c r="F91" s="10"/>
    </row>
    <row r="92" spans="1:6" x14ac:dyDescent="0.2">
      <c r="A92" s="202" t="s">
        <v>96</v>
      </c>
      <c r="B92" s="31">
        <v>5103</v>
      </c>
      <c r="C92" s="160">
        <f>ROUND(ТАБ_4!B92/ТАБ_2!B92*100,1)</f>
        <v>39.799999999999997</v>
      </c>
      <c r="D92" s="31">
        <v>4288</v>
      </c>
      <c r="E92" s="160">
        <f>ROUND(D92/ТАБ_2!C92*100,1)</f>
        <v>32.5</v>
      </c>
      <c r="F92" s="11"/>
    </row>
    <row r="93" spans="1:6" x14ac:dyDescent="0.2">
      <c r="A93" s="202" t="s">
        <v>88</v>
      </c>
      <c r="B93" s="31">
        <v>3986</v>
      </c>
      <c r="C93" s="160">
        <f>ROUND(ТАБ_4!B93/ТАБ_2!B93*100,1)</f>
        <v>31.8</v>
      </c>
      <c r="D93" s="31">
        <v>4381</v>
      </c>
      <c r="E93" s="160">
        <f>ROUND(D93/ТАБ_2!C93*100,1)</f>
        <v>32.299999999999997</v>
      </c>
      <c r="F93" s="11"/>
    </row>
    <row r="94" spans="1:6" x14ac:dyDescent="0.2">
      <c r="A94" s="202" t="s">
        <v>97</v>
      </c>
      <c r="B94" s="31">
        <v>769</v>
      </c>
      <c r="C94" s="160">
        <f>ROUND(ТАБ_4!B94/ТАБ_2!B94*100,1)</f>
        <v>23.2</v>
      </c>
      <c r="D94" s="31">
        <v>773</v>
      </c>
      <c r="E94" s="160">
        <f>ROUND(D94/ТАБ_2!C94*100,1)</f>
        <v>22.6</v>
      </c>
      <c r="F94" s="11"/>
    </row>
    <row r="95" spans="1:6" x14ac:dyDescent="0.2">
      <c r="A95" s="202" t="s">
        <v>98</v>
      </c>
      <c r="B95" s="31">
        <v>4049</v>
      </c>
      <c r="C95" s="160">
        <f>ROUND(ТАБ_4!B95/ТАБ_2!B95*100,1)</f>
        <v>22.2</v>
      </c>
      <c r="D95" s="31">
        <v>3493</v>
      </c>
      <c r="E95" s="160">
        <f>ROUND(D95/ТАБ_2!C95*100,1)</f>
        <v>17.5</v>
      </c>
      <c r="F95" s="11"/>
    </row>
    <row r="96" spans="1:6" x14ac:dyDescent="0.2">
      <c r="A96" s="202" t="s">
        <v>99</v>
      </c>
      <c r="B96" s="31">
        <v>4242</v>
      </c>
      <c r="C96" s="160">
        <f>ROUND(ТАБ_4!B96/ТАБ_2!B96*100,1)</f>
        <v>29.4</v>
      </c>
      <c r="D96" s="31">
        <v>4455</v>
      </c>
      <c r="E96" s="160">
        <f>ROUND(D96/ТАБ_2!C96*100,1)</f>
        <v>29.5</v>
      </c>
      <c r="F96" s="11"/>
    </row>
    <row r="97" spans="1:6" x14ac:dyDescent="0.2">
      <c r="A97" s="202" t="s">
        <v>100</v>
      </c>
      <c r="B97" s="31">
        <v>2390</v>
      </c>
      <c r="C97" s="160">
        <f>ROUND(ТАБ_4!B97/ТАБ_2!B97*100,1)</f>
        <v>30.1</v>
      </c>
      <c r="D97" s="31">
        <v>2708</v>
      </c>
      <c r="E97" s="160">
        <f>ROUND(D97/ТАБ_2!C97*100,1)</f>
        <v>30.7</v>
      </c>
      <c r="F97" s="11"/>
    </row>
    <row r="98" spans="1:6" x14ac:dyDescent="0.2">
      <c r="A98" s="202" t="s">
        <v>101</v>
      </c>
      <c r="B98" s="31">
        <v>403</v>
      </c>
      <c r="C98" s="160">
        <f>ROUND(ТАБ_4!B98/ТАБ_2!B98*100,1)</f>
        <v>31.4</v>
      </c>
      <c r="D98" s="31">
        <v>463</v>
      </c>
      <c r="E98" s="160">
        <f>ROUND(D98/ТАБ_2!C98*100,1)</f>
        <v>32.4</v>
      </c>
      <c r="F98" s="11"/>
    </row>
    <row r="99" spans="1:6" x14ac:dyDescent="0.2">
      <c r="A99" s="202" t="s">
        <v>102</v>
      </c>
      <c r="B99" s="31">
        <v>1866</v>
      </c>
      <c r="C99" s="160">
        <f>ROUND(ТАБ_4!B99/ТАБ_2!B99*100,1)</f>
        <v>32.200000000000003</v>
      </c>
      <c r="D99" s="31">
        <v>1872</v>
      </c>
      <c r="E99" s="160">
        <f>ROUND(D99/ТАБ_2!C99*100,1)</f>
        <v>31.3</v>
      </c>
      <c r="F99" s="11"/>
    </row>
    <row r="100" spans="1:6" x14ac:dyDescent="0.2">
      <c r="A100" s="202" t="s">
        <v>103</v>
      </c>
      <c r="B100" s="31">
        <v>547</v>
      </c>
      <c r="C100" s="160">
        <f>ROUND(ТАБ_4!B100/ТАБ_2!B100*100,1)</f>
        <v>32.5</v>
      </c>
      <c r="D100" s="31">
        <v>635</v>
      </c>
      <c r="E100" s="160">
        <f>ROUND(D100/ТАБ_2!C100*100,1)</f>
        <v>33.799999999999997</v>
      </c>
      <c r="F100" s="11"/>
    </row>
    <row r="101" spans="1:6" x14ac:dyDescent="0.2">
      <c r="A101" s="273" t="s">
        <v>104</v>
      </c>
      <c r="B101" s="274">
        <v>222</v>
      </c>
      <c r="C101" s="275">
        <f>ROUND(ТАБ_4!B101/ТАБ_2!B101*100,1)</f>
        <v>42.3</v>
      </c>
      <c r="D101" s="274">
        <v>253</v>
      </c>
      <c r="E101" s="275">
        <f>ROUND(D101/ТАБ_2!C101*100,1)</f>
        <v>40.5</v>
      </c>
      <c r="F101" s="11"/>
    </row>
    <row r="104" spans="1:6" x14ac:dyDescent="0.2">
      <c r="B104" s="33"/>
      <c r="E104" s="34"/>
    </row>
    <row r="105" spans="1:6" x14ac:dyDescent="0.2">
      <c r="B105" s="33"/>
    </row>
  </sheetData>
  <mergeCells count="5">
    <mergeCell ref="A1:E1"/>
    <mergeCell ref="A2:E2"/>
    <mergeCell ref="A4:A5"/>
    <mergeCell ref="B4:C4"/>
    <mergeCell ref="D4:E4"/>
  </mergeCells>
  <printOptions horizontalCentered="1"/>
  <pageMargins left="0.43307086614173229" right="0.43307086614173229" top="0.70866141732283472" bottom="0.15748031496062992" header="0.31496062992125984" footer="0.31496062992125984"/>
  <pageSetup paperSize="9" firstPageNumber="12" orientation="landscape" useFirstPageNumber="1" r:id="rId1"/>
  <headerFooter alignWithMargins="0">
    <oddHeader>&amp;C&amp;"Arial,обычный"&amp;10 &amp;P</oddHeader>
  </headerFooter>
  <rowBreaks count="2" manualBreakCount="2">
    <brk id="38" max="16383" man="1"/>
    <brk id="7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M105"/>
  <sheetViews>
    <sheetView zoomScaleNormal="100" workbookViewId="0">
      <selection sqref="A1:L1"/>
    </sheetView>
  </sheetViews>
  <sheetFormatPr defaultRowHeight="15" x14ac:dyDescent="0.25"/>
  <cols>
    <col min="1" max="1" width="41.7109375" customWidth="1"/>
    <col min="2" max="3" width="8.5703125" customWidth="1"/>
    <col min="4" max="5" width="8.5703125" style="48" customWidth="1"/>
    <col min="6" max="12" width="8.5703125" customWidth="1"/>
  </cols>
  <sheetData>
    <row r="1" spans="1:13" x14ac:dyDescent="0.25">
      <c r="A1" s="500" t="s">
        <v>111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</row>
    <row r="2" spans="1:13" x14ac:dyDescent="0.25">
      <c r="A2" s="501" t="s">
        <v>346</v>
      </c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1"/>
    </row>
    <row r="3" spans="1:13" x14ac:dyDescent="0.25">
      <c r="A3" s="35"/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</row>
    <row r="4" spans="1:13" ht="25.5" x14ac:dyDescent="0.25">
      <c r="A4" s="211"/>
      <c r="B4" s="193" t="s">
        <v>112</v>
      </c>
      <c r="C4" s="212" t="s">
        <v>205</v>
      </c>
      <c r="D4" s="212" t="s">
        <v>115</v>
      </c>
      <c r="E4" s="212" t="s">
        <v>116</v>
      </c>
      <c r="F4" s="212" t="s">
        <v>117</v>
      </c>
      <c r="G4" s="212" t="s">
        <v>118</v>
      </c>
      <c r="H4" s="212" t="s">
        <v>119</v>
      </c>
      <c r="I4" s="212" t="s">
        <v>120</v>
      </c>
      <c r="J4" s="212" t="s">
        <v>121</v>
      </c>
      <c r="K4" s="193" t="s">
        <v>122</v>
      </c>
      <c r="L4" s="193" t="s">
        <v>123</v>
      </c>
      <c r="M4" s="36"/>
    </row>
    <row r="5" spans="1:13" ht="14.1" customHeight="1" x14ac:dyDescent="0.25">
      <c r="A5" s="200" t="s">
        <v>13</v>
      </c>
      <c r="B5" s="37">
        <v>206</v>
      </c>
      <c r="C5" s="37">
        <v>24676</v>
      </c>
      <c r="D5" s="37">
        <v>61194</v>
      </c>
      <c r="E5" s="37">
        <v>71121</v>
      </c>
      <c r="F5" s="37">
        <v>82383</v>
      </c>
      <c r="G5" s="37">
        <v>54215</v>
      </c>
      <c r="H5" s="37">
        <v>14079</v>
      </c>
      <c r="I5" s="38">
        <v>894</v>
      </c>
      <c r="J5" s="39">
        <v>87</v>
      </c>
      <c r="K5" s="40">
        <v>17</v>
      </c>
      <c r="L5" s="37">
        <v>358</v>
      </c>
      <c r="M5" s="152"/>
    </row>
    <row r="6" spans="1:13" ht="14.1" customHeight="1" x14ac:dyDescent="0.25">
      <c r="A6" s="201" t="s">
        <v>14</v>
      </c>
      <c r="B6" s="37">
        <v>49</v>
      </c>
      <c r="C6" s="37">
        <v>3810</v>
      </c>
      <c r="D6" s="37">
        <v>11444</v>
      </c>
      <c r="E6" s="37">
        <v>15212</v>
      </c>
      <c r="F6" s="37">
        <v>18882</v>
      </c>
      <c r="G6" s="37">
        <v>13117</v>
      </c>
      <c r="H6" s="37">
        <v>3576</v>
      </c>
      <c r="I6" s="38">
        <v>290</v>
      </c>
      <c r="J6" s="39">
        <v>43</v>
      </c>
      <c r="K6" s="40">
        <v>6</v>
      </c>
      <c r="L6" s="37">
        <v>106</v>
      </c>
    </row>
    <row r="7" spans="1:13" ht="14.1" customHeight="1" x14ac:dyDescent="0.25">
      <c r="A7" s="202" t="s">
        <v>15</v>
      </c>
      <c r="B7" s="41">
        <v>2</v>
      </c>
      <c r="C7" s="41">
        <v>148</v>
      </c>
      <c r="D7" s="41">
        <v>326</v>
      </c>
      <c r="E7" s="41">
        <v>412</v>
      </c>
      <c r="F7" s="41">
        <v>494</v>
      </c>
      <c r="G7" s="41">
        <v>337</v>
      </c>
      <c r="H7" s="41">
        <v>81</v>
      </c>
      <c r="I7" s="42">
        <v>1</v>
      </c>
      <c r="J7" s="43">
        <v>0</v>
      </c>
      <c r="K7" s="44">
        <v>0</v>
      </c>
      <c r="L7" s="41">
        <v>1</v>
      </c>
    </row>
    <row r="8" spans="1:13" ht="14.1" customHeight="1" x14ac:dyDescent="0.25">
      <c r="A8" s="202" t="s">
        <v>16</v>
      </c>
      <c r="B8" s="41">
        <v>5</v>
      </c>
      <c r="C8" s="41">
        <v>142</v>
      </c>
      <c r="D8" s="41">
        <v>332</v>
      </c>
      <c r="E8" s="41">
        <v>389</v>
      </c>
      <c r="F8" s="41">
        <v>432</v>
      </c>
      <c r="G8" s="41">
        <v>307</v>
      </c>
      <c r="H8" s="41">
        <v>77</v>
      </c>
      <c r="I8" s="42">
        <v>4</v>
      </c>
      <c r="J8" s="43">
        <v>0</v>
      </c>
      <c r="K8" s="44">
        <v>0</v>
      </c>
      <c r="L8" s="41">
        <v>3</v>
      </c>
    </row>
    <row r="9" spans="1:13" ht="14.1" customHeight="1" x14ac:dyDescent="0.25">
      <c r="A9" s="202" t="s">
        <v>17</v>
      </c>
      <c r="B9" s="41">
        <v>2</v>
      </c>
      <c r="C9" s="41">
        <v>203</v>
      </c>
      <c r="D9" s="41">
        <v>386</v>
      </c>
      <c r="E9" s="41">
        <v>503</v>
      </c>
      <c r="F9" s="41">
        <v>593</v>
      </c>
      <c r="G9" s="41">
        <v>397</v>
      </c>
      <c r="H9" s="41">
        <v>85</v>
      </c>
      <c r="I9" s="42">
        <v>3</v>
      </c>
      <c r="J9" s="43">
        <v>0</v>
      </c>
      <c r="K9" s="44">
        <v>0</v>
      </c>
      <c r="L9" s="41">
        <v>3</v>
      </c>
    </row>
    <row r="10" spans="1:13" ht="14.1" customHeight="1" x14ac:dyDescent="0.25">
      <c r="A10" s="202" t="s">
        <v>18</v>
      </c>
      <c r="B10" s="41">
        <v>3</v>
      </c>
      <c r="C10" s="41">
        <v>266</v>
      </c>
      <c r="D10" s="41">
        <v>607</v>
      </c>
      <c r="E10" s="41">
        <v>743</v>
      </c>
      <c r="F10" s="41">
        <v>831</v>
      </c>
      <c r="G10" s="41">
        <v>560</v>
      </c>
      <c r="H10" s="41">
        <v>124</v>
      </c>
      <c r="I10" s="42">
        <v>6</v>
      </c>
      <c r="J10" s="43">
        <v>0</v>
      </c>
      <c r="K10" s="44">
        <v>0</v>
      </c>
      <c r="L10" s="41">
        <v>4</v>
      </c>
    </row>
    <row r="11" spans="1:13" ht="14.1" customHeight="1" x14ac:dyDescent="0.25">
      <c r="A11" s="202" t="s">
        <v>19</v>
      </c>
      <c r="B11" s="41">
        <v>3</v>
      </c>
      <c r="C11" s="41">
        <v>123</v>
      </c>
      <c r="D11" s="41">
        <v>296</v>
      </c>
      <c r="E11" s="41">
        <v>408</v>
      </c>
      <c r="F11" s="41">
        <v>460</v>
      </c>
      <c r="G11" s="41">
        <v>303</v>
      </c>
      <c r="H11" s="41">
        <v>92</v>
      </c>
      <c r="I11" s="42">
        <v>3</v>
      </c>
      <c r="J11" s="43">
        <v>0</v>
      </c>
      <c r="K11" s="44">
        <v>0</v>
      </c>
      <c r="L11" s="41">
        <v>3</v>
      </c>
    </row>
    <row r="12" spans="1:13" ht="14.1" customHeight="1" x14ac:dyDescent="0.25">
      <c r="A12" s="202" t="s">
        <v>20</v>
      </c>
      <c r="B12" s="41">
        <v>5</v>
      </c>
      <c r="C12" s="41">
        <v>142</v>
      </c>
      <c r="D12" s="41">
        <v>354</v>
      </c>
      <c r="E12" s="41">
        <v>431</v>
      </c>
      <c r="F12" s="41">
        <v>498</v>
      </c>
      <c r="G12" s="41">
        <v>309</v>
      </c>
      <c r="H12" s="41">
        <v>79</v>
      </c>
      <c r="I12" s="42">
        <v>1</v>
      </c>
      <c r="J12" s="43">
        <v>2</v>
      </c>
      <c r="K12" s="44">
        <v>0</v>
      </c>
      <c r="L12" s="41">
        <v>0</v>
      </c>
    </row>
    <row r="13" spans="1:13" ht="14.1" customHeight="1" x14ac:dyDescent="0.25">
      <c r="A13" s="203" t="s">
        <v>21</v>
      </c>
      <c r="B13" s="41">
        <v>0</v>
      </c>
      <c r="C13" s="41">
        <v>78</v>
      </c>
      <c r="D13" s="41">
        <v>191</v>
      </c>
      <c r="E13" s="41">
        <v>247</v>
      </c>
      <c r="F13" s="41">
        <v>317</v>
      </c>
      <c r="G13" s="41">
        <v>197</v>
      </c>
      <c r="H13" s="41">
        <v>42</v>
      </c>
      <c r="I13" s="42">
        <v>5</v>
      </c>
      <c r="J13" s="43">
        <v>0</v>
      </c>
      <c r="K13" s="44">
        <v>0</v>
      </c>
      <c r="L13" s="41">
        <v>2</v>
      </c>
    </row>
    <row r="14" spans="1:13" ht="14.1" customHeight="1" x14ac:dyDescent="0.25">
      <c r="A14" s="202" t="s">
        <v>22</v>
      </c>
      <c r="B14" s="41">
        <v>1</v>
      </c>
      <c r="C14" s="41">
        <v>159</v>
      </c>
      <c r="D14" s="41">
        <v>377</v>
      </c>
      <c r="E14" s="41">
        <v>380</v>
      </c>
      <c r="F14" s="41">
        <v>409</v>
      </c>
      <c r="G14" s="41">
        <v>269</v>
      </c>
      <c r="H14" s="41">
        <v>57</v>
      </c>
      <c r="I14" s="42">
        <v>2</v>
      </c>
      <c r="J14" s="43">
        <v>1</v>
      </c>
      <c r="K14" s="44">
        <v>0</v>
      </c>
      <c r="L14" s="41">
        <v>0</v>
      </c>
    </row>
    <row r="15" spans="1:13" ht="14.1" customHeight="1" x14ac:dyDescent="0.25">
      <c r="A15" s="202" t="s">
        <v>23</v>
      </c>
      <c r="B15" s="41">
        <v>3</v>
      </c>
      <c r="C15" s="41">
        <v>137</v>
      </c>
      <c r="D15" s="41">
        <v>290</v>
      </c>
      <c r="E15" s="41">
        <v>347</v>
      </c>
      <c r="F15" s="41">
        <v>469</v>
      </c>
      <c r="G15" s="41">
        <v>304</v>
      </c>
      <c r="H15" s="41">
        <v>61</v>
      </c>
      <c r="I15" s="42">
        <v>2</v>
      </c>
      <c r="J15" s="43">
        <v>1</v>
      </c>
      <c r="K15" s="44">
        <v>0</v>
      </c>
      <c r="L15" s="41">
        <v>0</v>
      </c>
    </row>
    <row r="16" spans="1:13" ht="14.1" customHeight="1" x14ac:dyDescent="0.25">
      <c r="A16" s="202" t="s">
        <v>24</v>
      </c>
      <c r="B16" s="41">
        <v>6</v>
      </c>
      <c r="C16" s="41">
        <v>767</v>
      </c>
      <c r="D16" s="41">
        <v>2465</v>
      </c>
      <c r="E16" s="41">
        <v>3073</v>
      </c>
      <c r="F16" s="41">
        <v>3772</v>
      </c>
      <c r="G16" s="41">
        <v>2605</v>
      </c>
      <c r="H16" s="41">
        <v>726</v>
      </c>
      <c r="I16" s="42">
        <v>45</v>
      </c>
      <c r="J16" s="43">
        <v>6</v>
      </c>
      <c r="K16" s="44">
        <v>1</v>
      </c>
      <c r="L16" s="41">
        <v>42</v>
      </c>
    </row>
    <row r="17" spans="1:12" ht="14.1" customHeight="1" x14ac:dyDescent="0.25">
      <c r="A17" s="202" t="s">
        <v>25</v>
      </c>
      <c r="B17" s="41">
        <v>0</v>
      </c>
      <c r="C17" s="41">
        <v>86</v>
      </c>
      <c r="D17" s="41">
        <v>198</v>
      </c>
      <c r="E17" s="41">
        <v>269</v>
      </c>
      <c r="F17" s="41">
        <v>324</v>
      </c>
      <c r="G17" s="41">
        <v>204</v>
      </c>
      <c r="H17" s="41">
        <v>43</v>
      </c>
      <c r="I17" s="42">
        <v>6</v>
      </c>
      <c r="J17" s="43">
        <v>0</v>
      </c>
      <c r="K17" s="44">
        <v>0</v>
      </c>
      <c r="L17" s="41">
        <v>2</v>
      </c>
    </row>
    <row r="18" spans="1:12" ht="14.1" customHeight="1" x14ac:dyDescent="0.25">
      <c r="A18" s="203" t="s">
        <v>26</v>
      </c>
      <c r="B18" s="41">
        <v>3</v>
      </c>
      <c r="C18" s="41">
        <v>114</v>
      </c>
      <c r="D18" s="41">
        <v>307</v>
      </c>
      <c r="E18" s="41">
        <v>380</v>
      </c>
      <c r="F18" s="41">
        <v>475</v>
      </c>
      <c r="G18" s="41">
        <v>282</v>
      </c>
      <c r="H18" s="41">
        <v>75</v>
      </c>
      <c r="I18" s="42">
        <v>1</v>
      </c>
      <c r="J18" s="43">
        <v>1</v>
      </c>
      <c r="K18" s="44">
        <v>0</v>
      </c>
      <c r="L18" s="41">
        <v>2</v>
      </c>
    </row>
    <row r="19" spans="1:12" ht="14.1" customHeight="1" x14ac:dyDescent="0.25">
      <c r="A19" s="202" t="s">
        <v>27</v>
      </c>
      <c r="B19" s="41">
        <v>0</v>
      </c>
      <c r="C19" s="41">
        <v>109</v>
      </c>
      <c r="D19" s="41">
        <v>308</v>
      </c>
      <c r="E19" s="41">
        <v>363</v>
      </c>
      <c r="F19" s="41">
        <v>413</v>
      </c>
      <c r="G19" s="41">
        <v>278</v>
      </c>
      <c r="H19" s="41">
        <v>68</v>
      </c>
      <c r="I19" s="42">
        <v>0</v>
      </c>
      <c r="J19" s="43">
        <v>0</v>
      </c>
      <c r="K19" s="44">
        <v>0</v>
      </c>
      <c r="L19" s="41">
        <v>0</v>
      </c>
    </row>
    <row r="20" spans="1:12" ht="14.1" customHeight="1" x14ac:dyDescent="0.25">
      <c r="A20" s="202" t="s">
        <v>28</v>
      </c>
      <c r="B20" s="41">
        <v>1</v>
      </c>
      <c r="C20" s="41">
        <v>71</v>
      </c>
      <c r="D20" s="41">
        <v>145</v>
      </c>
      <c r="E20" s="41">
        <v>179</v>
      </c>
      <c r="F20" s="41">
        <v>207</v>
      </c>
      <c r="G20" s="41">
        <v>140</v>
      </c>
      <c r="H20" s="41">
        <v>32</v>
      </c>
      <c r="I20" s="42">
        <v>0</v>
      </c>
      <c r="J20" s="43">
        <v>1</v>
      </c>
      <c r="K20" s="44">
        <v>0</v>
      </c>
      <c r="L20" s="41">
        <v>0</v>
      </c>
    </row>
    <row r="21" spans="1:12" ht="14.1" customHeight="1" x14ac:dyDescent="0.25">
      <c r="A21" s="202" t="s">
        <v>29</v>
      </c>
      <c r="B21" s="41">
        <v>4</v>
      </c>
      <c r="C21" s="41">
        <v>178</v>
      </c>
      <c r="D21" s="41">
        <v>421</v>
      </c>
      <c r="E21" s="41">
        <v>541</v>
      </c>
      <c r="F21" s="41">
        <v>617</v>
      </c>
      <c r="G21" s="41">
        <v>404</v>
      </c>
      <c r="H21" s="41">
        <v>113</v>
      </c>
      <c r="I21" s="42">
        <v>1</v>
      </c>
      <c r="J21" s="43">
        <v>0</v>
      </c>
      <c r="K21" s="44">
        <v>0</v>
      </c>
      <c r="L21" s="41">
        <v>9</v>
      </c>
    </row>
    <row r="22" spans="1:12" ht="14.1" customHeight="1" x14ac:dyDescent="0.25">
      <c r="A22" s="202" t="s">
        <v>30</v>
      </c>
      <c r="B22" s="41">
        <v>4</v>
      </c>
      <c r="C22" s="41">
        <v>180</v>
      </c>
      <c r="D22" s="41">
        <v>435</v>
      </c>
      <c r="E22" s="41">
        <v>500</v>
      </c>
      <c r="F22" s="41">
        <v>593</v>
      </c>
      <c r="G22" s="41">
        <v>362</v>
      </c>
      <c r="H22" s="41">
        <v>75</v>
      </c>
      <c r="I22" s="42">
        <v>6</v>
      </c>
      <c r="J22" s="43">
        <v>0</v>
      </c>
      <c r="K22" s="44">
        <v>0</v>
      </c>
      <c r="L22" s="41">
        <v>5</v>
      </c>
    </row>
    <row r="23" spans="1:12" ht="14.1" customHeight="1" x14ac:dyDescent="0.25">
      <c r="A23" s="202" t="s">
        <v>31</v>
      </c>
      <c r="B23" s="41">
        <v>0</v>
      </c>
      <c r="C23" s="41">
        <v>149</v>
      </c>
      <c r="D23" s="41">
        <v>397</v>
      </c>
      <c r="E23" s="41">
        <v>546</v>
      </c>
      <c r="F23" s="41">
        <v>666</v>
      </c>
      <c r="G23" s="41">
        <v>441</v>
      </c>
      <c r="H23" s="41">
        <v>104</v>
      </c>
      <c r="I23" s="42">
        <v>9</v>
      </c>
      <c r="J23" s="43">
        <v>0</v>
      </c>
      <c r="K23" s="44">
        <v>0</v>
      </c>
      <c r="L23" s="41">
        <v>2</v>
      </c>
    </row>
    <row r="24" spans="1:12" ht="14.1" customHeight="1" x14ac:dyDescent="0.25">
      <c r="A24" s="202" t="s">
        <v>32</v>
      </c>
      <c r="B24" s="41">
        <v>7</v>
      </c>
      <c r="C24" s="41">
        <v>758</v>
      </c>
      <c r="D24" s="41">
        <v>3609</v>
      </c>
      <c r="E24" s="41">
        <v>5501</v>
      </c>
      <c r="F24" s="41">
        <v>7312</v>
      </c>
      <c r="G24" s="41">
        <v>5418</v>
      </c>
      <c r="H24" s="41">
        <v>1642</v>
      </c>
      <c r="I24" s="42">
        <v>195</v>
      </c>
      <c r="J24" s="43">
        <v>31</v>
      </c>
      <c r="K24" s="44">
        <v>5</v>
      </c>
      <c r="L24" s="41">
        <v>28</v>
      </c>
    </row>
    <row r="25" spans="1:12" ht="14.1" customHeight="1" x14ac:dyDescent="0.25">
      <c r="A25" s="204" t="s">
        <v>33</v>
      </c>
      <c r="B25" s="37">
        <v>11</v>
      </c>
      <c r="C25" s="37">
        <v>1588</v>
      </c>
      <c r="D25" s="37">
        <v>4676</v>
      </c>
      <c r="E25" s="37">
        <v>6317</v>
      </c>
      <c r="F25" s="37">
        <v>8302</v>
      </c>
      <c r="G25" s="37">
        <v>5468</v>
      </c>
      <c r="H25" s="37">
        <v>1487</v>
      </c>
      <c r="I25" s="38">
        <v>103</v>
      </c>
      <c r="J25" s="39">
        <v>3</v>
      </c>
      <c r="K25" s="40">
        <v>1</v>
      </c>
      <c r="L25" s="37">
        <v>15</v>
      </c>
    </row>
    <row r="26" spans="1:12" ht="14.1" customHeight="1" x14ac:dyDescent="0.25">
      <c r="A26" s="202" t="s">
        <v>34</v>
      </c>
      <c r="B26" s="41">
        <v>1</v>
      </c>
      <c r="C26" s="41">
        <v>84</v>
      </c>
      <c r="D26" s="41">
        <v>214</v>
      </c>
      <c r="E26" s="41">
        <v>316</v>
      </c>
      <c r="F26" s="41">
        <v>386</v>
      </c>
      <c r="G26" s="41">
        <v>232</v>
      </c>
      <c r="H26" s="41">
        <v>75</v>
      </c>
      <c r="I26" s="42">
        <v>2</v>
      </c>
      <c r="J26" s="43">
        <v>0</v>
      </c>
      <c r="K26" s="44">
        <v>0</v>
      </c>
      <c r="L26" s="41">
        <v>1</v>
      </c>
    </row>
    <row r="27" spans="1:12" ht="14.1" customHeight="1" x14ac:dyDescent="0.25">
      <c r="A27" s="202" t="s">
        <v>35</v>
      </c>
      <c r="B27" s="41">
        <v>1</v>
      </c>
      <c r="C27" s="41">
        <v>169</v>
      </c>
      <c r="D27" s="41">
        <v>440</v>
      </c>
      <c r="E27" s="41">
        <v>531</v>
      </c>
      <c r="F27" s="41">
        <v>662</v>
      </c>
      <c r="G27" s="41">
        <v>387</v>
      </c>
      <c r="H27" s="41">
        <v>109</v>
      </c>
      <c r="I27" s="42">
        <v>4</v>
      </c>
      <c r="J27" s="43">
        <v>0</v>
      </c>
      <c r="K27" s="44">
        <v>0</v>
      </c>
      <c r="L27" s="41">
        <v>0</v>
      </c>
    </row>
    <row r="28" spans="1:12" ht="14.1" customHeight="1" x14ac:dyDescent="0.25">
      <c r="A28" s="202" t="s">
        <v>36</v>
      </c>
      <c r="B28" s="41">
        <v>0</v>
      </c>
      <c r="C28" s="41">
        <v>152</v>
      </c>
      <c r="D28" s="41">
        <v>483</v>
      </c>
      <c r="E28" s="41">
        <v>627</v>
      </c>
      <c r="F28" s="41">
        <v>735</v>
      </c>
      <c r="G28" s="41">
        <v>488</v>
      </c>
      <c r="H28" s="41">
        <v>115</v>
      </c>
      <c r="I28" s="42">
        <v>3</v>
      </c>
      <c r="J28" s="43">
        <v>0</v>
      </c>
      <c r="K28" s="44">
        <v>0</v>
      </c>
      <c r="L28" s="41">
        <v>0</v>
      </c>
    </row>
    <row r="29" spans="1:12" ht="14.1" customHeight="1" x14ac:dyDescent="0.25">
      <c r="A29" s="202" t="s">
        <v>37</v>
      </c>
      <c r="B29" s="41">
        <v>0</v>
      </c>
      <c r="C29" s="41">
        <v>21</v>
      </c>
      <c r="D29" s="41">
        <v>58</v>
      </c>
      <c r="E29" s="41">
        <v>53</v>
      </c>
      <c r="F29" s="41">
        <v>54</v>
      </c>
      <c r="G29" s="41">
        <v>31</v>
      </c>
      <c r="H29" s="41">
        <v>4</v>
      </c>
      <c r="I29" s="42">
        <v>0</v>
      </c>
      <c r="J29" s="43">
        <v>0</v>
      </c>
      <c r="K29" s="44">
        <v>0</v>
      </c>
      <c r="L29" s="41">
        <v>0</v>
      </c>
    </row>
    <row r="30" spans="1:12" ht="14.1" customHeight="1" x14ac:dyDescent="0.25">
      <c r="A30" s="205" t="s">
        <v>287</v>
      </c>
      <c r="B30" s="41">
        <v>0</v>
      </c>
      <c r="C30" s="41">
        <v>131</v>
      </c>
      <c r="D30" s="41">
        <v>425</v>
      </c>
      <c r="E30" s="41">
        <v>574</v>
      </c>
      <c r="F30" s="41">
        <v>681</v>
      </c>
      <c r="G30" s="41">
        <v>457</v>
      </c>
      <c r="H30" s="41">
        <v>111</v>
      </c>
      <c r="I30" s="42">
        <v>3</v>
      </c>
      <c r="J30" s="43">
        <v>0</v>
      </c>
      <c r="K30" s="44">
        <v>0</v>
      </c>
      <c r="L30" s="41">
        <v>0</v>
      </c>
    </row>
    <row r="31" spans="1:12" ht="14.1" customHeight="1" x14ac:dyDescent="0.25">
      <c r="A31" s="202" t="s">
        <v>38</v>
      </c>
      <c r="B31" s="41">
        <v>4</v>
      </c>
      <c r="C31" s="41">
        <v>163</v>
      </c>
      <c r="D31" s="41">
        <v>496</v>
      </c>
      <c r="E31" s="41">
        <v>644</v>
      </c>
      <c r="F31" s="41">
        <v>863</v>
      </c>
      <c r="G31" s="41">
        <v>536</v>
      </c>
      <c r="H31" s="41">
        <v>146</v>
      </c>
      <c r="I31" s="42">
        <v>5</v>
      </c>
      <c r="J31" s="43">
        <v>0</v>
      </c>
      <c r="K31" s="44">
        <v>0</v>
      </c>
      <c r="L31" s="41">
        <v>3</v>
      </c>
    </row>
    <row r="32" spans="1:12" ht="14.1" customHeight="1" x14ac:dyDescent="0.25">
      <c r="A32" s="202" t="s">
        <v>39</v>
      </c>
      <c r="B32" s="41">
        <v>0</v>
      </c>
      <c r="C32" s="41">
        <v>126</v>
      </c>
      <c r="D32" s="41">
        <v>333</v>
      </c>
      <c r="E32" s="41">
        <v>432</v>
      </c>
      <c r="F32" s="41">
        <v>482</v>
      </c>
      <c r="G32" s="41">
        <v>303</v>
      </c>
      <c r="H32" s="41">
        <v>101</v>
      </c>
      <c r="I32" s="42">
        <v>5</v>
      </c>
      <c r="J32" s="43">
        <v>0</v>
      </c>
      <c r="K32" s="44">
        <v>1</v>
      </c>
      <c r="L32" s="41">
        <v>2</v>
      </c>
    </row>
    <row r="33" spans="1:12" ht="14.1" customHeight="1" x14ac:dyDescent="0.25">
      <c r="A33" s="202" t="s">
        <v>40</v>
      </c>
      <c r="B33" s="41">
        <v>1</v>
      </c>
      <c r="C33" s="41">
        <v>222</v>
      </c>
      <c r="D33" s="41">
        <v>555</v>
      </c>
      <c r="E33" s="41">
        <v>653</v>
      </c>
      <c r="F33" s="41">
        <v>822</v>
      </c>
      <c r="G33" s="41">
        <v>569</v>
      </c>
      <c r="H33" s="41">
        <v>136</v>
      </c>
      <c r="I33" s="42">
        <v>7</v>
      </c>
      <c r="J33" s="43">
        <v>0</v>
      </c>
      <c r="K33" s="44">
        <v>0</v>
      </c>
      <c r="L33" s="41">
        <v>0</v>
      </c>
    </row>
    <row r="34" spans="1:12" ht="14.1" customHeight="1" x14ac:dyDescent="0.25">
      <c r="A34" s="202" t="s">
        <v>41</v>
      </c>
      <c r="B34" s="41">
        <v>1</v>
      </c>
      <c r="C34" s="41">
        <v>81</v>
      </c>
      <c r="D34" s="41">
        <v>215</v>
      </c>
      <c r="E34" s="41">
        <v>261</v>
      </c>
      <c r="F34" s="41">
        <v>365</v>
      </c>
      <c r="G34" s="41">
        <v>221</v>
      </c>
      <c r="H34" s="41">
        <v>52</v>
      </c>
      <c r="I34" s="42">
        <v>4</v>
      </c>
      <c r="J34" s="43">
        <v>0</v>
      </c>
      <c r="K34" s="44">
        <v>0</v>
      </c>
      <c r="L34" s="41">
        <v>0</v>
      </c>
    </row>
    <row r="35" spans="1:12" ht="14.1" customHeight="1" x14ac:dyDescent="0.25">
      <c r="A35" s="202" t="s">
        <v>42</v>
      </c>
      <c r="B35" s="41">
        <v>1</v>
      </c>
      <c r="C35" s="41">
        <v>109</v>
      </c>
      <c r="D35" s="41">
        <v>229</v>
      </c>
      <c r="E35" s="41">
        <v>269</v>
      </c>
      <c r="F35" s="41">
        <v>333</v>
      </c>
      <c r="G35" s="41">
        <v>185</v>
      </c>
      <c r="H35" s="41">
        <v>52</v>
      </c>
      <c r="I35" s="42">
        <v>2</v>
      </c>
      <c r="J35" s="43">
        <v>0</v>
      </c>
      <c r="K35" s="44">
        <v>0</v>
      </c>
      <c r="L35" s="41">
        <v>6</v>
      </c>
    </row>
    <row r="36" spans="1:12" ht="14.1" customHeight="1" x14ac:dyDescent="0.25">
      <c r="A36" s="202" t="s">
        <v>43</v>
      </c>
      <c r="B36" s="41">
        <v>1</v>
      </c>
      <c r="C36" s="41">
        <v>96</v>
      </c>
      <c r="D36" s="41">
        <v>221</v>
      </c>
      <c r="E36" s="41">
        <v>285</v>
      </c>
      <c r="F36" s="41">
        <v>313</v>
      </c>
      <c r="G36" s="41">
        <v>204</v>
      </c>
      <c r="H36" s="41">
        <v>50</v>
      </c>
      <c r="I36" s="42">
        <v>3</v>
      </c>
      <c r="J36" s="43">
        <v>0</v>
      </c>
      <c r="K36" s="44">
        <v>0</v>
      </c>
      <c r="L36" s="41">
        <v>3</v>
      </c>
    </row>
    <row r="37" spans="1:12" ht="14.1" customHeight="1" x14ac:dyDescent="0.25">
      <c r="A37" s="202" t="s">
        <v>44</v>
      </c>
      <c r="B37" s="41">
        <v>1</v>
      </c>
      <c r="C37" s="41">
        <v>386</v>
      </c>
      <c r="D37" s="41">
        <v>1490</v>
      </c>
      <c r="E37" s="41">
        <v>2299</v>
      </c>
      <c r="F37" s="41">
        <v>3341</v>
      </c>
      <c r="G37" s="41">
        <v>2343</v>
      </c>
      <c r="H37" s="41">
        <v>651</v>
      </c>
      <c r="I37" s="42">
        <v>68</v>
      </c>
      <c r="J37" s="43">
        <v>3</v>
      </c>
      <c r="K37" s="44">
        <v>0</v>
      </c>
      <c r="L37" s="41">
        <v>0</v>
      </c>
    </row>
    <row r="38" spans="1:12" ht="14.1" customHeight="1" x14ac:dyDescent="0.25">
      <c r="A38" s="206" t="s">
        <v>45</v>
      </c>
      <c r="B38" s="37">
        <v>20</v>
      </c>
      <c r="C38" s="37">
        <v>2607</v>
      </c>
      <c r="D38" s="37">
        <v>5990</v>
      </c>
      <c r="E38" s="37">
        <v>7216</v>
      </c>
      <c r="F38" s="37">
        <v>8422</v>
      </c>
      <c r="G38" s="37">
        <v>5558</v>
      </c>
      <c r="H38" s="37">
        <v>1410</v>
      </c>
      <c r="I38" s="38">
        <v>70</v>
      </c>
      <c r="J38" s="39">
        <v>9</v>
      </c>
      <c r="K38" s="40">
        <v>4</v>
      </c>
      <c r="L38" s="37">
        <v>54</v>
      </c>
    </row>
    <row r="39" spans="1:12" ht="14.1" customHeight="1" x14ac:dyDescent="0.25">
      <c r="A39" s="202" t="s">
        <v>46</v>
      </c>
      <c r="B39" s="41">
        <v>0</v>
      </c>
      <c r="C39" s="41">
        <v>78</v>
      </c>
      <c r="D39" s="41">
        <v>174</v>
      </c>
      <c r="E39" s="41">
        <v>164</v>
      </c>
      <c r="F39" s="41">
        <v>156</v>
      </c>
      <c r="G39" s="41">
        <v>128</v>
      </c>
      <c r="H39" s="41">
        <v>30</v>
      </c>
      <c r="I39" s="42">
        <v>0</v>
      </c>
      <c r="J39" s="43">
        <v>0</v>
      </c>
      <c r="K39" s="44">
        <v>0</v>
      </c>
      <c r="L39" s="41">
        <v>0</v>
      </c>
    </row>
    <row r="40" spans="1:12" ht="14.1" customHeight="1" x14ac:dyDescent="0.25">
      <c r="A40" s="202" t="s">
        <v>47</v>
      </c>
      <c r="B40" s="41">
        <v>0</v>
      </c>
      <c r="C40" s="41">
        <v>43</v>
      </c>
      <c r="D40" s="41">
        <v>96</v>
      </c>
      <c r="E40" s="41">
        <v>132</v>
      </c>
      <c r="F40" s="41">
        <v>156</v>
      </c>
      <c r="G40" s="41">
        <v>99</v>
      </c>
      <c r="H40" s="41">
        <v>36</v>
      </c>
      <c r="I40" s="42">
        <v>0</v>
      </c>
      <c r="J40" s="43">
        <v>0</v>
      </c>
      <c r="K40" s="44">
        <v>0</v>
      </c>
      <c r="L40" s="41">
        <v>0</v>
      </c>
    </row>
    <row r="41" spans="1:12" ht="14.1" customHeight="1" x14ac:dyDescent="0.25">
      <c r="A41" s="202" t="s">
        <v>202</v>
      </c>
      <c r="B41" s="41">
        <v>2</v>
      </c>
      <c r="C41" s="41">
        <v>232</v>
      </c>
      <c r="D41" s="41">
        <v>559</v>
      </c>
      <c r="E41" s="41">
        <v>818</v>
      </c>
      <c r="F41" s="41">
        <v>958</v>
      </c>
      <c r="G41" s="41">
        <v>664</v>
      </c>
      <c r="H41" s="41">
        <v>150</v>
      </c>
      <c r="I41" s="42">
        <v>8</v>
      </c>
      <c r="J41" s="43">
        <v>0</v>
      </c>
      <c r="K41" s="44">
        <v>0</v>
      </c>
      <c r="L41" s="41">
        <v>9</v>
      </c>
    </row>
    <row r="42" spans="1:12" ht="14.1" customHeight="1" x14ac:dyDescent="0.25">
      <c r="A42" s="202" t="s">
        <v>48</v>
      </c>
      <c r="B42" s="41">
        <v>7</v>
      </c>
      <c r="C42" s="41">
        <v>811</v>
      </c>
      <c r="D42" s="41">
        <v>2111</v>
      </c>
      <c r="E42" s="41">
        <v>2615</v>
      </c>
      <c r="F42" s="41">
        <v>3114</v>
      </c>
      <c r="G42" s="41">
        <v>2138</v>
      </c>
      <c r="H42" s="41">
        <v>528</v>
      </c>
      <c r="I42" s="42">
        <v>35</v>
      </c>
      <c r="J42" s="43">
        <v>4</v>
      </c>
      <c r="K42" s="44">
        <v>3</v>
      </c>
      <c r="L42" s="41">
        <v>27</v>
      </c>
    </row>
    <row r="43" spans="1:12" ht="14.1" customHeight="1" x14ac:dyDescent="0.25">
      <c r="A43" s="202" t="s">
        <v>49</v>
      </c>
      <c r="B43" s="41">
        <v>1</v>
      </c>
      <c r="C43" s="41">
        <v>238</v>
      </c>
      <c r="D43" s="41">
        <v>524</v>
      </c>
      <c r="E43" s="41">
        <v>570</v>
      </c>
      <c r="F43" s="41">
        <v>585</v>
      </c>
      <c r="G43" s="41">
        <v>357</v>
      </c>
      <c r="H43" s="41">
        <v>86</v>
      </c>
      <c r="I43" s="42">
        <v>1</v>
      </c>
      <c r="J43" s="43">
        <v>0</v>
      </c>
      <c r="K43" s="44">
        <v>0</v>
      </c>
      <c r="L43" s="41">
        <v>0</v>
      </c>
    </row>
    <row r="44" spans="1:12" ht="14.1" customHeight="1" x14ac:dyDescent="0.25">
      <c r="A44" s="202" t="s">
        <v>50</v>
      </c>
      <c r="B44" s="41">
        <v>5</v>
      </c>
      <c r="C44" s="41">
        <v>453</v>
      </c>
      <c r="D44" s="41">
        <v>995</v>
      </c>
      <c r="E44" s="41">
        <v>1075</v>
      </c>
      <c r="F44" s="41">
        <v>1241</v>
      </c>
      <c r="G44" s="41">
        <v>803</v>
      </c>
      <c r="H44" s="41">
        <v>226</v>
      </c>
      <c r="I44" s="42">
        <v>11</v>
      </c>
      <c r="J44" s="43">
        <v>1</v>
      </c>
      <c r="K44" s="44">
        <v>0</v>
      </c>
      <c r="L44" s="41">
        <v>1</v>
      </c>
    </row>
    <row r="45" spans="1:12" ht="14.1" customHeight="1" x14ac:dyDescent="0.25">
      <c r="A45" s="202" t="s">
        <v>51</v>
      </c>
      <c r="B45" s="41">
        <v>5</v>
      </c>
      <c r="C45" s="41">
        <v>712</v>
      </c>
      <c r="D45" s="41">
        <v>1448</v>
      </c>
      <c r="E45" s="41">
        <v>1698</v>
      </c>
      <c r="F45" s="41">
        <v>2013</v>
      </c>
      <c r="G45" s="41">
        <v>1209</v>
      </c>
      <c r="H45" s="41">
        <v>315</v>
      </c>
      <c r="I45" s="42">
        <v>13</v>
      </c>
      <c r="J45" s="43">
        <v>2</v>
      </c>
      <c r="K45" s="44">
        <v>1</v>
      </c>
      <c r="L45" s="41">
        <v>17</v>
      </c>
    </row>
    <row r="46" spans="1:12" ht="14.1" customHeight="1" x14ac:dyDescent="0.25">
      <c r="A46" s="202" t="s">
        <v>204</v>
      </c>
      <c r="B46" s="41">
        <v>0</v>
      </c>
      <c r="C46" s="41">
        <v>40</v>
      </c>
      <c r="D46" s="41">
        <v>83</v>
      </c>
      <c r="E46" s="41">
        <v>144</v>
      </c>
      <c r="F46" s="41">
        <v>199</v>
      </c>
      <c r="G46" s="41">
        <v>160</v>
      </c>
      <c r="H46" s="41">
        <v>39</v>
      </c>
      <c r="I46" s="42">
        <v>2</v>
      </c>
      <c r="J46" s="43">
        <v>2</v>
      </c>
      <c r="K46" s="44">
        <v>0</v>
      </c>
      <c r="L46" s="41">
        <v>0</v>
      </c>
    </row>
    <row r="47" spans="1:12" ht="14.1" customHeight="1" x14ac:dyDescent="0.25">
      <c r="A47" s="207" t="s">
        <v>52</v>
      </c>
      <c r="B47" s="37">
        <v>14</v>
      </c>
      <c r="C47" s="37">
        <v>3418</v>
      </c>
      <c r="D47" s="37">
        <v>7857</v>
      </c>
      <c r="E47" s="37">
        <v>6444</v>
      </c>
      <c r="F47" s="37">
        <v>5290</v>
      </c>
      <c r="G47" s="37">
        <v>3221</v>
      </c>
      <c r="H47" s="37">
        <v>856</v>
      </c>
      <c r="I47" s="38">
        <v>82</v>
      </c>
      <c r="J47" s="39">
        <v>8</v>
      </c>
      <c r="K47" s="40">
        <v>1</v>
      </c>
      <c r="L47" s="37">
        <v>16</v>
      </c>
    </row>
    <row r="48" spans="1:12" ht="14.1" customHeight="1" x14ac:dyDescent="0.25">
      <c r="A48" s="202" t="s">
        <v>53</v>
      </c>
      <c r="B48" s="41">
        <v>4</v>
      </c>
      <c r="C48" s="41">
        <v>1655</v>
      </c>
      <c r="D48" s="41">
        <v>3244</v>
      </c>
      <c r="E48" s="41">
        <v>2291</v>
      </c>
      <c r="F48" s="41">
        <v>1823</v>
      </c>
      <c r="G48" s="41">
        <v>968</v>
      </c>
      <c r="H48" s="41">
        <v>278</v>
      </c>
      <c r="I48" s="42">
        <v>17</v>
      </c>
      <c r="J48" s="43">
        <v>0</v>
      </c>
      <c r="K48" s="44">
        <v>0</v>
      </c>
      <c r="L48" s="41">
        <v>0</v>
      </c>
    </row>
    <row r="49" spans="1:12" ht="14.1" customHeight="1" x14ac:dyDescent="0.25">
      <c r="A49" s="202" t="s">
        <v>54</v>
      </c>
      <c r="B49" s="41">
        <v>0</v>
      </c>
      <c r="C49" s="41">
        <v>46</v>
      </c>
      <c r="D49" s="41">
        <v>273</v>
      </c>
      <c r="E49" s="41">
        <v>221</v>
      </c>
      <c r="F49" s="41">
        <v>145</v>
      </c>
      <c r="G49" s="41">
        <v>95</v>
      </c>
      <c r="H49" s="41">
        <v>36</v>
      </c>
      <c r="I49" s="42">
        <v>3</v>
      </c>
      <c r="J49" s="43">
        <v>1</v>
      </c>
      <c r="K49" s="44">
        <v>0</v>
      </c>
      <c r="L49" s="41">
        <v>0</v>
      </c>
    </row>
    <row r="50" spans="1:12" ht="14.1" customHeight="1" x14ac:dyDescent="0.25">
      <c r="A50" s="202" t="s">
        <v>55</v>
      </c>
      <c r="B50" s="41">
        <v>0</v>
      </c>
      <c r="C50" s="41">
        <v>75</v>
      </c>
      <c r="D50" s="41">
        <v>173</v>
      </c>
      <c r="E50" s="41">
        <v>227</v>
      </c>
      <c r="F50" s="41">
        <v>250</v>
      </c>
      <c r="G50" s="41">
        <v>177</v>
      </c>
      <c r="H50" s="41">
        <v>44</v>
      </c>
      <c r="I50" s="42">
        <v>8</v>
      </c>
      <c r="J50" s="43">
        <v>2</v>
      </c>
      <c r="K50" s="44">
        <v>0</v>
      </c>
      <c r="L50" s="41">
        <v>2</v>
      </c>
    </row>
    <row r="51" spans="1:12" ht="14.1" customHeight="1" x14ac:dyDescent="0.25">
      <c r="A51" s="202" t="s">
        <v>56</v>
      </c>
      <c r="B51" s="41">
        <v>0</v>
      </c>
      <c r="C51" s="41">
        <v>48</v>
      </c>
      <c r="D51" s="41">
        <v>123</v>
      </c>
      <c r="E51" s="41">
        <v>155</v>
      </c>
      <c r="F51" s="41">
        <v>188</v>
      </c>
      <c r="G51" s="41">
        <v>154</v>
      </c>
      <c r="H51" s="41">
        <v>29</v>
      </c>
      <c r="I51" s="42">
        <v>1</v>
      </c>
      <c r="J51" s="43">
        <v>0</v>
      </c>
      <c r="K51" s="44">
        <v>0</v>
      </c>
      <c r="L51" s="41">
        <v>0</v>
      </c>
    </row>
    <row r="52" spans="1:12" ht="14.1" customHeight="1" x14ac:dyDescent="0.25">
      <c r="A52" s="202" t="s">
        <v>57</v>
      </c>
      <c r="B52" s="41">
        <v>0</v>
      </c>
      <c r="C52" s="41">
        <v>93</v>
      </c>
      <c r="D52" s="41">
        <v>448</v>
      </c>
      <c r="E52" s="41">
        <v>572</v>
      </c>
      <c r="F52" s="41">
        <v>503</v>
      </c>
      <c r="G52" s="41">
        <v>365</v>
      </c>
      <c r="H52" s="41">
        <v>119</v>
      </c>
      <c r="I52" s="42">
        <v>26</v>
      </c>
      <c r="J52" s="43">
        <v>1</v>
      </c>
      <c r="K52" s="44">
        <v>0</v>
      </c>
      <c r="L52" s="41">
        <v>2</v>
      </c>
    </row>
    <row r="53" spans="1:12" ht="14.1" customHeight="1" x14ac:dyDescent="0.25">
      <c r="A53" s="202" t="s">
        <v>58</v>
      </c>
      <c r="B53" s="41">
        <v>0</v>
      </c>
      <c r="C53" s="41">
        <v>838</v>
      </c>
      <c r="D53" s="41">
        <v>2240</v>
      </c>
      <c r="E53" s="41">
        <v>1541</v>
      </c>
      <c r="F53" s="41">
        <v>1014</v>
      </c>
      <c r="G53" s="41">
        <v>552</v>
      </c>
      <c r="H53" s="41">
        <v>137</v>
      </c>
      <c r="I53" s="42">
        <v>14</v>
      </c>
      <c r="J53" s="43">
        <v>2</v>
      </c>
      <c r="K53" s="44">
        <v>1</v>
      </c>
      <c r="L53" s="41">
        <v>4</v>
      </c>
    </row>
    <row r="54" spans="1:12" ht="14.1" customHeight="1" x14ac:dyDescent="0.25">
      <c r="A54" s="202" t="s">
        <v>59</v>
      </c>
      <c r="B54" s="41">
        <v>10</v>
      </c>
      <c r="C54" s="41">
        <v>663</v>
      </c>
      <c r="D54" s="41">
        <v>1356</v>
      </c>
      <c r="E54" s="41">
        <v>1437</v>
      </c>
      <c r="F54" s="41">
        <v>1367</v>
      </c>
      <c r="G54" s="41">
        <v>910</v>
      </c>
      <c r="H54" s="41">
        <v>213</v>
      </c>
      <c r="I54" s="42">
        <v>13</v>
      </c>
      <c r="J54" s="43">
        <v>2</v>
      </c>
      <c r="K54" s="44">
        <v>0</v>
      </c>
      <c r="L54" s="41">
        <v>8</v>
      </c>
    </row>
    <row r="55" spans="1:12" ht="14.1" customHeight="1" x14ac:dyDescent="0.25">
      <c r="A55" s="201" t="s">
        <v>60</v>
      </c>
      <c r="B55" s="37">
        <v>47</v>
      </c>
      <c r="C55" s="37">
        <v>3784</v>
      </c>
      <c r="D55" s="37">
        <v>9597</v>
      </c>
      <c r="E55" s="37">
        <v>12127</v>
      </c>
      <c r="F55" s="37">
        <v>15004</v>
      </c>
      <c r="G55" s="37">
        <v>9933</v>
      </c>
      <c r="H55" s="37">
        <v>2650</v>
      </c>
      <c r="I55" s="38">
        <v>161</v>
      </c>
      <c r="J55" s="39">
        <v>9</v>
      </c>
      <c r="K55" s="40">
        <v>4</v>
      </c>
      <c r="L55" s="37">
        <v>40</v>
      </c>
    </row>
    <row r="56" spans="1:12" ht="14.1" customHeight="1" x14ac:dyDescent="0.25">
      <c r="A56" s="202" t="s">
        <v>61</v>
      </c>
      <c r="B56" s="41">
        <v>4</v>
      </c>
      <c r="C56" s="41">
        <v>498</v>
      </c>
      <c r="D56" s="41">
        <v>1272</v>
      </c>
      <c r="E56" s="41">
        <v>1530</v>
      </c>
      <c r="F56" s="41">
        <v>2063</v>
      </c>
      <c r="G56" s="41">
        <v>1325</v>
      </c>
      <c r="H56" s="41">
        <v>373</v>
      </c>
      <c r="I56" s="42">
        <v>29</v>
      </c>
      <c r="J56" s="43">
        <v>0</v>
      </c>
      <c r="K56" s="44">
        <v>1</v>
      </c>
      <c r="L56" s="41">
        <v>0</v>
      </c>
    </row>
    <row r="57" spans="1:12" ht="14.1" customHeight="1" x14ac:dyDescent="0.25">
      <c r="A57" s="202" t="s">
        <v>62</v>
      </c>
      <c r="B57" s="41">
        <v>1</v>
      </c>
      <c r="C57" s="41">
        <v>119</v>
      </c>
      <c r="D57" s="41">
        <v>294</v>
      </c>
      <c r="E57" s="41">
        <v>357</v>
      </c>
      <c r="F57" s="41">
        <v>448</v>
      </c>
      <c r="G57" s="41">
        <v>264</v>
      </c>
      <c r="H57" s="41">
        <v>70</v>
      </c>
      <c r="I57" s="42">
        <v>2</v>
      </c>
      <c r="J57" s="43">
        <v>0</v>
      </c>
      <c r="K57" s="44">
        <v>0</v>
      </c>
      <c r="L57" s="41">
        <v>3</v>
      </c>
    </row>
    <row r="58" spans="1:12" ht="14.1" customHeight="1" x14ac:dyDescent="0.25">
      <c r="A58" s="202" t="s">
        <v>63</v>
      </c>
      <c r="B58" s="41">
        <v>0</v>
      </c>
      <c r="C58" s="41">
        <v>46</v>
      </c>
      <c r="D58" s="41">
        <v>157</v>
      </c>
      <c r="E58" s="41">
        <v>215</v>
      </c>
      <c r="F58" s="41">
        <v>297</v>
      </c>
      <c r="G58" s="41">
        <v>182</v>
      </c>
      <c r="H58" s="41">
        <v>34</v>
      </c>
      <c r="I58" s="42">
        <v>0</v>
      </c>
      <c r="J58" s="43">
        <v>0</v>
      </c>
      <c r="K58" s="44">
        <v>0</v>
      </c>
      <c r="L58" s="41">
        <v>0</v>
      </c>
    </row>
    <row r="59" spans="1:12" ht="14.1" customHeight="1" x14ac:dyDescent="0.25">
      <c r="A59" s="202" t="s">
        <v>64</v>
      </c>
      <c r="B59" s="41">
        <v>2</v>
      </c>
      <c r="C59" s="41">
        <v>342</v>
      </c>
      <c r="D59" s="41">
        <v>1058</v>
      </c>
      <c r="E59" s="41">
        <v>1469</v>
      </c>
      <c r="F59" s="41">
        <v>1944</v>
      </c>
      <c r="G59" s="41">
        <v>1441</v>
      </c>
      <c r="H59" s="41">
        <v>369</v>
      </c>
      <c r="I59" s="42">
        <v>27</v>
      </c>
      <c r="J59" s="43">
        <v>3</v>
      </c>
      <c r="K59" s="44">
        <v>2</v>
      </c>
      <c r="L59" s="41">
        <v>0</v>
      </c>
    </row>
    <row r="60" spans="1:12" ht="14.1" customHeight="1" x14ac:dyDescent="0.25">
      <c r="A60" s="202" t="s">
        <v>65</v>
      </c>
      <c r="B60" s="41">
        <v>1</v>
      </c>
      <c r="C60" s="41">
        <v>244</v>
      </c>
      <c r="D60" s="41">
        <v>598</v>
      </c>
      <c r="E60" s="41">
        <v>752</v>
      </c>
      <c r="F60" s="41">
        <v>954</v>
      </c>
      <c r="G60" s="41">
        <v>626</v>
      </c>
      <c r="H60" s="41">
        <v>175</v>
      </c>
      <c r="I60" s="42">
        <v>9</v>
      </c>
      <c r="J60" s="43">
        <v>1</v>
      </c>
      <c r="K60" s="44">
        <v>0</v>
      </c>
      <c r="L60" s="41">
        <v>0</v>
      </c>
    </row>
    <row r="61" spans="1:12" ht="14.1" customHeight="1" x14ac:dyDescent="0.25">
      <c r="A61" s="202" t="s">
        <v>66</v>
      </c>
      <c r="B61" s="41">
        <v>5</v>
      </c>
      <c r="C61" s="41">
        <v>136</v>
      </c>
      <c r="D61" s="41">
        <v>360</v>
      </c>
      <c r="E61" s="41">
        <v>522</v>
      </c>
      <c r="F61" s="41">
        <v>606</v>
      </c>
      <c r="G61" s="41">
        <v>439</v>
      </c>
      <c r="H61" s="41">
        <v>113</v>
      </c>
      <c r="I61" s="42">
        <v>1</v>
      </c>
      <c r="J61" s="43">
        <v>0</v>
      </c>
      <c r="K61" s="44">
        <v>0</v>
      </c>
      <c r="L61" s="41">
        <v>1</v>
      </c>
    </row>
    <row r="62" spans="1:12" ht="14.1" customHeight="1" x14ac:dyDescent="0.25">
      <c r="A62" s="202" t="s">
        <v>67</v>
      </c>
      <c r="B62" s="41">
        <v>5</v>
      </c>
      <c r="C62" s="41">
        <v>613</v>
      </c>
      <c r="D62" s="41">
        <v>1495</v>
      </c>
      <c r="E62" s="41">
        <v>1700</v>
      </c>
      <c r="F62" s="41">
        <v>2106</v>
      </c>
      <c r="G62" s="41">
        <v>1292</v>
      </c>
      <c r="H62" s="41">
        <v>342</v>
      </c>
      <c r="I62" s="42">
        <v>21</v>
      </c>
      <c r="J62" s="43">
        <v>1</v>
      </c>
      <c r="K62" s="44">
        <v>1</v>
      </c>
      <c r="L62" s="41">
        <v>8</v>
      </c>
    </row>
    <row r="63" spans="1:12" ht="14.1" customHeight="1" x14ac:dyDescent="0.25">
      <c r="A63" s="202" t="s">
        <v>68</v>
      </c>
      <c r="B63" s="41">
        <v>3</v>
      </c>
      <c r="C63" s="41">
        <v>168</v>
      </c>
      <c r="D63" s="41">
        <v>453</v>
      </c>
      <c r="E63" s="41">
        <v>641</v>
      </c>
      <c r="F63" s="41">
        <v>727</v>
      </c>
      <c r="G63" s="41">
        <v>484</v>
      </c>
      <c r="H63" s="41">
        <v>136</v>
      </c>
      <c r="I63" s="42">
        <v>8</v>
      </c>
      <c r="J63" s="43">
        <v>0</v>
      </c>
      <c r="K63" s="44">
        <v>0</v>
      </c>
      <c r="L63" s="41">
        <v>1</v>
      </c>
    </row>
    <row r="64" spans="1:12" ht="14.1" customHeight="1" x14ac:dyDescent="0.25">
      <c r="A64" s="202" t="s">
        <v>69</v>
      </c>
      <c r="B64" s="41">
        <v>6</v>
      </c>
      <c r="C64" s="41">
        <v>297</v>
      </c>
      <c r="D64" s="41">
        <v>781</v>
      </c>
      <c r="E64" s="41">
        <v>1056</v>
      </c>
      <c r="F64" s="41">
        <v>1348</v>
      </c>
      <c r="G64" s="41">
        <v>941</v>
      </c>
      <c r="H64" s="41">
        <v>238</v>
      </c>
      <c r="I64" s="42">
        <v>19</v>
      </c>
      <c r="J64" s="43">
        <v>1</v>
      </c>
      <c r="K64" s="44">
        <v>0</v>
      </c>
      <c r="L64" s="41">
        <v>5</v>
      </c>
    </row>
    <row r="65" spans="1:12" ht="14.1" customHeight="1" x14ac:dyDescent="0.25">
      <c r="A65" s="202" t="s">
        <v>70</v>
      </c>
      <c r="B65" s="41">
        <v>7</v>
      </c>
      <c r="C65" s="41">
        <v>342</v>
      </c>
      <c r="D65" s="41">
        <v>800</v>
      </c>
      <c r="E65" s="41">
        <v>873</v>
      </c>
      <c r="F65" s="41">
        <v>1043</v>
      </c>
      <c r="G65" s="41">
        <v>656</v>
      </c>
      <c r="H65" s="41">
        <v>180</v>
      </c>
      <c r="I65" s="42">
        <v>9</v>
      </c>
      <c r="J65" s="43">
        <v>0</v>
      </c>
      <c r="K65" s="44">
        <v>0</v>
      </c>
      <c r="L65" s="41">
        <v>0</v>
      </c>
    </row>
    <row r="66" spans="1:12" ht="14.1" customHeight="1" x14ac:dyDescent="0.25">
      <c r="A66" s="202" t="s">
        <v>71</v>
      </c>
      <c r="B66" s="41">
        <v>2</v>
      </c>
      <c r="C66" s="41">
        <v>102</v>
      </c>
      <c r="D66" s="41">
        <v>235</v>
      </c>
      <c r="E66" s="41">
        <v>331</v>
      </c>
      <c r="F66" s="41">
        <v>370</v>
      </c>
      <c r="G66" s="41">
        <v>273</v>
      </c>
      <c r="H66" s="41">
        <v>84</v>
      </c>
      <c r="I66" s="42">
        <v>2</v>
      </c>
      <c r="J66" s="43">
        <v>0</v>
      </c>
      <c r="K66" s="44">
        <v>0</v>
      </c>
      <c r="L66" s="41">
        <v>3</v>
      </c>
    </row>
    <row r="67" spans="1:12" ht="14.1" customHeight="1" x14ac:dyDescent="0.25">
      <c r="A67" s="202" t="s">
        <v>72</v>
      </c>
      <c r="B67" s="41">
        <v>3</v>
      </c>
      <c r="C67" s="41">
        <v>361</v>
      </c>
      <c r="D67" s="41">
        <v>922</v>
      </c>
      <c r="E67" s="41">
        <v>1214</v>
      </c>
      <c r="F67" s="41">
        <v>1503</v>
      </c>
      <c r="G67" s="41">
        <v>961</v>
      </c>
      <c r="H67" s="41">
        <v>287</v>
      </c>
      <c r="I67" s="42">
        <v>17</v>
      </c>
      <c r="J67" s="43">
        <v>2</v>
      </c>
      <c r="K67" s="44">
        <v>0</v>
      </c>
      <c r="L67" s="41">
        <v>9</v>
      </c>
    </row>
    <row r="68" spans="1:12" ht="14.1" customHeight="1" x14ac:dyDescent="0.25">
      <c r="A68" s="203" t="s">
        <v>73</v>
      </c>
      <c r="B68" s="41">
        <v>5</v>
      </c>
      <c r="C68" s="41">
        <v>362</v>
      </c>
      <c r="D68" s="41">
        <v>849</v>
      </c>
      <c r="E68" s="41">
        <v>1042</v>
      </c>
      <c r="F68" s="41">
        <v>1142</v>
      </c>
      <c r="G68" s="41">
        <v>751</v>
      </c>
      <c r="H68" s="41">
        <v>181</v>
      </c>
      <c r="I68" s="42">
        <v>15</v>
      </c>
      <c r="J68" s="43">
        <v>1</v>
      </c>
      <c r="K68" s="44">
        <v>0</v>
      </c>
      <c r="L68" s="41">
        <v>6</v>
      </c>
    </row>
    <row r="69" spans="1:12" ht="14.1" customHeight="1" x14ac:dyDescent="0.25">
      <c r="A69" s="202" t="s">
        <v>74</v>
      </c>
      <c r="B69" s="41">
        <v>3</v>
      </c>
      <c r="C69" s="41">
        <v>154</v>
      </c>
      <c r="D69" s="41">
        <v>323</v>
      </c>
      <c r="E69" s="41">
        <v>425</v>
      </c>
      <c r="F69" s="41">
        <v>453</v>
      </c>
      <c r="G69" s="41">
        <v>298</v>
      </c>
      <c r="H69" s="41">
        <v>68</v>
      </c>
      <c r="I69" s="42">
        <v>2</v>
      </c>
      <c r="J69" s="43">
        <v>0</v>
      </c>
      <c r="K69" s="44">
        <v>0</v>
      </c>
      <c r="L69" s="41">
        <v>4</v>
      </c>
    </row>
    <row r="70" spans="1:12" ht="14.1" customHeight="1" x14ac:dyDescent="0.25">
      <c r="A70" s="206" t="s">
        <v>75</v>
      </c>
      <c r="B70" s="37">
        <v>21</v>
      </c>
      <c r="C70" s="37">
        <v>2308</v>
      </c>
      <c r="D70" s="37">
        <v>5438</v>
      </c>
      <c r="E70" s="37">
        <v>6409</v>
      </c>
      <c r="F70" s="37">
        <v>8062</v>
      </c>
      <c r="G70" s="37">
        <v>5294</v>
      </c>
      <c r="H70" s="37">
        <v>1365</v>
      </c>
      <c r="I70" s="38">
        <v>63</v>
      </c>
      <c r="J70" s="39">
        <v>7</v>
      </c>
      <c r="K70" s="40">
        <v>0</v>
      </c>
      <c r="L70" s="37">
        <v>21</v>
      </c>
    </row>
    <row r="71" spans="1:12" ht="14.1" customHeight="1" x14ac:dyDescent="0.25">
      <c r="A71" s="202" t="s">
        <v>76</v>
      </c>
      <c r="B71" s="41">
        <v>1</v>
      </c>
      <c r="C71" s="41">
        <v>158</v>
      </c>
      <c r="D71" s="41">
        <v>347</v>
      </c>
      <c r="E71" s="41">
        <v>406</v>
      </c>
      <c r="F71" s="41">
        <v>494</v>
      </c>
      <c r="G71" s="41">
        <v>294</v>
      </c>
      <c r="H71" s="41">
        <v>81</v>
      </c>
      <c r="I71" s="42">
        <v>8</v>
      </c>
      <c r="J71" s="43">
        <v>0</v>
      </c>
      <c r="K71" s="44">
        <v>0</v>
      </c>
      <c r="L71" s="41">
        <v>2</v>
      </c>
    </row>
    <row r="72" spans="1:12" ht="14.1" customHeight="1" x14ac:dyDescent="0.25">
      <c r="A72" s="202" t="s">
        <v>77</v>
      </c>
      <c r="B72" s="41">
        <v>8</v>
      </c>
      <c r="C72" s="41">
        <v>796</v>
      </c>
      <c r="D72" s="41">
        <v>1878</v>
      </c>
      <c r="E72" s="41">
        <v>2266</v>
      </c>
      <c r="F72" s="41">
        <v>2848</v>
      </c>
      <c r="G72" s="41">
        <v>1889</v>
      </c>
      <c r="H72" s="41">
        <v>524</v>
      </c>
      <c r="I72" s="42">
        <v>20</v>
      </c>
      <c r="J72" s="43">
        <v>1</v>
      </c>
      <c r="K72" s="44">
        <v>0</v>
      </c>
      <c r="L72" s="41">
        <v>11</v>
      </c>
    </row>
    <row r="73" spans="1:12" ht="14.1" customHeight="1" x14ac:dyDescent="0.25">
      <c r="A73" s="202" t="s">
        <v>78</v>
      </c>
      <c r="B73" s="41">
        <v>8</v>
      </c>
      <c r="C73" s="41">
        <v>681</v>
      </c>
      <c r="D73" s="41">
        <v>1775</v>
      </c>
      <c r="E73" s="41">
        <v>2070</v>
      </c>
      <c r="F73" s="41">
        <v>2640</v>
      </c>
      <c r="G73" s="41">
        <v>1738</v>
      </c>
      <c r="H73" s="41">
        <v>405</v>
      </c>
      <c r="I73" s="42">
        <v>18</v>
      </c>
      <c r="J73" s="43">
        <v>1</v>
      </c>
      <c r="K73" s="44">
        <v>0</v>
      </c>
      <c r="L73" s="41">
        <v>8</v>
      </c>
    </row>
    <row r="74" spans="1:12" ht="14.1" customHeight="1" x14ac:dyDescent="0.25">
      <c r="A74" s="202" t="s">
        <v>79</v>
      </c>
      <c r="B74" s="41">
        <v>1</v>
      </c>
      <c r="C74" s="41">
        <v>228</v>
      </c>
      <c r="D74" s="41">
        <v>656</v>
      </c>
      <c r="E74" s="41">
        <v>785</v>
      </c>
      <c r="F74" s="41">
        <v>1001</v>
      </c>
      <c r="G74" s="41">
        <v>699</v>
      </c>
      <c r="H74" s="41">
        <v>151</v>
      </c>
      <c r="I74" s="42">
        <v>5</v>
      </c>
      <c r="J74" s="43">
        <v>0</v>
      </c>
      <c r="K74" s="44">
        <v>0</v>
      </c>
      <c r="L74" s="41">
        <v>4</v>
      </c>
    </row>
    <row r="75" spans="1:12" ht="14.1" customHeight="1" x14ac:dyDescent="0.25">
      <c r="A75" s="202" t="s">
        <v>80</v>
      </c>
      <c r="B75" s="41">
        <v>1</v>
      </c>
      <c r="C75" s="41">
        <v>117</v>
      </c>
      <c r="D75" s="41">
        <v>328</v>
      </c>
      <c r="E75" s="41">
        <v>359</v>
      </c>
      <c r="F75" s="41">
        <v>416</v>
      </c>
      <c r="G75" s="41">
        <v>220</v>
      </c>
      <c r="H75" s="41">
        <v>57</v>
      </c>
      <c r="I75" s="42">
        <v>3</v>
      </c>
      <c r="J75" s="43">
        <v>0</v>
      </c>
      <c r="K75" s="44">
        <v>0</v>
      </c>
      <c r="L75" s="41">
        <v>1</v>
      </c>
    </row>
    <row r="76" spans="1:12" ht="14.1" customHeight="1" x14ac:dyDescent="0.25">
      <c r="A76" s="205" t="s">
        <v>288</v>
      </c>
      <c r="B76" s="41">
        <v>6</v>
      </c>
      <c r="C76" s="41">
        <v>336</v>
      </c>
      <c r="D76" s="41">
        <v>791</v>
      </c>
      <c r="E76" s="41">
        <v>926</v>
      </c>
      <c r="F76" s="41">
        <v>1223</v>
      </c>
      <c r="G76" s="41">
        <v>819</v>
      </c>
      <c r="H76" s="41">
        <v>197</v>
      </c>
      <c r="I76" s="42">
        <v>10</v>
      </c>
      <c r="J76" s="43">
        <v>1</v>
      </c>
      <c r="K76" s="44">
        <v>0</v>
      </c>
      <c r="L76" s="41">
        <v>3</v>
      </c>
    </row>
    <row r="77" spans="1:12" ht="14.1" customHeight="1" x14ac:dyDescent="0.25">
      <c r="A77" s="202" t="s">
        <v>81</v>
      </c>
      <c r="B77" s="41">
        <v>4</v>
      </c>
      <c r="C77" s="41">
        <v>673</v>
      </c>
      <c r="D77" s="41">
        <v>1438</v>
      </c>
      <c r="E77" s="41">
        <v>1667</v>
      </c>
      <c r="F77" s="41">
        <v>2080</v>
      </c>
      <c r="G77" s="41">
        <v>1373</v>
      </c>
      <c r="H77" s="41">
        <v>355</v>
      </c>
      <c r="I77" s="42">
        <v>17</v>
      </c>
      <c r="J77" s="43">
        <v>5</v>
      </c>
      <c r="K77" s="44">
        <v>0</v>
      </c>
      <c r="L77" s="41">
        <v>0</v>
      </c>
    </row>
    <row r="78" spans="1:12" ht="14.1" customHeight="1" x14ac:dyDescent="0.25">
      <c r="A78" s="201" t="s">
        <v>82</v>
      </c>
      <c r="B78" s="37">
        <v>23</v>
      </c>
      <c r="C78" s="37">
        <v>4369</v>
      </c>
      <c r="D78" s="37">
        <v>10021</v>
      </c>
      <c r="E78" s="37">
        <v>10810</v>
      </c>
      <c r="F78" s="37">
        <v>11597</v>
      </c>
      <c r="G78" s="37">
        <v>7458</v>
      </c>
      <c r="H78" s="37">
        <v>1752</v>
      </c>
      <c r="I78" s="38">
        <v>72</v>
      </c>
      <c r="J78" s="39">
        <v>2</v>
      </c>
      <c r="K78" s="40">
        <v>0</v>
      </c>
      <c r="L78" s="37">
        <v>64</v>
      </c>
    </row>
    <row r="79" spans="1:12" ht="14.1" customHeight="1" x14ac:dyDescent="0.25">
      <c r="A79" s="202" t="s">
        <v>83</v>
      </c>
      <c r="B79" s="41">
        <v>0</v>
      </c>
      <c r="C79" s="41">
        <v>100</v>
      </c>
      <c r="D79" s="41">
        <v>200</v>
      </c>
      <c r="E79" s="41">
        <v>205</v>
      </c>
      <c r="F79" s="41">
        <v>199</v>
      </c>
      <c r="G79" s="41">
        <v>149</v>
      </c>
      <c r="H79" s="41">
        <v>29</v>
      </c>
      <c r="I79" s="42">
        <v>3</v>
      </c>
      <c r="J79" s="43">
        <v>0</v>
      </c>
      <c r="K79" s="44">
        <v>0</v>
      </c>
      <c r="L79" s="41">
        <v>0</v>
      </c>
    </row>
    <row r="80" spans="1:12" ht="14.1" customHeight="1" x14ac:dyDescent="0.25">
      <c r="A80" s="202" t="s">
        <v>85</v>
      </c>
      <c r="B80" s="41">
        <v>1</v>
      </c>
      <c r="C80" s="41">
        <v>323</v>
      </c>
      <c r="D80" s="41">
        <v>1055</v>
      </c>
      <c r="E80" s="41">
        <v>1023</v>
      </c>
      <c r="F80" s="41">
        <v>626</v>
      </c>
      <c r="G80" s="41">
        <v>289</v>
      </c>
      <c r="H80" s="41">
        <v>65</v>
      </c>
      <c r="I80" s="42">
        <v>4</v>
      </c>
      <c r="J80" s="43">
        <v>0</v>
      </c>
      <c r="K80" s="44">
        <v>0</v>
      </c>
      <c r="L80" s="41">
        <v>1</v>
      </c>
    </row>
    <row r="81" spans="1:12" ht="14.1" customHeight="1" x14ac:dyDescent="0.25">
      <c r="A81" s="202" t="s">
        <v>86</v>
      </c>
      <c r="B81" s="41">
        <v>0</v>
      </c>
      <c r="C81" s="41">
        <v>141</v>
      </c>
      <c r="D81" s="41">
        <v>317</v>
      </c>
      <c r="E81" s="41">
        <v>335</v>
      </c>
      <c r="F81" s="41">
        <v>345</v>
      </c>
      <c r="G81" s="41">
        <v>240</v>
      </c>
      <c r="H81" s="41">
        <v>58</v>
      </c>
      <c r="I81" s="42">
        <v>2</v>
      </c>
      <c r="J81" s="43">
        <v>0</v>
      </c>
      <c r="K81" s="44">
        <v>0</v>
      </c>
      <c r="L81" s="41">
        <v>0</v>
      </c>
    </row>
    <row r="82" spans="1:12" ht="14.1" customHeight="1" x14ac:dyDescent="0.25">
      <c r="A82" s="202" t="s">
        <v>87</v>
      </c>
      <c r="B82" s="41">
        <v>2</v>
      </c>
      <c r="C82" s="41">
        <v>424</v>
      </c>
      <c r="D82" s="41">
        <v>925</v>
      </c>
      <c r="E82" s="41">
        <v>975</v>
      </c>
      <c r="F82" s="41">
        <v>1224</v>
      </c>
      <c r="G82" s="41">
        <v>830</v>
      </c>
      <c r="H82" s="41">
        <v>203</v>
      </c>
      <c r="I82" s="42">
        <v>4</v>
      </c>
      <c r="J82" s="43">
        <v>0</v>
      </c>
      <c r="K82" s="44">
        <v>0</v>
      </c>
      <c r="L82" s="41">
        <v>3</v>
      </c>
    </row>
    <row r="83" spans="1:12" ht="14.1" customHeight="1" x14ac:dyDescent="0.25">
      <c r="A83" s="202" t="s">
        <v>89</v>
      </c>
      <c r="B83" s="41">
        <v>5</v>
      </c>
      <c r="C83" s="41">
        <v>701</v>
      </c>
      <c r="D83" s="41">
        <v>1760</v>
      </c>
      <c r="E83" s="41">
        <v>1873</v>
      </c>
      <c r="F83" s="41">
        <v>1912</v>
      </c>
      <c r="G83" s="41">
        <v>1257</v>
      </c>
      <c r="H83" s="41">
        <v>293</v>
      </c>
      <c r="I83" s="42">
        <v>11</v>
      </c>
      <c r="J83" s="43">
        <v>0</v>
      </c>
      <c r="K83" s="44">
        <v>0</v>
      </c>
      <c r="L83" s="41">
        <v>0</v>
      </c>
    </row>
    <row r="84" spans="1:12" ht="14.1" customHeight="1" x14ac:dyDescent="0.25">
      <c r="A84" s="202" t="s">
        <v>90</v>
      </c>
      <c r="B84" s="41">
        <v>4</v>
      </c>
      <c r="C84" s="41">
        <v>860</v>
      </c>
      <c r="D84" s="41">
        <v>1803</v>
      </c>
      <c r="E84" s="41">
        <v>2023</v>
      </c>
      <c r="F84" s="41">
        <v>2064</v>
      </c>
      <c r="G84" s="41">
        <v>1281</v>
      </c>
      <c r="H84" s="41">
        <v>275</v>
      </c>
      <c r="I84" s="42">
        <v>9</v>
      </c>
      <c r="J84" s="43">
        <v>0</v>
      </c>
      <c r="K84" s="44">
        <v>0</v>
      </c>
      <c r="L84" s="41">
        <v>11</v>
      </c>
    </row>
    <row r="85" spans="1:12" ht="14.1" customHeight="1" x14ac:dyDescent="0.25">
      <c r="A85" s="202" t="s">
        <v>91</v>
      </c>
      <c r="B85" s="41">
        <v>3</v>
      </c>
      <c r="C85" s="41">
        <v>607</v>
      </c>
      <c r="D85" s="41">
        <v>1336</v>
      </c>
      <c r="E85" s="41">
        <v>1469</v>
      </c>
      <c r="F85" s="41">
        <v>1687</v>
      </c>
      <c r="G85" s="41">
        <v>1034</v>
      </c>
      <c r="H85" s="41">
        <v>217</v>
      </c>
      <c r="I85" s="42">
        <v>11</v>
      </c>
      <c r="J85" s="43">
        <v>0</v>
      </c>
      <c r="K85" s="44">
        <v>0</v>
      </c>
      <c r="L85" s="41">
        <v>17</v>
      </c>
    </row>
    <row r="86" spans="1:12" ht="14.1" customHeight="1" x14ac:dyDescent="0.25">
      <c r="A86" s="202" t="s">
        <v>92</v>
      </c>
      <c r="B86" s="41">
        <v>4</v>
      </c>
      <c r="C86" s="41">
        <v>598</v>
      </c>
      <c r="D86" s="41">
        <v>1233</v>
      </c>
      <c r="E86" s="41">
        <v>1377</v>
      </c>
      <c r="F86" s="41">
        <v>1660</v>
      </c>
      <c r="G86" s="41">
        <v>1142</v>
      </c>
      <c r="H86" s="41">
        <v>316</v>
      </c>
      <c r="I86" s="42">
        <v>17</v>
      </c>
      <c r="J86" s="43">
        <v>0</v>
      </c>
      <c r="K86" s="44">
        <v>0</v>
      </c>
      <c r="L86" s="41">
        <v>16</v>
      </c>
    </row>
    <row r="87" spans="1:12" ht="14.1" customHeight="1" x14ac:dyDescent="0.25">
      <c r="A87" s="202" t="s">
        <v>93</v>
      </c>
      <c r="B87" s="41">
        <v>3</v>
      </c>
      <c r="C87" s="41">
        <v>394</v>
      </c>
      <c r="D87" s="41">
        <v>925</v>
      </c>
      <c r="E87" s="41">
        <v>940</v>
      </c>
      <c r="F87" s="41">
        <v>1126</v>
      </c>
      <c r="G87" s="41">
        <v>744</v>
      </c>
      <c r="H87" s="41">
        <v>185</v>
      </c>
      <c r="I87" s="42">
        <v>6</v>
      </c>
      <c r="J87" s="43">
        <v>1</v>
      </c>
      <c r="K87" s="44">
        <v>0</v>
      </c>
      <c r="L87" s="41">
        <v>10</v>
      </c>
    </row>
    <row r="88" spans="1:12" ht="14.1" customHeight="1" x14ac:dyDescent="0.25">
      <c r="A88" s="202" t="s">
        <v>94</v>
      </c>
      <c r="B88" s="41">
        <v>1</v>
      </c>
      <c r="C88" s="41">
        <v>221</v>
      </c>
      <c r="D88" s="41">
        <v>467</v>
      </c>
      <c r="E88" s="41">
        <v>590</v>
      </c>
      <c r="F88" s="41">
        <v>754</v>
      </c>
      <c r="G88" s="41">
        <v>492</v>
      </c>
      <c r="H88" s="41">
        <v>111</v>
      </c>
      <c r="I88" s="42">
        <v>5</v>
      </c>
      <c r="J88" s="43">
        <v>1</v>
      </c>
      <c r="K88" s="44">
        <v>0</v>
      </c>
      <c r="L88" s="41">
        <v>6</v>
      </c>
    </row>
    <row r="89" spans="1:12" ht="14.1" customHeight="1" x14ac:dyDescent="0.25">
      <c r="A89" s="206" t="s">
        <v>95</v>
      </c>
      <c r="B89" s="37">
        <v>21</v>
      </c>
      <c r="C89" s="37">
        <v>2792</v>
      </c>
      <c r="D89" s="37">
        <v>6171</v>
      </c>
      <c r="E89" s="37">
        <v>6586</v>
      </c>
      <c r="F89" s="37">
        <v>6824</v>
      </c>
      <c r="G89" s="37">
        <v>4166</v>
      </c>
      <c r="H89" s="37">
        <v>983</v>
      </c>
      <c r="I89" s="38">
        <v>53</v>
      </c>
      <c r="J89" s="39">
        <v>6</v>
      </c>
      <c r="K89" s="40">
        <v>1</v>
      </c>
      <c r="L89" s="37">
        <v>42</v>
      </c>
    </row>
    <row r="90" spans="1:12" ht="14.1" customHeight="1" x14ac:dyDescent="0.25">
      <c r="A90" s="202" t="s">
        <v>84</v>
      </c>
      <c r="B90" s="41">
        <v>4</v>
      </c>
      <c r="C90" s="41">
        <v>419</v>
      </c>
      <c r="D90" s="41">
        <v>933</v>
      </c>
      <c r="E90" s="41">
        <v>907</v>
      </c>
      <c r="F90" s="41">
        <v>1004</v>
      </c>
      <c r="G90" s="41">
        <v>639</v>
      </c>
      <c r="H90" s="41">
        <v>143</v>
      </c>
      <c r="I90" s="42">
        <v>5</v>
      </c>
      <c r="J90" s="43">
        <v>2</v>
      </c>
      <c r="K90" s="44">
        <v>1</v>
      </c>
      <c r="L90" s="41">
        <v>11</v>
      </c>
    </row>
    <row r="91" spans="1:12" ht="14.1" customHeight="1" x14ac:dyDescent="0.25">
      <c r="A91" s="202" t="s">
        <v>96</v>
      </c>
      <c r="B91" s="41">
        <v>2</v>
      </c>
      <c r="C91" s="41">
        <v>431</v>
      </c>
      <c r="D91" s="41">
        <v>1311</v>
      </c>
      <c r="E91" s="41">
        <v>1325</v>
      </c>
      <c r="F91" s="41">
        <v>1115</v>
      </c>
      <c r="G91" s="41">
        <v>707</v>
      </c>
      <c r="H91" s="41">
        <v>183</v>
      </c>
      <c r="I91" s="42">
        <v>14</v>
      </c>
      <c r="J91" s="43">
        <v>2</v>
      </c>
      <c r="K91" s="44">
        <v>0</v>
      </c>
      <c r="L91" s="41">
        <v>13</v>
      </c>
    </row>
    <row r="92" spans="1:12" ht="14.1" customHeight="1" x14ac:dyDescent="0.25">
      <c r="A92" s="202" t="s">
        <v>88</v>
      </c>
      <c r="B92" s="41">
        <v>3</v>
      </c>
      <c r="C92" s="41">
        <v>524</v>
      </c>
      <c r="D92" s="41">
        <v>1041</v>
      </c>
      <c r="E92" s="41">
        <v>902</v>
      </c>
      <c r="F92" s="41">
        <v>874</v>
      </c>
      <c r="G92" s="41">
        <v>521</v>
      </c>
      <c r="H92" s="41">
        <v>112</v>
      </c>
      <c r="I92" s="42">
        <v>3</v>
      </c>
      <c r="J92" s="43">
        <v>0</v>
      </c>
      <c r="K92" s="44">
        <v>0</v>
      </c>
      <c r="L92" s="41">
        <v>6</v>
      </c>
    </row>
    <row r="93" spans="1:12" ht="14.1" customHeight="1" x14ac:dyDescent="0.25">
      <c r="A93" s="202" t="s">
        <v>97</v>
      </c>
      <c r="B93" s="41">
        <v>0</v>
      </c>
      <c r="C93" s="41">
        <v>76</v>
      </c>
      <c r="D93" s="41">
        <v>120</v>
      </c>
      <c r="E93" s="41">
        <v>157</v>
      </c>
      <c r="F93" s="41">
        <v>230</v>
      </c>
      <c r="G93" s="41">
        <v>149</v>
      </c>
      <c r="H93" s="41">
        <v>34</v>
      </c>
      <c r="I93" s="42">
        <v>3</v>
      </c>
      <c r="J93" s="43">
        <v>0</v>
      </c>
      <c r="K93" s="44">
        <v>0</v>
      </c>
      <c r="L93" s="41">
        <v>0</v>
      </c>
    </row>
    <row r="94" spans="1:12" ht="14.1" customHeight="1" x14ac:dyDescent="0.25">
      <c r="A94" s="202" t="s">
        <v>98</v>
      </c>
      <c r="B94" s="41">
        <v>1</v>
      </c>
      <c r="C94" s="41">
        <v>411</v>
      </c>
      <c r="D94" s="41">
        <v>785</v>
      </c>
      <c r="E94" s="41">
        <v>963</v>
      </c>
      <c r="F94" s="41">
        <v>1044</v>
      </c>
      <c r="G94" s="41">
        <v>658</v>
      </c>
      <c r="H94" s="41">
        <v>171</v>
      </c>
      <c r="I94" s="42">
        <v>9</v>
      </c>
      <c r="J94" s="43">
        <v>0</v>
      </c>
      <c r="K94" s="44">
        <v>0</v>
      </c>
      <c r="L94" s="41">
        <v>7</v>
      </c>
    </row>
    <row r="95" spans="1:12" ht="14.1" customHeight="1" x14ac:dyDescent="0.25">
      <c r="A95" s="202" t="s">
        <v>99</v>
      </c>
      <c r="B95" s="41">
        <v>4</v>
      </c>
      <c r="C95" s="41">
        <v>386</v>
      </c>
      <c r="D95" s="41">
        <v>821</v>
      </c>
      <c r="E95" s="41">
        <v>1029</v>
      </c>
      <c r="F95" s="41">
        <v>1170</v>
      </c>
      <c r="G95" s="41">
        <v>669</v>
      </c>
      <c r="H95" s="41">
        <v>149</v>
      </c>
      <c r="I95" s="42">
        <v>12</v>
      </c>
      <c r="J95" s="43">
        <v>2</v>
      </c>
      <c r="K95" s="44">
        <v>0</v>
      </c>
      <c r="L95" s="41">
        <v>0</v>
      </c>
    </row>
    <row r="96" spans="1:12" ht="14.1" customHeight="1" x14ac:dyDescent="0.25">
      <c r="A96" s="202" t="s">
        <v>100</v>
      </c>
      <c r="B96" s="41">
        <v>4</v>
      </c>
      <c r="C96" s="41">
        <v>250</v>
      </c>
      <c r="D96" s="41">
        <v>548</v>
      </c>
      <c r="E96" s="41">
        <v>565</v>
      </c>
      <c r="F96" s="41">
        <v>554</v>
      </c>
      <c r="G96" s="41">
        <v>390</v>
      </c>
      <c r="H96" s="41">
        <v>73</v>
      </c>
      <c r="I96" s="42">
        <v>4</v>
      </c>
      <c r="J96" s="43">
        <v>0</v>
      </c>
      <c r="K96" s="44">
        <v>0</v>
      </c>
      <c r="L96" s="41">
        <v>2</v>
      </c>
    </row>
    <row r="97" spans="1:12" ht="14.1" customHeight="1" x14ac:dyDescent="0.25">
      <c r="A97" s="202" t="s">
        <v>101</v>
      </c>
      <c r="B97" s="41">
        <v>0</v>
      </c>
      <c r="C97" s="41">
        <v>40</v>
      </c>
      <c r="D97" s="41">
        <v>77</v>
      </c>
      <c r="E97" s="41">
        <v>88</v>
      </c>
      <c r="F97" s="41">
        <v>121</v>
      </c>
      <c r="G97" s="41">
        <v>61</v>
      </c>
      <c r="H97" s="41">
        <v>16</v>
      </c>
      <c r="I97" s="42">
        <v>0</v>
      </c>
      <c r="J97" s="43">
        <v>0</v>
      </c>
      <c r="K97" s="44">
        <v>0</v>
      </c>
      <c r="L97" s="41">
        <v>0</v>
      </c>
    </row>
    <row r="98" spans="1:12" ht="14.1" customHeight="1" x14ac:dyDescent="0.25">
      <c r="A98" s="202" t="s">
        <v>102</v>
      </c>
      <c r="B98" s="41">
        <v>2</v>
      </c>
      <c r="C98" s="41">
        <v>146</v>
      </c>
      <c r="D98" s="41">
        <v>375</v>
      </c>
      <c r="E98" s="41">
        <v>461</v>
      </c>
      <c r="F98" s="41">
        <v>517</v>
      </c>
      <c r="G98" s="41">
        <v>290</v>
      </c>
      <c r="H98" s="41">
        <v>70</v>
      </c>
      <c r="I98" s="42">
        <v>3</v>
      </c>
      <c r="J98" s="43">
        <v>0</v>
      </c>
      <c r="K98" s="44">
        <v>0</v>
      </c>
      <c r="L98" s="41">
        <v>2</v>
      </c>
    </row>
    <row r="99" spans="1:12" ht="14.1" customHeight="1" x14ac:dyDescent="0.25">
      <c r="A99" s="202" t="s">
        <v>103</v>
      </c>
      <c r="B99" s="41">
        <v>0</v>
      </c>
      <c r="C99" s="41">
        <v>69</v>
      </c>
      <c r="D99" s="41">
        <v>110</v>
      </c>
      <c r="E99" s="41">
        <v>138</v>
      </c>
      <c r="F99" s="41">
        <v>147</v>
      </c>
      <c r="G99" s="41">
        <v>61</v>
      </c>
      <c r="H99" s="41">
        <v>21</v>
      </c>
      <c r="I99" s="42">
        <v>0</v>
      </c>
      <c r="J99" s="43">
        <v>0</v>
      </c>
      <c r="K99" s="44">
        <v>0</v>
      </c>
      <c r="L99" s="41">
        <v>1</v>
      </c>
    </row>
    <row r="100" spans="1:12" s="136" customFormat="1" ht="14.1" customHeight="1" x14ac:dyDescent="0.25">
      <c r="A100" s="273" t="s">
        <v>104</v>
      </c>
      <c r="B100" s="276">
        <v>1</v>
      </c>
      <c r="C100" s="276">
        <v>40</v>
      </c>
      <c r="D100" s="276">
        <v>50</v>
      </c>
      <c r="E100" s="276">
        <v>51</v>
      </c>
      <c r="F100" s="276">
        <v>48</v>
      </c>
      <c r="G100" s="276">
        <v>21</v>
      </c>
      <c r="H100" s="276">
        <v>11</v>
      </c>
      <c r="I100" s="277">
        <v>0</v>
      </c>
      <c r="J100" s="278">
        <v>0</v>
      </c>
      <c r="K100" s="279">
        <v>0</v>
      </c>
      <c r="L100" s="276">
        <v>0</v>
      </c>
    </row>
    <row r="103" spans="1:12" x14ac:dyDescent="0.25">
      <c r="B103" s="46"/>
      <c r="C103" s="47"/>
      <c r="K103" s="47"/>
    </row>
    <row r="104" spans="1:12" x14ac:dyDescent="0.25">
      <c r="C104" s="47"/>
      <c r="K104" s="47"/>
    </row>
    <row r="105" spans="1:12" x14ac:dyDescent="0.25">
      <c r="K105" s="47"/>
    </row>
  </sheetData>
  <mergeCells count="2">
    <mergeCell ref="A1:L1"/>
    <mergeCell ref="A2:L2"/>
  </mergeCells>
  <printOptions horizontalCentered="1"/>
  <pageMargins left="0.55118110236220474" right="0.31496062992125984" top="0.70866141732283472" bottom="0.19685039370078741" header="0.31496062992125984" footer="0.11811023622047245"/>
  <pageSetup paperSize="9" firstPageNumber="15" orientation="landscape" useFirstPageNumber="1" r:id="rId1"/>
  <headerFooter>
    <oddHeader>&amp;C&amp;"Arial,обычный"&amp;10&amp;P</oddHeader>
  </headerFooter>
  <rowBreaks count="2" manualBreakCount="2">
    <brk id="37" max="16383" man="1"/>
    <brk id="6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H57"/>
  <sheetViews>
    <sheetView zoomScaleNormal="100" zoomScaleSheetLayoutView="100" workbookViewId="0">
      <selection activeCell="A2" sqref="A2:H2"/>
    </sheetView>
  </sheetViews>
  <sheetFormatPr defaultRowHeight="12.95" customHeight="1" x14ac:dyDescent="0.25"/>
  <cols>
    <col min="1" max="1" width="18.28515625" customWidth="1"/>
    <col min="2" max="8" width="19.42578125" customWidth="1"/>
  </cols>
  <sheetData>
    <row r="1" spans="1:8" ht="18.75" customHeight="1" x14ac:dyDescent="0.25">
      <c r="A1" s="500" t="s">
        <v>299</v>
      </c>
      <c r="B1" s="500"/>
      <c r="C1" s="500"/>
      <c r="D1" s="500"/>
      <c r="E1" s="500"/>
      <c r="F1" s="500"/>
      <c r="G1" s="500"/>
      <c r="H1" s="500"/>
    </row>
    <row r="2" spans="1:8" ht="12.95" customHeight="1" x14ac:dyDescent="0.25">
      <c r="A2" s="500" t="s">
        <v>347</v>
      </c>
      <c r="B2" s="500"/>
      <c r="C2" s="500"/>
      <c r="D2" s="500"/>
      <c r="E2" s="500"/>
      <c r="F2" s="500"/>
      <c r="G2" s="500"/>
      <c r="H2" s="500"/>
    </row>
    <row r="3" spans="1:8" ht="12" customHeight="1" x14ac:dyDescent="0.25"/>
    <row r="4" spans="1:8" ht="12.95" customHeight="1" x14ac:dyDescent="0.25">
      <c r="A4" s="502" t="s">
        <v>225</v>
      </c>
      <c r="B4" s="504" t="s">
        <v>226</v>
      </c>
      <c r="C4" s="505" t="s">
        <v>227</v>
      </c>
      <c r="D4" s="506"/>
      <c r="E4" s="506"/>
      <c r="F4" s="506"/>
      <c r="G4" s="506"/>
      <c r="H4" s="506"/>
    </row>
    <row r="5" spans="1:8" ht="18" customHeight="1" x14ac:dyDescent="0.25">
      <c r="A5" s="503"/>
      <c r="B5" s="504"/>
      <c r="C5" s="326" t="s">
        <v>294</v>
      </c>
      <c r="D5" s="326" t="s">
        <v>295</v>
      </c>
      <c r="E5" s="326" t="s">
        <v>296</v>
      </c>
      <c r="F5" s="326" t="s">
        <v>297</v>
      </c>
      <c r="G5" s="327" t="s">
        <v>298</v>
      </c>
      <c r="H5" s="326" t="s">
        <v>228</v>
      </c>
    </row>
    <row r="6" spans="1:8" ht="12" customHeight="1" x14ac:dyDescent="0.25">
      <c r="A6" s="328">
        <v>11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</row>
    <row r="7" spans="1:8" ht="12" customHeight="1" x14ac:dyDescent="0.25">
      <c r="A7" s="329">
        <v>12</v>
      </c>
      <c r="B7" s="72">
        <v>3</v>
      </c>
      <c r="C7" s="72">
        <v>3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</row>
    <row r="8" spans="1:8" ht="12" customHeight="1" x14ac:dyDescent="0.25">
      <c r="A8" s="329">
        <v>13</v>
      </c>
      <c r="B8" s="72">
        <v>24</v>
      </c>
      <c r="C8" s="72">
        <v>24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</row>
    <row r="9" spans="1:8" ht="12" customHeight="1" x14ac:dyDescent="0.25">
      <c r="A9" s="329">
        <v>14</v>
      </c>
      <c r="B9" s="72">
        <v>189</v>
      </c>
      <c r="C9" s="72">
        <v>188</v>
      </c>
      <c r="D9" s="72">
        <v>1</v>
      </c>
      <c r="E9" s="72">
        <v>0</v>
      </c>
      <c r="F9" s="72">
        <v>0</v>
      </c>
      <c r="G9" s="72">
        <v>0</v>
      </c>
      <c r="H9" s="72">
        <v>0</v>
      </c>
    </row>
    <row r="10" spans="1:8" ht="12" customHeight="1" x14ac:dyDescent="0.25">
      <c r="A10" s="329">
        <v>15</v>
      </c>
      <c r="B10" s="72">
        <v>927</v>
      </c>
      <c r="C10" s="72">
        <v>906</v>
      </c>
      <c r="D10" s="72">
        <v>19</v>
      </c>
      <c r="E10" s="72">
        <v>1</v>
      </c>
      <c r="F10" s="72">
        <v>0</v>
      </c>
      <c r="G10" s="72">
        <v>0</v>
      </c>
      <c r="H10" s="72">
        <v>1</v>
      </c>
    </row>
    <row r="11" spans="1:8" ht="12" customHeight="1" x14ac:dyDescent="0.25">
      <c r="A11" s="329">
        <v>16</v>
      </c>
      <c r="B11" s="72">
        <v>3036</v>
      </c>
      <c r="C11" s="72">
        <v>2879</v>
      </c>
      <c r="D11" s="72">
        <v>154</v>
      </c>
      <c r="E11" s="72">
        <v>2</v>
      </c>
      <c r="F11" s="72">
        <v>0</v>
      </c>
      <c r="G11" s="72">
        <v>0</v>
      </c>
      <c r="H11" s="72">
        <v>1</v>
      </c>
    </row>
    <row r="12" spans="1:8" ht="12" customHeight="1" x14ac:dyDescent="0.25">
      <c r="A12" s="329">
        <v>17</v>
      </c>
      <c r="B12" s="72">
        <v>7068</v>
      </c>
      <c r="C12" s="72">
        <v>6508</v>
      </c>
      <c r="D12" s="72">
        <v>508</v>
      </c>
      <c r="E12" s="72">
        <v>42</v>
      </c>
      <c r="F12" s="72">
        <v>2</v>
      </c>
      <c r="G12" s="72">
        <v>1</v>
      </c>
      <c r="H12" s="72">
        <v>7</v>
      </c>
    </row>
    <row r="13" spans="1:8" ht="12" customHeight="1" x14ac:dyDescent="0.25">
      <c r="A13" s="329">
        <v>18</v>
      </c>
      <c r="B13" s="72">
        <v>14381</v>
      </c>
      <c r="C13" s="72">
        <v>12756</v>
      </c>
      <c r="D13" s="72">
        <v>1488</v>
      </c>
      <c r="E13" s="72">
        <v>117</v>
      </c>
      <c r="F13" s="72">
        <v>17</v>
      </c>
      <c r="G13" s="72">
        <v>1</v>
      </c>
      <c r="H13" s="72">
        <v>2</v>
      </c>
    </row>
    <row r="14" spans="1:8" ht="12" customHeight="1" x14ac:dyDescent="0.25">
      <c r="A14" s="329">
        <v>19</v>
      </c>
      <c r="B14" s="72">
        <v>25018</v>
      </c>
      <c r="C14" s="72">
        <v>20755</v>
      </c>
      <c r="D14" s="72">
        <v>3797</v>
      </c>
      <c r="E14" s="72">
        <v>421</v>
      </c>
      <c r="F14" s="72">
        <v>29</v>
      </c>
      <c r="G14" s="72">
        <v>7</v>
      </c>
      <c r="H14" s="72">
        <v>9</v>
      </c>
    </row>
    <row r="15" spans="1:8" ht="12" customHeight="1" x14ac:dyDescent="0.25">
      <c r="A15" s="329">
        <v>20</v>
      </c>
      <c r="B15" s="72">
        <v>35107</v>
      </c>
      <c r="C15" s="72">
        <v>26437</v>
      </c>
      <c r="D15" s="72">
        <v>7481</v>
      </c>
      <c r="E15" s="72">
        <v>1030</v>
      </c>
      <c r="F15" s="72">
        <v>128</v>
      </c>
      <c r="G15" s="72">
        <v>26</v>
      </c>
      <c r="H15" s="72">
        <v>5</v>
      </c>
    </row>
    <row r="16" spans="1:8" ht="12" customHeight="1" x14ac:dyDescent="0.25">
      <c r="A16" s="329">
        <v>21</v>
      </c>
      <c r="B16" s="72">
        <v>43295</v>
      </c>
      <c r="C16" s="72">
        <v>29964</v>
      </c>
      <c r="D16" s="72">
        <v>11075</v>
      </c>
      <c r="E16" s="72">
        <v>1922</v>
      </c>
      <c r="F16" s="72">
        <v>285</v>
      </c>
      <c r="G16" s="72">
        <v>41</v>
      </c>
      <c r="H16" s="72">
        <v>8</v>
      </c>
    </row>
    <row r="17" spans="1:8" ht="12" customHeight="1" x14ac:dyDescent="0.25">
      <c r="A17" s="329">
        <v>22</v>
      </c>
      <c r="B17" s="72">
        <v>50661</v>
      </c>
      <c r="C17" s="72">
        <v>32657</v>
      </c>
      <c r="D17" s="72">
        <v>14167</v>
      </c>
      <c r="E17" s="72">
        <v>3163</v>
      </c>
      <c r="F17" s="72">
        <v>567</v>
      </c>
      <c r="G17" s="72">
        <v>98</v>
      </c>
      <c r="H17" s="72">
        <v>9</v>
      </c>
    </row>
    <row r="18" spans="1:8" ht="12" customHeight="1" x14ac:dyDescent="0.25">
      <c r="A18" s="329">
        <v>23</v>
      </c>
      <c r="B18" s="72">
        <v>58586</v>
      </c>
      <c r="C18" s="72">
        <v>35798</v>
      </c>
      <c r="D18" s="72">
        <v>17193</v>
      </c>
      <c r="E18" s="72">
        <v>4483</v>
      </c>
      <c r="F18" s="72">
        <v>906</v>
      </c>
      <c r="G18" s="72">
        <v>196</v>
      </c>
      <c r="H18" s="72">
        <v>10</v>
      </c>
    </row>
    <row r="19" spans="1:8" ht="12" customHeight="1" x14ac:dyDescent="0.25">
      <c r="A19" s="329">
        <v>24</v>
      </c>
      <c r="B19" s="72">
        <v>69120</v>
      </c>
      <c r="C19" s="72">
        <v>40234</v>
      </c>
      <c r="D19" s="72">
        <v>20888</v>
      </c>
      <c r="E19" s="72">
        <v>6271</v>
      </c>
      <c r="F19" s="72">
        <v>1395</v>
      </c>
      <c r="G19" s="72">
        <v>319</v>
      </c>
      <c r="H19" s="72">
        <v>13</v>
      </c>
    </row>
    <row r="20" spans="1:8" ht="12" customHeight="1" x14ac:dyDescent="0.25">
      <c r="A20" s="329">
        <v>25</v>
      </c>
      <c r="B20" s="72">
        <v>74255</v>
      </c>
      <c r="C20" s="72">
        <v>40688</v>
      </c>
      <c r="D20" s="72">
        <v>23815</v>
      </c>
      <c r="E20" s="72">
        <v>7356</v>
      </c>
      <c r="F20" s="72">
        <v>1868</v>
      </c>
      <c r="G20" s="72">
        <v>513</v>
      </c>
      <c r="H20" s="72">
        <v>15</v>
      </c>
    </row>
    <row r="21" spans="1:8" ht="12" customHeight="1" x14ac:dyDescent="0.25">
      <c r="A21" s="329">
        <v>26</v>
      </c>
      <c r="B21" s="72">
        <v>80476</v>
      </c>
      <c r="C21" s="72">
        <v>39963</v>
      </c>
      <c r="D21" s="72">
        <v>28030</v>
      </c>
      <c r="E21" s="72">
        <v>9019</v>
      </c>
      <c r="F21" s="72">
        <v>2541</v>
      </c>
      <c r="G21" s="72">
        <v>906</v>
      </c>
      <c r="H21" s="72">
        <v>17</v>
      </c>
    </row>
    <row r="22" spans="1:8" ht="12" customHeight="1" x14ac:dyDescent="0.25">
      <c r="A22" s="329">
        <v>27</v>
      </c>
      <c r="B22" s="72">
        <v>88470</v>
      </c>
      <c r="C22" s="72">
        <v>39338</v>
      </c>
      <c r="D22" s="72">
        <v>33647</v>
      </c>
      <c r="E22" s="72">
        <v>11083</v>
      </c>
      <c r="F22" s="72">
        <v>3113</v>
      </c>
      <c r="G22" s="72">
        <v>1276</v>
      </c>
      <c r="H22" s="72">
        <v>13</v>
      </c>
    </row>
    <row r="23" spans="1:8" ht="12" customHeight="1" x14ac:dyDescent="0.25">
      <c r="A23" s="329">
        <v>28</v>
      </c>
      <c r="B23" s="72">
        <v>95780</v>
      </c>
      <c r="C23" s="72">
        <v>37468</v>
      </c>
      <c r="D23" s="72">
        <v>39260</v>
      </c>
      <c r="E23" s="72">
        <v>13317</v>
      </c>
      <c r="F23" s="72">
        <v>3945</v>
      </c>
      <c r="G23" s="72">
        <v>1767</v>
      </c>
      <c r="H23" s="72">
        <v>23</v>
      </c>
    </row>
    <row r="24" spans="1:8" ht="12" customHeight="1" x14ac:dyDescent="0.25">
      <c r="A24" s="329">
        <v>29</v>
      </c>
      <c r="B24" s="72">
        <v>98811</v>
      </c>
      <c r="C24" s="72">
        <v>33634</v>
      </c>
      <c r="D24" s="72">
        <v>42962</v>
      </c>
      <c r="E24" s="72">
        <v>15583</v>
      </c>
      <c r="F24" s="72">
        <v>4577</v>
      </c>
      <c r="G24" s="72">
        <v>2032</v>
      </c>
      <c r="H24" s="72">
        <v>23</v>
      </c>
    </row>
    <row r="25" spans="1:8" ht="12" customHeight="1" x14ac:dyDescent="0.25">
      <c r="A25" s="329">
        <v>30</v>
      </c>
      <c r="B25" s="72">
        <v>100406</v>
      </c>
      <c r="C25" s="72">
        <v>30560</v>
      </c>
      <c r="D25" s="72">
        <v>44757</v>
      </c>
      <c r="E25" s="72">
        <v>17561</v>
      </c>
      <c r="F25" s="72">
        <v>5052</v>
      </c>
      <c r="G25" s="72">
        <v>2454</v>
      </c>
      <c r="H25" s="72">
        <v>22</v>
      </c>
    </row>
    <row r="26" spans="1:8" ht="12" customHeight="1" x14ac:dyDescent="0.25">
      <c r="A26" s="329">
        <v>31</v>
      </c>
      <c r="B26" s="72">
        <v>100153</v>
      </c>
      <c r="C26" s="72">
        <v>27057</v>
      </c>
      <c r="D26" s="72">
        <v>45029</v>
      </c>
      <c r="E26" s="72">
        <v>19506</v>
      </c>
      <c r="F26" s="72">
        <v>5635</v>
      </c>
      <c r="G26" s="72">
        <v>2895</v>
      </c>
      <c r="H26" s="72">
        <v>31</v>
      </c>
    </row>
    <row r="27" spans="1:8" ht="12" customHeight="1" x14ac:dyDescent="0.25">
      <c r="A27" s="329">
        <v>32</v>
      </c>
      <c r="B27" s="72">
        <v>94121</v>
      </c>
      <c r="C27" s="72">
        <v>22217</v>
      </c>
      <c r="D27" s="72">
        <v>42253</v>
      </c>
      <c r="E27" s="72">
        <v>20566</v>
      </c>
      <c r="F27" s="72">
        <v>5855</v>
      </c>
      <c r="G27" s="72">
        <v>3200</v>
      </c>
      <c r="H27" s="72">
        <v>30</v>
      </c>
    </row>
    <row r="28" spans="1:8" ht="12" customHeight="1" x14ac:dyDescent="0.25">
      <c r="A28" s="329">
        <v>33</v>
      </c>
      <c r="B28" s="72">
        <v>82525</v>
      </c>
      <c r="C28" s="72">
        <v>17479</v>
      </c>
      <c r="D28" s="72">
        <v>36447</v>
      </c>
      <c r="E28" s="72">
        <v>19602</v>
      </c>
      <c r="F28" s="72">
        <v>5735</v>
      </c>
      <c r="G28" s="72">
        <v>3231</v>
      </c>
      <c r="H28" s="72">
        <v>31</v>
      </c>
    </row>
    <row r="29" spans="1:8" ht="12" customHeight="1" x14ac:dyDescent="0.25">
      <c r="A29" s="329">
        <v>34</v>
      </c>
      <c r="B29" s="72">
        <v>73879</v>
      </c>
      <c r="C29" s="72">
        <v>14124</v>
      </c>
      <c r="D29" s="72">
        <v>31539</v>
      </c>
      <c r="E29" s="72">
        <v>19215</v>
      </c>
      <c r="F29" s="72">
        <v>5674</v>
      </c>
      <c r="G29" s="72">
        <v>3307</v>
      </c>
      <c r="H29" s="72">
        <v>20</v>
      </c>
    </row>
    <row r="30" spans="1:8" ht="12" customHeight="1" x14ac:dyDescent="0.25">
      <c r="A30" s="329">
        <v>35</v>
      </c>
      <c r="B30" s="72">
        <v>66749</v>
      </c>
      <c r="C30" s="72">
        <v>11880</v>
      </c>
      <c r="D30" s="72">
        <v>27445</v>
      </c>
      <c r="E30" s="72">
        <v>18373</v>
      </c>
      <c r="F30" s="72">
        <v>5560</v>
      </c>
      <c r="G30" s="72">
        <v>3470</v>
      </c>
      <c r="H30" s="72">
        <v>21</v>
      </c>
    </row>
    <row r="31" spans="1:8" ht="12" customHeight="1" x14ac:dyDescent="0.25">
      <c r="A31" s="329">
        <v>36</v>
      </c>
      <c r="B31" s="72">
        <v>57771</v>
      </c>
      <c r="C31" s="72">
        <v>9585</v>
      </c>
      <c r="D31" s="72">
        <v>22849</v>
      </c>
      <c r="E31" s="72">
        <v>16463</v>
      </c>
      <c r="F31" s="72">
        <v>5450</v>
      </c>
      <c r="G31" s="72">
        <v>3402</v>
      </c>
      <c r="H31" s="72">
        <v>22</v>
      </c>
    </row>
    <row r="32" spans="1:8" ht="12" customHeight="1" x14ac:dyDescent="0.25">
      <c r="A32" s="329">
        <v>37</v>
      </c>
      <c r="B32" s="72">
        <v>45086</v>
      </c>
      <c r="C32" s="72">
        <v>6975</v>
      </c>
      <c r="D32" s="72">
        <v>16903</v>
      </c>
      <c r="E32" s="72">
        <v>13520</v>
      </c>
      <c r="F32" s="72">
        <v>4679</v>
      </c>
      <c r="G32" s="72">
        <v>2992</v>
      </c>
      <c r="H32" s="72">
        <v>17</v>
      </c>
    </row>
    <row r="33" spans="1:8" ht="12" customHeight="1" x14ac:dyDescent="0.25">
      <c r="A33" s="329">
        <v>38</v>
      </c>
      <c r="B33" s="72">
        <v>35252</v>
      </c>
      <c r="C33" s="72">
        <v>5202</v>
      </c>
      <c r="D33" s="72">
        <v>12618</v>
      </c>
      <c r="E33" s="72">
        <v>10739</v>
      </c>
      <c r="F33" s="72">
        <v>3964</v>
      </c>
      <c r="G33" s="72">
        <v>2710</v>
      </c>
      <c r="H33" s="72">
        <v>19</v>
      </c>
    </row>
    <row r="34" spans="1:8" ht="12" customHeight="1" x14ac:dyDescent="0.25">
      <c r="A34" s="329">
        <v>39</v>
      </c>
      <c r="B34" s="72">
        <v>27032</v>
      </c>
      <c r="C34" s="72">
        <v>3834</v>
      </c>
      <c r="D34" s="72">
        <v>9233</v>
      </c>
      <c r="E34" s="72">
        <v>8191</v>
      </c>
      <c r="F34" s="72">
        <v>3353</v>
      </c>
      <c r="G34" s="72">
        <v>2408</v>
      </c>
      <c r="H34" s="72">
        <v>13</v>
      </c>
    </row>
    <row r="35" spans="1:8" ht="12" customHeight="1" x14ac:dyDescent="0.25">
      <c r="A35" s="329">
        <v>40</v>
      </c>
      <c r="B35" s="72">
        <v>19785</v>
      </c>
      <c r="C35" s="72">
        <v>2769</v>
      </c>
      <c r="D35" s="72">
        <v>6420</v>
      </c>
      <c r="E35" s="72">
        <v>6046</v>
      </c>
      <c r="F35" s="72">
        <v>2529</v>
      </c>
      <c r="G35" s="72">
        <v>2002</v>
      </c>
      <c r="H35" s="72">
        <v>19</v>
      </c>
    </row>
    <row r="36" spans="1:8" ht="12" customHeight="1" x14ac:dyDescent="0.25">
      <c r="A36" s="329">
        <v>41</v>
      </c>
      <c r="B36" s="72">
        <v>13560</v>
      </c>
      <c r="C36" s="72">
        <v>1861</v>
      </c>
      <c r="D36" s="72">
        <v>4391</v>
      </c>
      <c r="E36" s="72">
        <v>4059</v>
      </c>
      <c r="F36" s="72">
        <v>1802</v>
      </c>
      <c r="G36" s="72">
        <v>1432</v>
      </c>
      <c r="H36" s="72">
        <v>15</v>
      </c>
    </row>
    <row r="37" spans="1:8" ht="12" customHeight="1" x14ac:dyDescent="0.25">
      <c r="A37" s="329">
        <v>42</v>
      </c>
      <c r="B37" s="72">
        <v>8337</v>
      </c>
      <c r="C37" s="72">
        <v>1224</v>
      </c>
      <c r="D37" s="72">
        <v>2530</v>
      </c>
      <c r="E37" s="72">
        <v>2462</v>
      </c>
      <c r="F37" s="72">
        <v>1161</v>
      </c>
      <c r="G37" s="72">
        <v>949</v>
      </c>
      <c r="H37" s="72">
        <v>11</v>
      </c>
    </row>
    <row r="38" spans="1:8" ht="12" customHeight="1" x14ac:dyDescent="0.25">
      <c r="A38" s="329">
        <v>43</v>
      </c>
      <c r="B38" s="72">
        <v>4796</v>
      </c>
      <c r="C38" s="72">
        <v>724</v>
      </c>
      <c r="D38" s="72">
        <v>1355</v>
      </c>
      <c r="E38" s="72">
        <v>1398</v>
      </c>
      <c r="F38" s="72">
        <v>696</v>
      </c>
      <c r="G38" s="72">
        <v>613</v>
      </c>
      <c r="H38" s="72">
        <v>10</v>
      </c>
    </row>
    <row r="39" spans="1:8" ht="12" customHeight="1" x14ac:dyDescent="0.25">
      <c r="A39" s="329">
        <v>44</v>
      </c>
      <c r="B39" s="72">
        <v>2638</v>
      </c>
      <c r="C39" s="72">
        <v>464</v>
      </c>
      <c r="D39" s="72">
        <v>722</v>
      </c>
      <c r="E39" s="72">
        <v>737</v>
      </c>
      <c r="F39" s="72">
        <v>380</v>
      </c>
      <c r="G39" s="72">
        <v>328</v>
      </c>
      <c r="H39" s="72">
        <v>7</v>
      </c>
    </row>
    <row r="40" spans="1:8" ht="12" customHeight="1" x14ac:dyDescent="0.25">
      <c r="A40" s="329">
        <v>45</v>
      </c>
      <c r="B40" s="72">
        <v>1316</v>
      </c>
      <c r="C40" s="72">
        <v>278</v>
      </c>
      <c r="D40" s="72">
        <v>349</v>
      </c>
      <c r="E40" s="72">
        <v>353</v>
      </c>
      <c r="F40" s="72">
        <v>177</v>
      </c>
      <c r="G40" s="72">
        <v>157</v>
      </c>
      <c r="H40" s="72">
        <v>2</v>
      </c>
    </row>
    <row r="41" spans="1:8" ht="12" customHeight="1" x14ac:dyDescent="0.25">
      <c r="A41" s="329">
        <v>46</v>
      </c>
      <c r="B41" s="72">
        <v>670</v>
      </c>
      <c r="C41" s="72">
        <v>177</v>
      </c>
      <c r="D41" s="72">
        <v>211</v>
      </c>
      <c r="E41" s="72">
        <v>134</v>
      </c>
      <c r="F41" s="72">
        <v>70</v>
      </c>
      <c r="G41" s="72">
        <v>73</v>
      </c>
      <c r="H41" s="72">
        <v>5</v>
      </c>
    </row>
    <row r="42" spans="1:8" ht="12" customHeight="1" x14ac:dyDescent="0.25">
      <c r="A42" s="329">
        <v>47</v>
      </c>
      <c r="B42" s="72">
        <v>338</v>
      </c>
      <c r="C42" s="72">
        <v>121</v>
      </c>
      <c r="D42" s="72">
        <v>83</v>
      </c>
      <c r="E42" s="72">
        <v>57</v>
      </c>
      <c r="F42" s="72">
        <v>32</v>
      </c>
      <c r="G42" s="72">
        <v>40</v>
      </c>
      <c r="H42" s="72">
        <v>5</v>
      </c>
    </row>
    <row r="43" spans="1:8" ht="12" customHeight="1" x14ac:dyDescent="0.25">
      <c r="A43" s="329">
        <v>48</v>
      </c>
      <c r="B43" s="72">
        <v>203</v>
      </c>
      <c r="C43" s="72">
        <v>78</v>
      </c>
      <c r="D43" s="72">
        <v>58</v>
      </c>
      <c r="E43" s="72">
        <v>38</v>
      </c>
      <c r="F43" s="72">
        <v>17</v>
      </c>
      <c r="G43" s="72">
        <v>8</v>
      </c>
      <c r="H43" s="72">
        <v>4</v>
      </c>
    </row>
    <row r="44" spans="1:8" ht="12" customHeight="1" x14ac:dyDescent="0.25">
      <c r="A44" s="329">
        <v>49</v>
      </c>
      <c r="B44" s="72">
        <v>117</v>
      </c>
      <c r="C44" s="72">
        <v>37</v>
      </c>
      <c r="D44" s="72">
        <v>29</v>
      </c>
      <c r="E44" s="72">
        <v>32</v>
      </c>
      <c r="F44" s="72">
        <v>12</v>
      </c>
      <c r="G44" s="72">
        <v>5</v>
      </c>
      <c r="H44" s="72">
        <v>2</v>
      </c>
    </row>
    <row r="45" spans="1:8" ht="12" customHeight="1" x14ac:dyDescent="0.25">
      <c r="A45" s="329">
        <v>50</v>
      </c>
      <c r="B45" s="72">
        <v>91</v>
      </c>
      <c r="C45" s="72">
        <v>25</v>
      </c>
      <c r="D45" s="72">
        <v>30</v>
      </c>
      <c r="E45" s="72">
        <v>25</v>
      </c>
      <c r="F45" s="72">
        <v>6</v>
      </c>
      <c r="G45" s="72">
        <v>5</v>
      </c>
      <c r="H45" s="72">
        <v>0</v>
      </c>
    </row>
    <row r="46" spans="1:8" ht="12" customHeight="1" x14ac:dyDescent="0.25">
      <c r="A46" s="329">
        <v>51</v>
      </c>
      <c r="B46" s="72">
        <v>54</v>
      </c>
      <c r="C46" s="72">
        <v>20</v>
      </c>
      <c r="D46" s="72">
        <v>15</v>
      </c>
      <c r="E46" s="72">
        <v>11</v>
      </c>
      <c r="F46" s="72">
        <v>4</v>
      </c>
      <c r="G46" s="72">
        <v>4</v>
      </c>
      <c r="H46" s="72">
        <v>0</v>
      </c>
    </row>
    <row r="47" spans="1:8" ht="12" customHeight="1" x14ac:dyDescent="0.25">
      <c r="A47" s="329">
        <v>52</v>
      </c>
      <c r="B47" s="72">
        <v>49</v>
      </c>
      <c r="C47" s="72">
        <v>20</v>
      </c>
      <c r="D47" s="72">
        <v>13</v>
      </c>
      <c r="E47" s="72">
        <v>10</v>
      </c>
      <c r="F47" s="72">
        <v>3</v>
      </c>
      <c r="G47" s="72">
        <v>2</v>
      </c>
      <c r="H47" s="72">
        <v>1</v>
      </c>
    </row>
    <row r="48" spans="1:8" ht="12" customHeight="1" x14ac:dyDescent="0.25">
      <c r="A48" s="329">
        <v>53</v>
      </c>
      <c r="B48" s="72">
        <v>26</v>
      </c>
      <c r="C48" s="72">
        <v>8</v>
      </c>
      <c r="D48" s="72">
        <v>7</v>
      </c>
      <c r="E48" s="72">
        <v>5</v>
      </c>
      <c r="F48" s="72">
        <v>4</v>
      </c>
      <c r="G48" s="72">
        <v>1</v>
      </c>
      <c r="H48" s="72">
        <v>1</v>
      </c>
    </row>
    <row r="49" spans="1:8" ht="12" customHeight="1" x14ac:dyDescent="0.25">
      <c r="A49" s="329">
        <v>54</v>
      </c>
      <c r="B49" s="72">
        <v>17</v>
      </c>
      <c r="C49" s="72">
        <v>2</v>
      </c>
      <c r="D49" s="72">
        <v>6</v>
      </c>
      <c r="E49" s="72">
        <v>4</v>
      </c>
      <c r="F49" s="72">
        <v>2</v>
      </c>
      <c r="G49" s="72">
        <v>2</v>
      </c>
      <c r="H49" s="72">
        <v>1</v>
      </c>
    </row>
    <row r="50" spans="1:8" ht="12" customHeight="1" x14ac:dyDescent="0.25">
      <c r="A50" s="329">
        <v>55</v>
      </c>
      <c r="B50" s="72">
        <v>15</v>
      </c>
      <c r="C50" s="72">
        <v>1</v>
      </c>
      <c r="D50" s="72">
        <v>6</v>
      </c>
      <c r="E50" s="72">
        <v>3</v>
      </c>
      <c r="F50" s="72">
        <v>5</v>
      </c>
      <c r="G50" s="72">
        <v>0</v>
      </c>
      <c r="H50" s="72">
        <v>0</v>
      </c>
    </row>
    <row r="51" spans="1:8" ht="12" customHeight="1" x14ac:dyDescent="0.25">
      <c r="A51" s="329">
        <v>56</v>
      </c>
      <c r="B51" s="72">
        <v>19</v>
      </c>
      <c r="C51" s="72">
        <v>5</v>
      </c>
      <c r="D51" s="72">
        <v>7</v>
      </c>
      <c r="E51" s="72">
        <v>3</v>
      </c>
      <c r="F51" s="72">
        <v>2</v>
      </c>
      <c r="G51" s="72">
        <v>2</v>
      </c>
      <c r="H51" s="72">
        <v>0</v>
      </c>
    </row>
    <row r="52" spans="1:8" ht="12" customHeight="1" x14ac:dyDescent="0.25">
      <c r="A52" s="329">
        <v>57</v>
      </c>
      <c r="B52" s="72">
        <v>8</v>
      </c>
      <c r="C52" s="72">
        <v>1</v>
      </c>
      <c r="D52" s="72">
        <v>4</v>
      </c>
      <c r="E52" s="72">
        <v>2</v>
      </c>
      <c r="F52" s="72">
        <v>1</v>
      </c>
      <c r="G52" s="72">
        <v>0</v>
      </c>
      <c r="H52" s="72">
        <v>0</v>
      </c>
    </row>
    <row r="53" spans="1:8" ht="12" customHeight="1" x14ac:dyDescent="0.25">
      <c r="A53" s="329">
        <v>58</v>
      </c>
      <c r="B53" s="72">
        <v>10</v>
      </c>
      <c r="C53" s="72">
        <v>3</v>
      </c>
      <c r="D53" s="72">
        <v>3</v>
      </c>
      <c r="E53" s="72">
        <v>4</v>
      </c>
      <c r="F53" s="72">
        <v>0</v>
      </c>
      <c r="G53" s="72">
        <v>0</v>
      </c>
      <c r="H53" s="72">
        <v>0</v>
      </c>
    </row>
    <row r="54" spans="1:8" ht="12" customHeight="1" x14ac:dyDescent="0.25">
      <c r="A54" s="329">
        <v>59</v>
      </c>
      <c r="B54" s="72">
        <v>7</v>
      </c>
      <c r="C54" s="72">
        <v>1</v>
      </c>
      <c r="D54" s="72">
        <v>0</v>
      </c>
      <c r="E54" s="72">
        <v>2</v>
      </c>
      <c r="F54" s="72">
        <v>2</v>
      </c>
      <c r="G54" s="72">
        <v>2</v>
      </c>
      <c r="H54" s="72">
        <v>0</v>
      </c>
    </row>
    <row r="55" spans="1:8" ht="12" customHeight="1" x14ac:dyDescent="0.25">
      <c r="A55" s="330" t="s">
        <v>229</v>
      </c>
      <c r="B55" s="72">
        <v>19</v>
      </c>
      <c r="C55" s="72">
        <v>5</v>
      </c>
      <c r="D55" s="72">
        <v>5</v>
      </c>
      <c r="E55" s="72">
        <v>6</v>
      </c>
      <c r="F55" s="72">
        <v>3</v>
      </c>
      <c r="G55" s="72">
        <v>0</v>
      </c>
      <c r="H55" s="72">
        <v>0</v>
      </c>
    </row>
    <row r="56" spans="1:8" ht="12" customHeight="1" x14ac:dyDescent="0.25">
      <c r="A56" s="330" t="s">
        <v>230</v>
      </c>
      <c r="B56" s="360">
        <v>818</v>
      </c>
      <c r="C56" s="361">
        <v>270</v>
      </c>
      <c r="D56" s="361">
        <v>191</v>
      </c>
      <c r="E56" s="361">
        <v>156</v>
      </c>
      <c r="F56" s="361">
        <v>86</v>
      </c>
      <c r="G56" s="361">
        <v>71</v>
      </c>
      <c r="H56" s="361">
        <v>44</v>
      </c>
    </row>
    <row r="57" spans="1:8" ht="12" customHeight="1" x14ac:dyDescent="0.25">
      <c r="A57" s="331" t="s">
        <v>231</v>
      </c>
      <c r="B57" s="362">
        <v>1481074</v>
      </c>
      <c r="C57" s="363">
        <v>557207</v>
      </c>
      <c r="D57" s="363">
        <v>549993</v>
      </c>
      <c r="E57" s="363">
        <v>253093</v>
      </c>
      <c r="F57" s="363">
        <v>77324</v>
      </c>
      <c r="G57" s="363">
        <v>42948</v>
      </c>
      <c r="H57" s="363">
        <v>509</v>
      </c>
    </row>
  </sheetData>
  <mergeCells count="5">
    <mergeCell ref="A1:H1"/>
    <mergeCell ref="A2:H2"/>
    <mergeCell ref="A4:A5"/>
    <mergeCell ref="B4:B5"/>
    <mergeCell ref="C4:H4"/>
  </mergeCells>
  <printOptions horizontalCentered="1"/>
  <pageMargins left="0.55118110236220474" right="0.31496062992125984" top="0.59055118110236227" bottom="0.11811023622047245" header="0.31496062992125984" footer="0"/>
  <pageSetup paperSize="9" scale="80" firstPageNumber="18" fitToWidth="0" fitToHeight="0" orientation="landscape" useFirstPageNumber="1" r:id="rId1"/>
  <headerFooter>
    <oddHeader>&amp;C&amp;"Arial,обычный"&amp;10&amp;P</oddHeader>
  </headerFooter>
  <rowBreaks count="1" manualBreakCount="1">
    <brk id="57" max="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AE16"/>
  <sheetViews>
    <sheetView zoomScaleNormal="100" workbookViewId="0">
      <selection activeCell="P13" sqref="P13"/>
    </sheetView>
  </sheetViews>
  <sheetFormatPr defaultRowHeight="15" x14ac:dyDescent="0.25"/>
  <cols>
    <col min="1" max="1" width="34.28515625" customWidth="1"/>
    <col min="2" max="2" width="9.140625" customWidth="1"/>
    <col min="3" max="5" width="7.28515625" customWidth="1"/>
    <col min="6" max="6" width="8.85546875" customWidth="1"/>
    <col min="7" max="7" width="7.5703125" customWidth="1"/>
    <col min="8" max="8" width="7.42578125" customWidth="1"/>
    <col min="9" max="9" width="8.42578125" customWidth="1"/>
    <col min="10" max="10" width="7.140625" customWidth="1"/>
    <col min="11" max="14" width="6.42578125" customWidth="1"/>
  </cols>
  <sheetData>
    <row r="1" spans="1:31" ht="15" customHeight="1" x14ac:dyDescent="0.25">
      <c r="A1" s="507" t="s">
        <v>348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</row>
    <row r="2" spans="1:31" x14ac:dyDescent="0.25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</row>
    <row r="3" spans="1:31" ht="15" customHeight="1" x14ac:dyDescent="0.25">
      <c r="A3" s="508" t="s">
        <v>124</v>
      </c>
      <c r="B3" s="509" t="s">
        <v>127</v>
      </c>
      <c r="C3" s="510" t="s">
        <v>126</v>
      </c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36"/>
    </row>
    <row r="4" spans="1:31" ht="30" customHeight="1" x14ac:dyDescent="0.25">
      <c r="A4" s="508"/>
      <c r="B4" s="509"/>
      <c r="C4" s="193" t="s">
        <v>112</v>
      </c>
      <c r="D4" s="194" t="s">
        <v>113</v>
      </c>
      <c r="E4" s="194" t="s">
        <v>114</v>
      </c>
      <c r="F4" s="194" t="s">
        <v>115</v>
      </c>
      <c r="G4" s="194" t="s">
        <v>116</v>
      </c>
      <c r="H4" s="194" t="s">
        <v>117</v>
      </c>
      <c r="I4" s="194" t="s">
        <v>118</v>
      </c>
      <c r="J4" s="194" t="s">
        <v>119</v>
      </c>
      <c r="K4" s="194" t="s">
        <v>120</v>
      </c>
      <c r="L4" s="194" t="s">
        <v>121</v>
      </c>
      <c r="M4" s="193" t="s">
        <v>122</v>
      </c>
      <c r="N4" s="193" t="s">
        <v>123</v>
      </c>
      <c r="O4" s="36"/>
    </row>
    <row r="5" spans="1:31" x14ac:dyDescent="0.25">
      <c r="A5" s="184" t="s">
        <v>127</v>
      </c>
      <c r="B5" s="49">
        <v>1481074</v>
      </c>
      <c r="C5" s="37">
        <v>216</v>
      </c>
      <c r="D5" s="37">
        <v>11031</v>
      </c>
      <c r="E5" s="37">
        <v>39399</v>
      </c>
      <c r="F5" s="49">
        <v>256769</v>
      </c>
      <c r="G5" s="49">
        <v>437792</v>
      </c>
      <c r="H5" s="49">
        <v>451084</v>
      </c>
      <c r="I5" s="49">
        <v>231890</v>
      </c>
      <c r="J5" s="37">
        <v>49116</v>
      </c>
      <c r="K5" s="37">
        <v>2644</v>
      </c>
      <c r="L5" s="37">
        <v>237</v>
      </c>
      <c r="M5" s="37">
        <v>78</v>
      </c>
      <c r="N5" s="49">
        <v>818</v>
      </c>
      <c r="O5" s="152"/>
    </row>
    <row r="6" spans="1:31" x14ac:dyDescent="0.25">
      <c r="A6" s="208" t="s">
        <v>322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</row>
    <row r="7" spans="1:31" x14ac:dyDescent="0.25">
      <c r="A7" s="209" t="s">
        <v>128</v>
      </c>
      <c r="B7" s="50">
        <v>703025</v>
      </c>
      <c r="C7" s="41">
        <v>0</v>
      </c>
      <c r="D7" s="41">
        <v>0</v>
      </c>
      <c r="E7" s="41">
        <v>311</v>
      </c>
      <c r="F7" s="50">
        <v>52931</v>
      </c>
      <c r="G7" s="50">
        <v>228662</v>
      </c>
      <c r="H7" s="50">
        <v>262599</v>
      </c>
      <c r="I7" s="50">
        <v>131113</v>
      </c>
      <c r="J7" s="41">
        <v>25735</v>
      </c>
      <c r="K7" s="41">
        <v>1430</v>
      </c>
      <c r="L7" s="41">
        <v>126</v>
      </c>
      <c r="M7" s="41">
        <v>44</v>
      </c>
      <c r="N7" s="50">
        <v>74</v>
      </c>
    </row>
    <row r="8" spans="1:31" x14ac:dyDescent="0.25">
      <c r="A8" s="209" t="s">
        <v>129</v>
      </c>
      <c r="B8" s="50">
        <v>42008</v>
      </c>
      <c r="C8" s="41">
        <v>0</v>
      </c>
      <c r="D8" s="41">
        <v>0</v>
      </c>
      <c r="E8" s="41">
        <v>379</v>
      </c>
      <c r="F8" s="50">
        <v>17348</v>
      </c>
      <c r="G8" s="50">
        <v>11452</v>
      </c>
      <c r="H8" s="50">
        <v>8654</v>
      </c>
      <c r="I8" s="50">
        <v>3513</v>
      </c>
      <c r="J8" s="41">
        <v>615</v>
      </c>
      <c r="K8" s="41">
        <v>31</v>
      </c>
      <c r="L8" s="41">
        <v>6</v>
      </c>
      <c r="M8" s="41">
        <v>3</v>
      </c>
      <c r="N8" s="50">
        <v>7</v>
      </c>
    </row>
    <row r="9" spans="1:31" x14ac:dyDescent="0.25">
      <c r="A9" s="209" t="s">
        <v>130</v>
      </c>
      <c r="B9" s="50">
        <v>366884</v>
      </c>
      <c r="C9" s="41">
        <v>0</v>
      </c>
      <c r="D9" s="41">
        <v>0</v>
      </c>
      <c r="E9" s="41">
        <v>8842</v>
      </c>
      <c r="F9" s="50">
        <v>89721</v>
      </c>
      <c r="G9" s="50">
        <v>105034</v>
      </c>
      <c r="H9" s="50">
        <v>97125</v>
      </c>
      <c r="I9" s="50">
        <v>53082</v>
      </c>
      <c r="J9" s="41">
        <v>12387</v>
      </c>
      <c r="K9" s="41">
        <v>600</v>
      </c>
      <c r="L9" s="41">
        <v>35</v>
      </c>
      <c r="M9" s="41">
        <v>11</v>
      </c>
      <c r="N9" s="50">
        <v>47</v>
      </c>
    </row>
    <row r="10" spans="1:31" x14ac:dyDescent="0.25">
      <c r="A10" s="209" t="s">
        <v>131</v>
      </c>
      <c r="B10" s="50">
        <v>7046</v>
      </c>
      <c r="C10" s="41">
        <v>10</v>
      </c>
      <c r="D10" s="41">
        <v>359</v>
      </c>
      <c r="E10" s="41">
        <v>730</v>
      </c>
      <c r="F10" s="50">
        <v>1815</v>
      </c>
      <c r="G10" s="50">
        <v>1599</v>
      </c>
      <c r="H10" s="50">
        <v>1557</v>
      </c>
      <c r="I10" s="50">
        <v>804</v>
      </c>
      <c r="J10" s="41">
        <v>162</v>
      </c>
      <c r="K10" s="41">
        <v>8</v>
      </c>
      <c r="L10" s="41">
        <v>0</v>
      </c>
      <c r="M10" s="41">
        <v>0</v>
      </c>
      <c r="N10" s="50">
        <v>2</v>
      </c>
    </row>
    <row r="11" spans="1:31" x14ac:dyDescent="0.25">
      <c r="A11" s="209" t="s">
        <v>132</v>
      </c>
      <c r="B11" s="50">
        <v>214943</v>
      </c>
      <c r="C11" s="41">
        <v>2</v>
      </c>
      <c r="D11" s="41">
        <v>2528</v>
      </c>
      <c r="E11" s="41">
        <v>14812</v>
      </c>
      <c r="F11" s="50">
        <v>56922</v>
      </c>
      <c r="G11" s="50">
        <v>56166</v>
      </c>
      <c r="H11" s="50">
        <v>50728</v>
      </c>
      <c r="I11" s="50">
        <v>27089</v>
      </c>
      <c r="J11" s="41">
        <v>6342</v>
      </c>
      <c r="K11" s="41">
        <v>282</v>
      </c>
      <c r="L11" s="41">
        <v>27</v>
      </c>
      <c r="M11" s="41">
        <v>14</v>
      </c>
      <c r="N11" s="50">
        <v>31</v>
      </c>
    </row>
    <row r="12" spans="1:31" x14ac:dyDescent="0.25">
      <c r="A12" s="209" t="s">
        <v>133</v>
      </c>
      <c r="B12" s="50">
        <v>80123</v>
      </c>
      <c r="C12" s="41">
        <v>44</v>
      </c>
      <c r="D12" s="41">
        <v>6236</v>
      </c>
      <c r="E12" s="41">
        <v>10499</v>
      </c>
      <c r="F12" s="50">
        <v>22267</v>
      </c>
      <c r="G12" s="50">
        <v>16561</v>
      </c>
      <c r="H12" s="50">
        <v>14455</v>
      </c>
      <c r="I12" s="50">
        <v>8145</v>
      </c>
      <c r="J12" s="41">
        <v>1838</v>
      </c>
      <c r="K12" s="41">
        <v>64</v>
      </c>
      <c r="L12" s="41">
        <v>3</v>
      </c>
      <c r="M12" s="41">
        <v>1</v>
      </c>
      <c r="N12" s="50">
        <v>10</v>
      </c>
    </row>
    <row r="13" spans="1:31" x14ac:dyDescent="0.25">
      <c r="A13" s="210" t="s">
        <v>134</v>
      </c>
      <c r="B13" s="50">
        <v>9090</v>
      </c>
      <c r="C13" s="41">
        <v>126</v>
      </c>
      <c r="D13" s="41">
        <v>943</v>
      </c>
      <c r="E13" s="41">
        <v>970</v>
      </c>
      <c r="F13" s="50">
        <v>2288</v>
      </c>
      <c r="G13" s="50">
        <v>1899</v>
      </c>
      <c r="H13" s="50">
        <v>1727</v>
      </c>
      <c r="I13" s="50">
        <v>902</v>
      </c>
      <c r="J13" s="41">
        <v>221</v>
      </c>
      <c r="K13" s="41">
        <v>8</v>
      </c>
      <c r="L13" s="41">
        <v>4</v>
      </c>
      <c r="M13" s="41">
        <v>0</v>
      </c>
      <c r="N13" s="50">
        <v>2</v>
      </c>
    </row>
    <row r="14" spans="1:31" x14ac:dyDescent="0.25">
      <c r="A14" s="209" t="s">
        <v>135</v>
      </c>
      <c r="B14" s="50">
        <v>5011</v>
      </c>
      <c r="C14" s="41">
        <v>22</v>
      </c>
      <c r="D14" s="41">
        <v>357</v>
      </c>
      <c r="E14" s="41">
        <v>469</v>
      </c>
      <c r="F14" s="50">
        <v>1372</v>
      </c>
      <c r="G14" s="50">
        <v>1335</v>
      </c>
      <c r="H14" s="50">
        <v>903</v>
      </c>
      <c r="I14" s="50">
        <v>428</v>
      </c>
      <c r="J14" s="41">
        <v>102</v>
      </c>
      <c r="K14" s="41">
        <v>23</v>
      </c>
      <c r="L14" s="41">
        <v>0</v>
      </c>
      <c r="M14" s="41">
        <v>0</v>
      </c>
      <c r="N14" s="50">
        <v>0</v>
      </c>
    </row>
    <row r="15" spans="1:31" x14ac:dyDescent="0.25">
      <c r="A15" s="280" t="s">
        <v>136</v>
      </c>
      <c r="B15" s="364">
        <v>52944</v>
      </c>
      <c r="C15" s="276">
        <v>12</v>
      </c>
      <c r="D15" s="276">
        <v>608</v>
      </c>
      <c r="E15" s="276">
        <v>2387</v>
      </c>
      <c r="F15" s="281">
        <v>12105</v>
      </c>
      <c r="G15" s="281">
        <v>15084</v>
      </c>
      <c r="H15" s="281">
        <v>13336</v>
      </c>
      <c r="I15" s="281">
        <v>6814</v>
      </c>
      <c r="J15" s="276">
        <v>1714</v>
      </c>
      <c r="K15" s="276">
        <v>198</v>
      </c>
      <c r="L15" s="276">
        <v>36</v>
      </c>
      <c r="M15" s="276">
        <v>5</v>
      </c>
      <c r="N15" s="281">
        <v>645</v>
      </c>
    </row>
    <row r="16" spans="1:31" s="36" customFormat="1" x14ac:dyDescent="0.25">
      <c r="A16" s="213"/>
      <c r="B16" s="214"/>
      <c r="C16" s="214"/>
      <c r="D16" s="214"/>
      <c r="E16" s="214"/>
      <c r="F16" s="51"/>
      <c r="G16" s="51"/>
      <c r="H16" s="51"/>
      <c r="I16" s="51"/>
      <c r="J16" s="51"/>
      <c r="K16" s="51"/>
      <c r="L16" s="3"/>
      <c r="M16" s="3"/>
      <c r="N16" s="3"/>
    </row>
  </sheetData>
  <mergeCells count="5">
    <mergeCell ref="A1:N1"/>
    <mergeCell ref="A3:A4"/>
    <mergeCell ref="B3:B4"/>
    <mergeCell ref="C3:N3"/>
    <mergeCell ref="A2:N2"/>
  </mergeCells>
  <printOptions horizontalCentered="1"/>
  <pageMargins left="0.70866141732283472" right="0.70866141732283472" top="0.70866141732283472" bottom="0.74803149606299213" header="0.31496062992125984" footer="0.31496062992125984"/>
  <pageSetup paperSize="9" firstPageNumber="19" orientation="landscape" useFirstPageNumber="1" r:id="rId1"/>
  <headerFooter>
    <oddHeader>&amp;C&amp;"Arial,обычный"&amp;10&amp;P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F104"/>
  <sheetViews>
    <sheetView topLeftCell="A4" zoomScaleNormal="100" zoomScaleSheetLayoutView="100" workbookViewId="0">
      <selection activeCell="A22" sqref="A22:XFD22"/>
    </sheetView>
  </sheetViews>
  <sheetFormatPr defaultColWidth="10.28515625" defaultRowHeight="14.25" x14ac:dyDescent="0.2"/>
  <cols>
    <col min="1" max="1" width="47.7109375" style="52" customWidth="1"/>
    <col min="2" max="6" width="16" style="52" customWidth="1"/>
    <col min="7" max="16384" width="10.28515625" style="53"/>
  </cols>
  <sheetData>
    <row r="1" spans="1:6" s="54" customFormat="1" ht="15" x14ac:dyDescent="0.25">
      <c r="A1" s="507" t="s">
        <v>264</v>
      </c>
      <c r="B1" s="483"/>
      <c r="C1" s="483"/>
      <c r="D1" s="483"/>
      <c r="E1" s="483"/>
      <c r="F1" s="483"/>
    </row>
    <row r="2" spans="1:6" s="54" customFormat="1" ht="12.75" customHeight="1" x14ac:dyDescent="0.25">
      <c r="A2" s="512"/>
      <c r="B2" s="512"/>
      <c r="C2" s="512"/>
      <c r="D2" s="512"/>
      <c r="E2" s="512"/>
      <c r="F2" s="512"/>
    </row>
    <row r="3" spans="1:6" x14ac:dyDescent="0.2">
      <c r="A3" s="513"/>
      <c r="B3" s="514" t="s">
        <v>137</v>
      </c>
      <c r="C3" s="515"/>
      <c r="D3" s="516"/>
      <c r="E3" s="520" t="s">
        <v>215</v>
      </c>
      <c r="F3" s="521"/>
    </row>
    <row r="4" spans="1:6" x14ac:dyDescent="0.2">
      <c r="A4" s="513"/>
      <c r="B4" s="517"/>
      <c r="C4" s="518"/>
      <c r="D4" s="519"/>
      <c r="E4" s="522"/>
      <c r="F4" s="523"/>
    </row>
    <row r="5" spans="1:6" ht="38.25" x14ac:dyDescent="0.2">
      <c r="A5" s="513"/>
      <c r="B5" s="249" t="s">
        <v>343</v>
      </c>
      <c r="C5" s="249" t="s">
        <v>330</v>
      </c>
      <c r="D5" s="251" t="s">
        <v>349</v>
      </c>
      <c r="E5" s="252" t="s">
        <v>343</v>
      </c>
      <c r="F5" s="250" t="s">
        <v>330</v>
      </c>
    </row>
    <row r="6" spans="1:6" s="54" customFormat="1" ht="15" x14ac:dyDescent="0.25">
      <c r="A6" s="365" t="s">
        <v>177</v>
      </c>
      <c r="B6" s="366">
        <v>1798307</v>
      </c>
      <c r="C6" s="366">
        <v>1828910</v>
      </c>
      <c r="D6" s="367">
        <f>ROUND(B6/$B$6*100,1)</f>
        <v>100</v>
      </c>
      <c r="E6" s="368">
        <v>1225.3</v>
      </c>
      <c r="F6" s="368">
        <v>1245.5999999999999</v>
      </c>
    </row>
    <row r="7" spans="1:6" x14ac:dyDescent="0.2">
      <c r="A7" s="227" t="s">
        <v>234</v>
      </c>
      <c r="B7" s="55">
        <v>841207</v>
      </c>
      <c r="C7" s="55">
        <v>856127</v>
      </c>
      <c r="D7" s="164">
        <f t="shared" ref="D7:D46" si="0">ROUND(B7/$B$6*100,1)</f>
        <v>46.8</v>
      </c>
      <c r="E7" s="163">
        <v>573.16700000000003</v>
      </c>
      <c r="F7" s="163">
        <v>582.9</v>
      </c>
    </row>
    <row r="8" spans="1:6" x14ac:dyDescent="0.2">
      <c r="A8" s="228" t="s">
        <v>138</v>
      </c>
      <c r="D8" s="164"/>
      <c r="E8" s="163"/>
      <c r="F8" s="163"/>
    </row>
    <row r="9" spans="1:6" x14ac:dyDescent="0.2">
      <c r="A9" s="228" t="s">
        <v>139</v>
      </c>
      <c r="B9" s="55">
        <v>442328</v>
      </c>
      <c r="C9" s="55">
        <v>453306</v>
      </c>
      <c r="D9" s="164">
        <f t="shared" si="0"/>
        <v>24.6</v>
      </c>
      <c r="E9" s="163">
        <v>301.38600000000002</v>
      </c>
      <c r="F9" s="163">
        <v>308.7</v>
      </c>
    </row>
    <row r="10" spans="1:6" x14ac:dyDescent="0.2">
      <c r="A10" s="228" t="s">
        <v>140</v>
      </c>
      <c r="B10" s="55">
        <v>260594</v>
      </c>
      <c r="C10" s="55">
        <v>263573</v>
      </c>
      <c r="D10" s="164">
        <f t="shared" si="0"/>
        <v>14.5</v>
      </c>
      <c r="E10" s="163">
        <v>177.559</v>
      </c>
      <c r="F10" s="163">
        <v>179.5</v>
      </c>
    </row>
    <row r="11" spans="1:6" x14ac:dyDescent="0.2">
      <c r="A11" s="228" t="s">
        <v>366</v>
      </c>
      <c r="B11" s="55">
        <v>129469</v>
      </c>
      <c r="C11" s="55" t="s">
        <v>367</v>
      </c>
      <c r="D11" s="164">
        <f t="shared" si="0"/>
        <v>7.2</v>
      </c>
      <c r="E11" s="163">
        <v>88.215000000000003</v>
      </c>
      <c r="F11" s="465" t="s">
        <v>368</v>
      </c>
    </row>
    <row r="12" spans="1:6" x14ac:dyDescent="0.2">
      <c r="A12" s="229" t="s">
        <v>235</v>
      </c>
      <c r="B12" s="55">
        <v>298699</v>
      </c>
      <c r="C12" s="55">
        <v>297996</v>
      </c>
      <c r="D12" s="164">
        <f t="shared" si="0"/>
        <v>16.600000000000001</v>
      </c>
      <c r="E12" s="163">
        <v>203.52199999999999</v>
      </c>
      <c r="F12" s="163">
        <v>203</v>
      </c>
    </row>
    <row r="13" spans="1:6" x14ac:dyDescent="0.2">
      <c r="A13" s="230" t="s">
        <v>250</v>
      </c>
      <c r="B13" s="55">
        <v>294400</v>
      </c>
      <c r="C13" s="55">
        <v>293704</v>
      </c>
      <c r="D13" s="164">
        <f t="shared" si="0"/>
        <v>16.399999999999999</v>
      </c>
      <c r="E13" s="163">
        <v>200.59299999999999</v>
      </c>
      <c r="F13" s="163">
        <v>200</v>
      </c>
    </row>
    <row r="14" spans="1:6" x14ac:dyDescent="0.2">
      <c r="A14" s="227" t="s">
        <v>236</v>
      </c>
      <c r="B14" s="55">
        <v>137633</v>
      </c>
      <c r="C14" s="55">
        <v>144612</v>
      </c>
      <c r="D14" s="164">
        <f t="shared" si="0"/>
        <v>7.7</v>
      </c>
      <c r="E14" s="163">
        <v>93.778000000000006</v>
      </c>
      <c r="F14" s="163">
        <v>98.6</v>
      </c>
    </row>
    <row r="15" spans="1:6" x14ac:dyDescent="0.2">
      <c r="A15" s="228" t="s">
        <v>251</v>
      </c>
      <c r="D15" s="164"/>
      <c r="F15" s="163"/>
    </row>
    <row r="16" spans="1:6" x14ac:dyDescent="0.2">
      <c r="A16" s="228" t="s">
        <v>364</v>
      </c>
      <c r="B16" s="55">
        <v>47427</v>
      </c>
      <c r="C16" s="55">
        <v>48786</v>
      </c>
      <c r="D16" s="164">
        <f t="shared" si="0"/>
        <v>2.6</v>
      </c>
      <c r="E16" s="163">
        <v>32.314999999999998</v>
      </c>
      <c r="F16" s="163">
        <v>33.200000000000003</v>
      </c>
    </row>
    <row r="17" spans="1:6" x14ac:dyDescent="0.2">
      <c r="A17" s="230" t="s">
        <v>252</v>
      </c>
      <c r="B17" s="55">
        <v>17192</v>
      </c>
      <c r="C17" s="55">
        <v>18206</v>
      </c>
      <c r="D17" s="164">
        <f t="shared" si="0"/>
        <v>1</v>
      </c>
      <c r="E17" s="163">
        <v>11.714</v>
      </c>
      <c r="F17" s="163">
        <v>12.4</v>
      </c>
    </row>
    <row r="18" spans="1:6" x14ac:dyDescent="0.2">
      <c r="A18" s="230" t="s">
        <v>253</v>
      </c>
      <c r="B18" s="55">
        <v>7302</v>
      </c>
      <c r="C18" s="55">
        <v>7986</v>
      </c>
      <c r="D18" s="164">
        <f t="shared" si="0"/>
        <v>0.4</v>
      </c>
      <c r="E18" s="163">
        <v>4.9749999999999996</v>
      </c>
      <c r="F18" s="163">
        <v>5.4</v>
      </c>
    </row>
    <row r="19" spans="1:6" x14ac:dyDescent="0.2">
      <c r="A19" s="228" t="s">
        <v>254</v>
      </c>
      <c r="B19" s="55">
        <v>17787</v>
      </c>
      <c r="C19" s="55">
        <v>19092</v>
      </c>
      <c r="D19" s="164">
        <f t="shared" si="0"/>
        <v>1</v>
      </c>
      <c r="E19" s="163">
        <v>12.119</v>
      </c>
      <c r="F19" s="163">
        <v>13</v>
      </c>
    </row>
    <row r="20" spans="1:6" x14ac:dyDescent="0.2">
      <c r="A20" s="228" t="s">
        <v>262</v>
      </c>
      <c r="B20" s="55">
        <v>13565</v>
      </c>
      <c r="C20" s="55">
        <v>14302</v>
      </c>
      <c r="D20" s="164">
        <f t="shared" si="0"/>
        <v>0.8</v>
      </c>
      <c r="E20" s="163">
        <v>9.2430000000000003</v>
      </c>
      <c r="F20" s="163">
        <v>9.6999999999999993</v>
      </c>
    </row>
    <row r="21" spans="1:6" x14ac:dyDescent="0.2">
      <c r="A21" s="227" t="s">
        <v>237</v>
      </c>
      <c r="B21" s="55">
        <v>59188</v>
      </c>
      <c r="C21" s="55">
        <v>61150</v>
      </c>
      <c r="D21" s="164">
        <f t="shared" si="0"/>
        <v>3.3</v>
      </c>
      <c r="E21" s="163">
        <v>40.329000000000001</v>
      </c>
      <c r="F21" s="163">
        <v>41.6</v>
      </c>
    </row>
    <row r="22" spans="1:6" x14ac:dyDescent="0.2">
      <c r="A22" s="228" t="s">
        <v>365</v>
      </c>
      <c r="B22" s="55">
        <v>23912</v>
      </c>
      <c r="C22" s="55">
        <v>25642</v>
      </c>
      <c r="D22" s="164">
        <f t="shared" si="0"/>
        <v>1.3</v>
      </c>
      <c r="E22" s="163">
        <v>16.292999999999999</v>
      </c>
      <c r="F22" s="163">
        <v>17.5</v>
      </c>
    </row>
    <row r="23" spans="1:6" x14ac:dyDescent="0.2">
      <c r="A23" s="227" t="s">
        <v>238</v>
      </c>
      <c r="B23" s="55">
        <v>98271</v>
      </c>
      <c r="C23" s="55">
        <v>95430</v>
      </c>
      <c r="D23" s="164">
        <f t="shared" si="0"/>
        <v>5.5</v>
      </c>
      <c r="E23" s="163">
        <v>66.957999999999998</v>
      </c>
      <c r="F23" s="163">
        <v>65</v>
      </c>
    </row>
    <row r="24" spans="1:6" x14ac:dyDescent="0.2">
      <c r="A24" s="228" t="s">
        <v>255</v>
      </c>
      <c r="B24" s="55">
        <v>10858</v>
      </c>
      <c r="C24" s="55">
        <v>10730</v>
      </c>
      <c r="D24" s="164">
        <f t="shared" si="0"/>
        <v>0.6</v>
      </c>
      <c r="E24" s="163">
        <v>7.3979999999999997</v>
      </c>
      <c r="F24" s="163">
        <v>7.3</v>
      </c>
    </row>
    <row r="25" spans="1:6" ht="25.5" x14ac:dyDescent="0.2">
      <c r="A25" s="227" t="s">
        <v>233</v>
      </c>
      <c r="B25" s="55">
        <v>32918</v>
      </c>
      <c r="C25" s="55">
        <v>34626</v>
      </c>
      <c r="D25" s="164">
        <f t="shared" si="0"/>
        <v>1.8</v>
      </c>
      <c r="E25" s="163">
        <v>22.428999999999998</v>
      </c>
      <c r="F25" s="163">
        <v>23.6</v>
      </c>
    </row>
    <row r="26" spans="1:6" x14ac:dyDescent="0.2">
      <c r="A26" s="228" t="s">
        <v>138</v>
      </c>
      <c r="B26" s="53"/>
      <c r="C26" s="53"/>
      <c r="D26" s="164"/>
      <c r="F26" s="163"/>
    </row>
    <row r="27" spans="1:6" x14ac:dyDescent="0.2">
      <c r="A27" s="228" t="s">
        <v>256</v>
      </c>
      <c r="B27" s="55">
        <v>300</v>
      </c>
      <c r="C27" s="55">
        <v>283</v>
      </c>
      <c r="D27" s="378">
        <v>0.02</v>
      </c>
      <c r="E27" s="163">
        <v>0.20399999999999999</v>
      </c>
      <c r="F27" s="163">
        <v>0.2</v>
      </c>
    </row>
    <row r="28" spans="1:6" x14ac:dyDescent="0.2">
      <c r="A28" s="230" t="s">
        <v>257</v>
      </c>
      <c r="B28" s="55">
        <v>7536</v>
      </c>
      <c r="C28" s="55">
        <v>8617</v>
      </c>
      <c r="D28" s="164">
        <f t="shared" si="0"/>
        <v>0.4</v>
      </c>
      <c r="E28" s="163">
        <v>5.1349999999999998</v>
      </c>
      <c r="F28" s="163">
        <v>5.9</v>
      </c>
    </row>
    <row r="29" spans="1:6" s="430" customFormat="1" ht="25.5" x14ac:dyDescent="0.2">
      <c r="A29" s="228" t="s">
        <v>355</v>
      </c>
      <c r="B29" s="462">
        <v>20088</v>
      </c>
      <c r="C29" s="462">
        <v>20597</v>
      </c>
      <c r="D29" s="164">
        <f t="shared" si="0"/>
        <v>1.1000000000000001</v>
      </c>
      <c r="E29" s="163">
        <v>13.686999999999999</v>
      </c>
      <c r="F29" s="463">
        <v>14</v>
      </c>
    </row>
    <row r="30" spans="1:6" x14ac:dyDescent="0.2">
      <c r="A30" s="227" t="s">
        <v>248</v>
      </c>
      <c r="B30" s="462">
        <v>21964</v>
      </c>
      <c r="C30" s="55">
        <v>20683</v>
      </c>
      <c r="D30" s="164">
        <f t="shared" si="0"/>
        <v>1.2</v>
      </c>
      <c r="E30" s="163">
        <v>14.965</v>
      </c>
      <c r="F30" s="163">
        <v>14.1</v>
      </c>
    </row>
    <row r="31" spans="1:6" x14ac:dyDescent="0.2">
      <c r="A31" s="227" t="s">
        <v>247</v>
      </c>
      <c r="B31" s="462">
        <v>101118</v>
      </c>
      <c r="C31" s="55">
        <v>110119</v>
      </c>
      <c r="D31" s="164">
        <f t="shared" si="0"/>
        <v>5.6</v>
      </c>
      <c r="E31" s="163">
        <v>68.897999999999996</v>
      </c>
      <c r="F31" s="163">
        <v>75</v>
      </c>
    </row>
    <row r="32" spans="1:6" x14ac:dyDescent="0.2">
      <c r="A32" s="227" t="s">
        <v>246</v>
      </c>
      <c r="B32" s="462">
        <v>4</v>
      </c>
      <c r="C32" s="55">
        <v>6</v>
      </c>
      <c r="D32" s="379">
        <f>ROUND(B32/$B$6*100,5)</f>
        <v>2.2000000000000001E-4</v>
      </c>
      <c r="E32" s="464">
        <v>3.0000000000000001E-3</v>
      </c>
      <c r="F32" s="464">
        <v>4.0000000000000001E-3</v>
      </c>
    </row>
    <row r="33" spans="1:6" x14ac:dyDescent="0.2">
      <c r="A33" s="227" t="s">
        <v>245</v>
      </c>
      <c r="B33" s="462">
        <v>191</v>
      </c>
      <c r="C33" s="55">
        <v>217</v>
      </c>
      <c r="D33" s="378">
        <f>ROUND(B33/$B$6*100,4)</f>
        <v>1.06E-2</v>
      </c>
      <c r="E33" s="163">
        <v>0.13</v>
      </c>
      <c r="F33" s="163">
        <v>0.1</v>
      </c>
    </row>
    <row r="34" spans="1:6" ht="25.5" x14ac:dyDescent="0.2">
      <c r="A34" s="227" t="s">
        <v>249</v>
      </c>
      <c r="B34" s="55">
        <v>43852</v>
      </c>
      <c r="C34" s="55">
        <v>43075</v>
      </c>
      <c r="D34" s="164">
        <f t="shared" si="0"/>
        <v>2.4</v>
      </c>
      <c r="E34" s="163">
        <v>29.879000000000001</v>
      </c>
      <c r="F34" s="163">
        <v>29.3</v>
      </c>
    </row>
    <row r="35" spans="1:6" x14ac:dyDescent="0.2">
      <c r="A35" s="228" t="s">
        <v>258</v>
      </c>
      <c r="B35" s="55">
        <v>41153</v>
      </c>
      <c r="C35" s="55">
        <v>40257</v>
      </c>
      <c r="D35" s="164">
        <f t="shared" si="0"/>
        <v>2.2999999999999998</v>
      </c>
      <c r="E35" s="163">
        <v>28.04</v>
      </c>
      <c r="F35" s="163">
        <v>27.4</v>
      </c>
    </row>
    <row r="36" spans="1:6" ht="25.5" x14ac:dyDescent="0.2">
      <c r="A36" s="227" t="s">
        <v>244</v>
      </c>
      <c r="B36" s="55">
        <v>19440</v>
      </c>
      <c r="C36" s="55">
        <v>20619</v>
      </c>
      <c r="D36" s="164">
        <f t="shared" si="0"/>
        <v>1.1000000000000001</v>
      </c>
      <c r="E36" s="163">
        <v>13.246</v>
      </c>
      <c r="F36" s="163">
        <v>14</v>
      </c>
    </row>
    <row r="37" spans="1:6" ht="25.5" x14ac:dyDescent="0.2">
      <c r="A37" s="227" t="s">
        <v>243</v>
      </c>
      <c r="B37" s="55">
        <v>6052</v>
      </c>
      <c r="C37" s="55">
        <v>5543</v>
      </c>
      <c r="D37" s="164">
        <f t="shared" si="0"/>
        <v>0.3</v>
      </c>
      <c r="E37" s="163">
        <v>4.1239999999999997</v>
      </c>
      <c r="F37" s="163">
        <v>3.8</v>
      </c>
    </row>
    <row r="38" spans="1:6" ht="38.25" x14ac:dyDescent="0.2">
      <c r="A38" s="227" t="s">
        <v>242</v>
      </c>
      <c r="B38" s="55">
        <v>1762</v>
      </c>
      <c r="C38" s="55">
        <v>1709</v>
      </c>
      <c r="D38" s="164">
        <f t="shared" si="0"/>
        <v>0.1</v>
      </c>
      <c r="E38" s="163">
        <v>1.2010000000000001</v>
      </c>
      <c r="F38" s="163">
        <v>1.2</v>
      </c>
    </row>
    <row r="39" spans="1:6" x14ac:dyDescent="0.2">
      <c r="A39" s="228" t="s">
        <v>259</v>
      </c>
      <c r="B39" s="55">
        <v>1109</v>
      </c>
      <c r="C39" s="55">
        <v>1081</v>
      </c>
      <c r="D39" s="164">
        <f t="shared" si="0"/>
        <v>0.1</v>
      </c>
      <c r="E39" s="163">
        <v>0.75600000000000001</v>
      </c>
      <c r="F39" s="163">
        <v>0.7</v>
      </c>
    </row>
    <row r="40" spans="1:6" x14ac:dyDescent="0.2">
      <c r="A40" s="227" t="s">
        <v>241</v>
      </c>
      <c r="B40" s="55">
        <v>3570</v>
      </c>
      <c r="C40" s="55">
        <v>3583</v>
      </c>
      <c r="D40" s="164">
        <f t="shared" si="0"/>
        <v>0.2</v>
      </c>
      <c r="E40" s="163">
        <v>2.4319999999999999</v>
      </c>
      <c r="F40" s="163">
        <v>2.4</v>
      </c>
    </row>
    <row r="41" spans="1:6" ht="25.5" x14ac:dyDescent="0.2">
      <c r="A41" s="227" t="s">
        <v>240</v>
      </c>
      <c r="B41" s="55">
        <v>134</v>
      </c>
      <c r="C41" s="55">
        <v>147</v>
      </c>
      <c r="D41" s="378">
        <f>ROUND(B41/$B$6*100,2)</f>
        <v>0.01</v>
      </c>
      <c r="E41" s="163">
        <v>9.0999999999999998E-2</v>
      </c>
      <c r="F41" s="163">
        <v>0.1</v>
      </c>
    </row>
    <row r="42" spans="1:6" x14ac:dyDescent="0.2">
      <c r="A42" s="228" t="s">
        <v>260</v>
      </c>
      <c r="B42" s="55">
        <v>134</v>
      </c>
      <c r="C42" s="55">
        <v>146</v>
      </c>
      <c r="D42" s="378">
        <f>ROUND(B42/$B$6*100,2)</f>
        <v>0.01</v>
      </c>
      <c r="E42" s="163" t="s">
        <v>369</v>
      </c>
      <c r="F42" s="163" t="s">
        <v>332</v>
      </c>
    </row>
    <row r="43" spans="1:6" ht="51" x14ac:dyDescent="0.2">
      <c r="A43" s="227" t="s">
        <v>239</v>
      </c>
      <c r="B43" s="177">
        <v>124940</v>
      </c>
      <c r="C43" s="177">
        <v>125275</v>
      </c>
      <c r="D43" s="164">
        <f t="shared" si="0"/>
        <v>6.9</v>
      </c>
      <c r="E43" s="178">
        <v>85.129000000000005</v>
      </c>
      <c r="F43" s="178">
        <v>85.4</v>
      </c>
    </row>
    <row r="44" spans="1:6" x14ac:dyDescent="0.2">
      <c r="A44" s="228" t="s">
        <v>251</v>
      </c>
      <c r="C44" s="177"/>
      <c r="D44" s="164"/>
      <c r="F44" s="178"/>
    </row>
    <row r="45" spans="1:6" x14ac:dyDescent="0.2">
      <c r="A45" s="231" t="s">
        <v>261</v>
      </c>
      <c r="B45" s="177">
        <v>86006</v>
      </c>
      <c r="C45" s="177">
        <v>90675</v>
      </c>
      <c r="D45" s="164">
        <f t="shared" si="0"/>
        <v>4.8</v>
      </c>
      <c r="E45" s="178">
        <v>58.600999999999999</v>
      </c>
      <c r="F45" s="178">
        <v>61.8</v>
      </c>
    </row>
    <row r="46" spans="1:6" x14ac:dyDescent="0.2">
      <c r="A46" s="232" t="s">
        <v>263</v>
      </c>
      <c r="B46" s="156">
        <v>35540</v>
      </c>
      <c r="C46" s="156">
        <v>33050</v>
      </c>
      <c r="D46" s="377">
        <f t="shared" si="0"/>
        <v>2</v>
      </c>
      <c r="E46" s="165">
        <v>24.216000000000001</v>
      </c>
      <c r="F46" s="165">
        <v>22.6</v>
      </c>
    </row>
    <row r="47" spans="1:6" x14ac:dyDescent="0.2">
      <c r="A47" s="233"/>
      <c r="B47" s="177"/>
      <c r="C47" s="177"/>
      <c r="D47" s="178"/>
      <c r="E47" s="138"/>
      <c r="F47" s="179"/>
    </row>
    <row r="48" spans="1:6" x14ac:dyDescent="0.2">
      <c r="A48" s="130" t="s">
        <v>217</v>
      </c>
      <c r="D48" s="178"/>
      <c r="E48" s="138"/>
      <c r="F48" s="179"/>
    </row>
    <row r="49" spans="1:6" ht="15" customHeight="1" x14ac:dyDescent="0.2">
      <c r="A49" s="53"/>
      <c r="E49" s="56"/>
      <c r="F49" s="5"/>
    </row>
    <row r="50" spans="1:6" ht="12.75" customHeight="1" x14ac:dyDescent="0.2"/>
    <row r="51" spans="1:6" ht="12.75" customHeight="1" x14ac:dyDescent="0.2">
      <c r="A51" s="57"/>
      <c r="B51" s="10"/>
      <c r="C51" s="55"/>
      <c r="D51" s="10"/>
    </row>
    <row r="52" spans="1:6" ht="12.75" customHeight="1" x14ac:dyDescent="0.2">
      <c r="A52" s="57"/>
      <c r="B52" s="55"/>
    </row>
    <row r="53" spans="1:6" ht="12.75" customHeight="1" x14ac:dyDescent="0.2">
      <c r="A53" s="57"/>
      <c r="D53" s="58"/>
    </row>
    <row r="54" spans="1:6" ht="12.75" customHeight="1" x14ac:dyDescent="0.2">
      <c r="A54" s="57"/>
      <c r="B54" s="10"/>
      <c r="C54" s="55"/>
    </row>
    <row r="55" spans="1:6" ht="12.75" customHeight="1" x14ac:dyDescent="0.2">
      <c r="A55" s="59"/>
    </row>
    <row r="56" spans="1:6" ht="12.75" customHeight="1" x14ac:dyDescent="0.2">
      <c r="A56" s="57"/>
      <c r="B56" s="53"/>
      <c r="C56" s="53"/>
      <c r="D56" s="53"/>
      <c r="E56" s="53"/>
      <c r="F56" s="53"/>
    </row>
    <row r="57" spans="1:6" ht="12.75" customHeight="1" x14ac:dyDescent="0.25">
      <c r="A57" s="60"/>
      <c r="B57" s="53"/>
      <c r="C57" s="53"/>
      <c r="D57" s="53"/>
      <c r="E57" s="53"/>
      <c r="F57" s="53"/>
    </row>
    <row r="58" spans="1:6" ht="12.75" customHeight="1" x14ac:dyDescent="0.2">
      <c r="A58" s="57"/>
      <c r="B58" s="53"/>
      <c r="C58" s="53"/>
      <c r="D58" s="53"/>
      <c r="E58" s="53"/>
      <c r="F58" s="53"/>
    </row>
    <row r="59" spans="1:6" ht="12.75" customHeight="1" x14ac:dyDescent="0.2">
      <c r="A59" s="57"/>
      <c r="B59" s="53"/>
      <c r="C59" s="53"/>
      <c r="D59" s="53"/>
      <c r="E59" s="53"/>
      <c r="F59" s="53"/>
    </row>
    <row r="60" spans="1:6" ht="12.75" customHeight="1" x14ac:dyDescent="0.2">
      <c r="A60" s="57"/>
      <c r="B60" s="53"/>
      <c r="C60" s="53"/>
      <c r="D60" s="53"/>
      <c r="E60" s="53"/>
      <c r="F60" s="53"/>
    </row>
    <row r="61" spans="1:6" ht="12.75" customHeight="1" x14ac:dyDescent="0.2">
      <c r="A61" s="57"/>
      <c r="B61" s="53"/>
      <c r="C61" s="53"/>
      <c r="D61" s="53"/>
      <c r="E61" s="53"/>
      <c r="F61" s="53"/>
    </row>
    <row r="62" spans="1:6" ht="12.75" customHeight="1" x14ac:dyDescent="0.2">
      <c r="A62" s="59"/>
      <c r="B62" s="53"/>
      <c r="C62" s="53"/>
      <c r="D62" s="53"/>
      <c r="E62" s="53"/>
      <c r="F62" s="53"/>
    </row>
    <row r="63" spans="1:6" ht="12.75" customHeight="1" x14ac:dyDescent="0.2">
      <c r="A63" s="57"/>
      <c r="B63" s="53"/>
      <c r="C63" s="53"/>
      <c r="D63" s="53"/>
      <c r="E63" s="53"/>
      <c r="F63" s="53"/>
    </row>
    <row r="64" spans="1:6" ht="12.75" customHeight="1" x14ac:dyDescent="0.2">
      <c r="A64" s="57"/>
      <c r="B64" s="53"/>
      <c r="C64" s="53"/>
      <c r="D64" s="53"/>
      <c r="E64" s="53"/>
      <c r="F64" s="53"/>
    </row>
    <row r="65" spans="1:6" ht="12.75" customHeight="1" x14ac:dyDescent="0.2">
      <c r="A65" s="57"/>
      <c r="B65" s="53"/>
      <c r="C65" s="53"/>
      <c r="D65" s="53"/>
      <c r="E65" s="53"/>
      <c r="F65" s="53"/>
    </row>
    <row r="66" spans="1:6" ht="12.75" customHeight="1" x14ac:dyDescent="0.2">
      <c r="A66" s="57"/>
      <c r="B66" s="53"/>
      <c r="C66" s="53"/>
      <c r="D66" s="53"/>
      <c r="E66" s="53"/>
      <c r="F66" s="53"/>
    </row>
    <row r="67" spans="1:6" ht="12.75" customHeight="1" x14ac:dyDescent="0.2">
      <c r="A67" s="57"/>
      <c r="B67" s="53"/>
      <c r="C67" s="53"/>
      <c r="D67" s="53"/>
      <c r="E67" s="53"/>
      <c r="F67" s="53"/>
    </row>
    <row r="68" spans="1:6" ht="12.75" customHeight="1" x14ac:dyDescent="0.2">
      <c r="A68" s="57"/>
      <c r="B68" s="53"/>
      <c r="C68" s="53"/>
      <c r="D68" s="53"/>
      <c r="E68" s="53"/>
      <c r="F68" s="53"/>
    </row>
    <row r="69" spans="1:6" ht="12.75" customHeight="1" x14ac:dyDescent="0.2">
      <c r="B69" s="53"/>
      <c r="C69" s="53"/>
      <c r="D69" s="53"/>
      <c r="E69" s="53"/>
      <c r="F69" s="53"/>
    </row>
    <row r="70" spans="1:6" ht="12.75" customHeight="1" x14ac:dyDescent="0.2">
      <c r="B70" s="53"/>
      <c r="C70" s="53"/>
      <c r="D70" s="53"/>
      <c r="E70" s="53"/>
      <c r="F70" s="53"/>
    </row>
    <row r="71" spans="1:6" ht="12.75" customHeight="1" x14ac:dyDescent="0.2">
      <c r="B71" s="53"/>
      <c r="C71" s="53"/>
      <c r="D71" s="53"/>
      <c r="E71" s="53"/>
      <c r="F71" s="53"/>
    </row>
    <row r="72" spans="1:6" ht="12.75" customHeight="1" x14ac:dyDescent="0.2">
      <c r="A72" s="53"/>
      <c r="B72" s="53"/>
      <c r="C72" s="53"/>
      <c r="D72" s="53"/>
      <c r="E72" s="53"/>
      <c r="F72" s="53"/>
    </row>
    <row r="73" spans="1:6" ht="12.75" customHeight="1" x14ac:dyDescent="0.2">
      <c r="A73" s="53"/>
      <c r="B73" s="53"/>
      <c r="C73" s="53"/>
      <c r="D73" s="53"/>
      <c r="E73" s="53"/>
      <c r="F73" s="53"/>
    </row>
    <row r="74" spans="1:6" ht="12.75" customHeight="1" x14ac:dyDescent="0.2">
      <c r="A74" s="53"/>
      <c r="B74" s="53"/>
      <c r="C74" s="53"/>
      <c r="D74" s="53"/>
      <c r="E74" s="53"/>
      <c r="F74" s="53"/>
    </row>
    <row r="75" spans="1:6" ht="12.75" customHeight="1" x14ac:dyDescent="0.2">
      <c r="A75" s="53"/>
      <c r="B75" s="53"/>
      <c r="C75" s="53"/>
      <c r="D75" s="53"/>
      <c r="E75" s="53"/>
      <c r="F75" s="53"/>
    </row>
    <row r="76" spans="1:6" ht="12.75" customHeight="1" x14ac:dyDescent="0.2">
      <c r="A76" s="53"/>
      <c r="B76" s="53"/>
      <c r="C76" s="53"/>
      <c r="D76" s="53"/>
      <c r="E76" s="53"/>
      <c r="F76" s="53"/>
    </row>
    <row r="77" spans="1:6" ht="12.75" customHeight="1" x14ac:dyDescent="0.2">
      <c r="A77" s="53"/>
      <c r="B77" s="53"/>
      <c r="C77" s="53"/>
      <c r="D77" s="53"/>
      <c r="E77" s="53"/>
      <c r="F77" s="53"/>
    </row>
    <row r="78" spans="1:6" ht="12.75" customHeight="1" x14ac:dyDescent="0.2">
      <c r="A78" s="53"/>
      <c r="B78" s="53"/>
      <c r="C78" s="53"/>
      <c r="D78" s="53"/>
      <c r="E78" s="53"/>
      <c r="F78" s="53"/>
    </row>
    <row r="79" spans="1:6" ht="12.75" customHeight="1" x14ac:dyDescent="0.2">
      <c r="A79" s="53"/>
      <c r="B79" s="53"/>
      <c r="C79" s="53"/>
      <c r="D79" s="53"/>
      <c r="E79" s="53"/>
      <c r="F79" s="53"/>
    </row>
    <row r="80" spans="1:6" ht="12.75" customHeight="1" x14ac:dyDescent="0.2">
      <c r="A80" s="53"/>
      <c r="B80" s="53"/>
      <c r="C80" s="53"/>
      <c r="D80" s="53"/>
      <c r="E80" s="53"/>
      <c r="F80" s="53"/>
    </row>
    <row r="81" spans="1:6" ht="12.75" customHeight="1" x14ac:dyDescent="0.2">
      <c r="A81" s="53"/>
      <c r="B81" s="53"/>
      <c r="C81" s="53"/>
      <c r="D81" s="53"/>
      <c r="E81" s="53"/>
      <c r="F81" s="53"/>
    </row>
    <row r="82" spans="1:6" ht="12.75" customHeight="1" x14ac:dyDescent="0.2">
      <c r="A82" s="53"/>
      <c r="B82" s="53"/>
      <c r="C82" s="53"/>
      <c r="D82" s="53"/>
      <c r="E82" s="53"/>
      <c r="F82" s="53"/>
    </row>
    <row r="83" spans="1:6" ht="12.75" customHeight="1" x14ac:dyDescent="0.2">
      <c r="A83" s="53"/>
      <c r="B83" s="53"/>
      <c r="C83" s="53"/>
      <c r="D83" s="53"/>
      <c r="E83" s="53"/>
      <c r="F83" s="53"/>
    </row>
    <row r="84" spans="1:6" ht="12.75" customHeight="1" x14ac:dyDescent="0.2">
      <c r="A84" s="53"/>
      <c r="B84" s="53"/>
      <c r="C84" s="53"/>
      <c r="D84" s="53"/>
      <c r="E84" s="53"/>
      <c r="F84" s="53"/>
    </row>
    <row r="85" spans="1:6" ht="12.75" customHeight="1" x14ac:dyDescent="0.2">
      <c r="A85" s="53"/>
      <c r="B85" s="53"/>
      <c r="C85" s="53"/>
      <c r="D85" s="53"/>
      <c r="E85" s="53"/>
      <c r="F85" s="53"/>
    </row>
    <row r="86" spans="1:6" ht="12.75" customHeight="1" x14ac:dyDescent="0.2">
      <c r="A86" s="53"/>
      <c r="B86" s="53"/>
      <c r="C86" s="53"/>
      <c r="D86" s="53"/>
      <c r="E86" s="53"/>
      <c r="F86" s="53"/>
    </row>
    <row r="87" spans="1:6" ht="12.75" customHeight="1" x14ac:dyDescent="0.2">
      <c r="A87" s="53"/>
      <c r="B87" s="53"/>
      <c r="C87" s="53"/>
      <c r="D87" s="53"/>
      <c r="E87" s="53"/>
      <c r="F87" s="53"/>
    </row>
    <row r="88" spans="1:6" ht="12.75" customHeight="1" x14ac:dyDescent="0.2">
      <c r="A88" s="53"/>
      <c r="B88" s="53"/>
      <c r="C88" s="53"/>
      <c r="D88" s="53"/>
      <c r="E88" s="53"/>
      <c r="F88" s="53"/>
    </row>
    <row r="89" spans="1:6" ht="12.75" customHeight="1" x14ac:dyDescent="0.2">
      <c r="A89" s="53"/>
      <c r="B89" s="53"/>
      <c r="C89" s="53"/>
      <c r="D89" s="53"/>
      <c r="E89" s="53"/>
      <c r="F89" s="53"/>
    </row>
    <row r="90" spans="1:6" ht="12.75" customHeight="1" x14ac:dyDescent="0.2">
      <c r="A90" s="53"/>
      <c r="B90" s="53"/>
      <c r="C90" s="53"/>
      <c r="D90" s="53"/>
      <c r="E90" s="53"/>
      <c r="F90" s="53"/>
    </row>
    <row r="91" spans="1:6" ht="12.75" customHeight="1" x14ac:dyDescent="0.2">
      <c r="A91" s="53"/>
      <c r="B91" s="53"/>
      <c r="C91" s="53"/>
      <c r="D91" s="53"/>
      <c r="E91" s="53"/>
      <c r="F91" s="53"/>
    </row>
    <row r="92" spans="1:6" ht="12.75" customHeight="1" x14ac:dyDescent="0.2">
      <c r="A92" s="53"/>
      <c r="B92" s="53"/>
      <c r="C92" s="53"/>
      <c r="D92" s="53"/>
      <c r="E92" s="53"/>
      <c r="F92" s="53"/>
    </row>
    <row r="93" spans="1:6" ht="12.75" customHeight="1" x14ac:dyDescent="0.2">
      <c r="A93" s="53"/>
      <c r="B93" s="53"/>
      <c r="C93" s="53"/>
      <c r="D93" s="53"/>
      <c r="E93" s="53"/>
      <c r="F93" s="53"/>
    </row>
    <row r="94" spans="1:6" ht="12.75" customHeight="1" x14ac:dyDescent="0.2">
      <c r="A94" s="53"/>
      <c r="B94" s="53"/>
      <c r="C94" s="53"/>
      <c r="D94" s="53"/>
      <c r="E94" s="53"/>
      <c r="F94" s="53"/>
    </row>
    <row r="95" spans="1:6" ht="12.75" customHeight="1" x14ac:dyDescent="0.2">
      <c r="A95" s="53"/>
      <c r="B95" s="53"/>
      <c r="C95" s="53"/>
      <c r="D95" s="53"/>
      <c r="E95" s="53"/>
      <c r="F95" s="53"/>
    </row>
    <row r="96" spans="1:6" ht="12.75" customHeight="1" x14ac:dyDescent="0.2">
      <c r="A96" s="53"/>
      <c r="B96" s="53"/>
      <c r="C96" s="53"/>
      <c r="D96" s="53"/>
      <c r="E96" s="53"/>
      <c r="F96" s="53"/>
    </row>
    <row r="97" spans="1:6" ht="12.75" customHeight="1" x14ac:dyDescent="0.2">
      <c r="A97" s="53"/>
      <c r="B97" s="53"/>
      <c r="C97" s="53"/>
      <c r="D97" s="53"/>
      <c r="E97" s="53"/>
      <c r="F97" s="53"/>
    </row>
    <row r="98" spans="1:6" ht="12.75" customHeight="1" x14ac:dyDescent="0.2">
      <c r="A98" s="53"/>
      <c r="B98" s="53"/>
      <c r="C98" s="53"/>
      <c r="D98" s="53"/>
      <c r="E98" s="53"/>
      <c r="F98" s="53"/>
    </row>
    <row r="99" spans="1:6" ht="12.75" customHeight="1" x14ac:dyDescent="0.2">
      <c r="A99" s="53"/>
      <c r="B99" s="53"/>
      <c r="C99" s="53"/>
      <c r="D99" s="53"/>
      <c r="E99" s="53"/>
      <c r="F99" s="53"/>
    </row>
    <row r="100" spans="1:6" ht="12.75" customHeight="1" x14ac:dyDescent="0.2">
      <c r="A100" s="53"/>
      <c r="B100" s="53"/>
      <c r="C100" s="53"/>
      <c r="D100" s="53"/>
      <c r="E100" s="53"/>
      <c r="F100" s="53"/>
    </row>
    <row r="101" spans="1:6" ht="12.75" customHeight="1" x14ac:dyDescent="0.2">
      <c r="A101" s="53"/>
      <c r="B101" s="53"/>
      <c r="C101" s="53"/>
      <c r="D101" s="53"/>
      <c r="E101" s="53"/>
      <c r="F101" s="53"/>
    </row>
    <row r="102" spans="1:6" ht="12.75" customHeight="1" x14ac:dyDescent="0.2">
      <c r="A102" s="53"/>
      <c r="B102" s="53"/>
      <c r="C102" s="53"/>
      <c r="D102" s="53"/>
      <c r="E102" s="53"/>
      <c r="F102" s="53"/>
    </row>
    <row r="103" spans="1:6" ht="12.75" customHeight="1" x14ac:dyDescent="0.2">
      <c r="A103" s="53"/>
      <c r="B103" s="53"/>
      <c r="C103" s="53"/>
      <c r="D103" s="53"/>
      <c r="E103" s="53"/>
      <c r="F103" s="53"/>
    </row>
    <row r="104" spans="1:6" ht="12.75" customHeight="1" x14ac:dyDescent="0.2">
      <c r="A104" s="53"/>
      <c r="B104" s="53"/>
      <c r="C104" s="53"/>
      <c r="D104" s="53"/>
      <c r="E104" s="53"/>
      <c r="F104" s="53"/>
    </row>
  </sheetData>
  <mergeCells count="5">
    <mergeCell ref="A1:F1"/>
    <mergeCell ref="A2:F2"/>
    <mergeCell ref="A3:A5"/>
    <mergeCell ref="B3:D4"/>
    <mergeCell ref="E3:F4"/>
  </mergeCells>
  <printOptions horizontalCentered="1"/>
  <pageMargins left="0.59055118110236227" right="0.59055118110236227" top="0.70866141732283472" bottom="0.19685039370078741" header="0.31496062992125984" footer="0.51181102362204722"/>
  <pageSetup paperSize="9" firstPageNumber="20" orientation="landscape" useFirstPageNumber="1" r:id="rId1"/>
  <headerFooter alignWithMargins="0">
    <oddHeader>&amp;C&amp;"Arial,обычный"&amp;10&amp;P</oddHeader>
  </headerFooter>
  <rowBreaks count="1" manualBreakCount="1">
    <brk id="33" max="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I302"/>
  <sheetViews>
    <sheetView zoomScaleNormal="100" zoomScaleSheetLayoutView="100" workbookViewId="0">
      <selection activeCell="A2" sqref="A2:I2"/>
    </sheetView>
  </sheetViews>
  <sheetFormatPr defaultRowHeight="14.25" x14ac:dyDescent="0.2"/>
  <cols>
    <col min="1" max="1" width="40.140625" style="5" customWidth="1"/>
    <col min="2" max="2" width="11.7109375" style="5" customWidth="1"/>
    <col min="3" max="3" width="15" style="5" customWidth="1"/>
    <col min="4" max="4" width="13.140625" style="5" customWidth="1"/>
    <col min="5" max="5" width="12.85546875" style="5" customWidth="1"/>
    <col min="6" max="6" width="13.5703125" style="5" customWidth="1"/>
    <col min="7" max="7" width="12.140625" style="5" customWidth="1"/>
    <col min="8" max="8" width="12.7109375" style="5" customWidth="1"/>
    <col min="9" max="9" width="12" style="5" customWidth="1"/>
    <col min="10" max="16384" width="9.140625" style="9"/>
  </cols>
  <sheetData>
    <row r="1" spans="1:9" s="8" customFormat="1" ht="15" customHeight="1" x14ac:dyDescent="0.25">
      <c r="A1" s="525" t="s">
        <v>325</v>
      </c>
      <c r="B1" s="525"/>
      <c r="C1" s="483"/>
      <c r="D1" s="483"/>
      <c r="E1" s="483"/>
      <c r="F1" s="483"/>
      <c r="G1" s="483"/>
      <c r="H1" s="483"/>
      <c r="I1" s="483"/>
    </row>
    <row r="2" spans="1:9" s="8" customFormat="1" ht="15" x14ac:dyDescent="0.25">
      <c r="A2" s="525" t="s">
        <v>350</v>
      </c>
      <c r="B2" s="525"/>
      <c r="C2" s="483"/>
      <c r="D2" s="483" t="s">
        <v>141</v>
      </c>
      <c r="E2" s="483" t="s">
        <v>142</v>
      </c>
      <c r="F2" s="483"/>
      <c r="G2" s="483"/>
      <c r="H2" s="483"/>
      <c r="I2" s="483"/>
    </row>
    <row r="3" spans="1:9" x14ac:dyDescent="0.2">
      <c r="A3" s="65"/>
      <c r="B3" s="65"/>
      <c r="C3" s="65"/>
      <c r="D3" s="65"/>
      <c r="E3" s="65"/>
      <c r="F3" s="65"/>
      <c r="G3" s="405"/>
      <c r="H3" s="405"/>
      <c r="I3" s="405"/>
    </row>
    <row r="4" spans="1:9" x14ac:dyDescent="0.2">
      <c r="A4" s="524"/>
      <c r="B4" s="526" t="s">
        <v>323</v>
      </c>
      <c r="C4" s="528" t="s">
        <v>324</v>
      </c>
      <c r="D4" s="529"/>
      <c r="E4" s="529"/>
      <c r="F4" s="529"/>
      <c r="G4" s="529"/>
      <c r="H4" s="529"/>
      <c r="I4" s="530"/>
    </row>
    <row r="5" spans="1:9" ht="52.5" customHeight="1" x14ac:dyDescent="0.2">
      <c r="A5" s="524"/>
      <c r="B5" s="527"/>
      <c r="C5" s="236" t="s">
        <v>143</v>
      </c>
      <c r="D5" s="236" t="s">
        <v>144</v>
      </c>
      <c r="E5" s="236" t="s">
        <v>291</v>
      </c>
      <c r="F5" s="236" t="s">
        <v>146</v>
      </c>
      <c r="G5" s="236" t="s">
        <v>147</v>
      </c>
      <c r="H5" s="236" t="s">
        <v>148</v>
      </c>
      <c r="I5" s="236" t="s">
        <v>149</v>
      </c>
    </row>
    <row r="6" spans="1:9" s="8" customFormat="1" ht="12.95" customHeight="1" x14ac:dyDescent="0.25">
      <c r="A6" s="200" t="s">
        <v>13</v>
      </c>
      <c r="B6" s="381">
        <v>1798307</v>
      </c>
      <c r="C6" s="381">
        <v>32918</v>
      </c>
      <c r="D6" s="381">
        <v>7536</v>
      </c>
      <c r="E6" s="381">
        <v>298699</v>
      </c>
      <c r="F6" s="381">
        <v>841207</v>
      </c>
      <c r="G6" s="381">
        <v>59188</v>
      </c>
      <c r="H6" s="381">
        <v>98271</v>
      </c>
      <c r="I6" s="381">
        <v>137633</v>
      </c>
    </row>
    <row r="7" spans="1:9" s="8" customFormat="1" ht="12.95" customHeight="1" x14ac:dyDescent="0.25">
      <c r="A7" s="201" t="s">
        <v>14</v>
      </c>
      <c r="B7" s="381">
        <v>496740</v>
      </c>
      <c r="C7" s="381">
        <v>4435</v>
      </c>
      <c r="D7" s="381">
        <v>887</v>
      </c>
      <c r="E7" s="381">
        <v>83335</v>
      </c>
      <c r="F7" s="381">
        <v>227487</v>
      </c>
      <c r="G7" s="381">
        <v>14862</v>
      </c>
      <c r="H7" s="381">
        <v>25730</v>
      </c>
      <c r="I7" s="381">
        <v>31393</v>
      </c>
    </row>
    <row r="8" spans="1:9" ht="12.95" customHeight="1" x14ac:dyDescent="0.2">
      <c r="A8" s="202" t="s">
        <v>15</v>
      </c>
      <c r="B8" s="384">
        <v>20662</v>
      </c>
      <c r="C8" s="384">
        <v>81</v>
      </c>
      <c r="D8" s="384">
        <v>10</v>
      </c>
      <c r="E8" s="384">
        <v>2850</v>
      </c>
      <c r="F8" s="384">
        <v>10291</v>
      </c>
      <c r="G8" s="384">
        <v>862</v>
      </c>
      <c r="H8" s="384">
        <v>924</v>
      </c>
      <c r="I8" s="384">
        <v>1163</v>
      </c>
    </row>
    <row r="9" spans="1:9" ht="12.95" customHeight="1" x14ac:dyDescent="0.2">
      <c r="A9" s="202" t="s">
        <v>16</v>
      </c>
      <c r="B9" s="384">
        <v>17615</v>
      </c>
      <c r="C9" s="384">
        <v>125</v>
      </c>
      <c r="D9" s="384">
        <v>51</v>
      </c>
      <c r="E9" s="384">
        <v>2954</v>
      </c>
      <c r="F9" s="384">
        <v>8415</v>
      </c>
      <c r="G9" s="384">
        <v>788</v>
      </c>
      <c r="H9" s="384">
        <v>1023</v>
      </c>
      <c r="I9" s="384">
        <v>1226</v>
      </c>
    </row>
    <row r="10" spans="1:9" ht="12.95" customHeight="1" x14ac:dyDescent="0.2">
      <c r="A10" s="202" t="s">
        <v>17</v>
      </c>
      <c r="B10" s="384">
        <v>21183</v>
      </c>
      <c r="C10" s="384">
        <v>155</v>
      </c>
      <c r="D10" s="384">
        <v>32</v>
      </c>
      <c r="E10" s="384">
        <v>3445</v>
      </c>
      <c r="F10" s="384">
        <v>10829</v>
      </c>
      <c r="G10" s="384">
        <v>637</v>
      </c>
      <c r="H10" s="384">
        <v>1564</v>
      </c>
      <c r="I10" s="384">
        <v>1400</v>
      </c>
    </row>
    <row r="11" spans="1:9" ht="12.95" customHeight="1" x14ac:dyDescent="0.2">
      <c r="A11" s="202" t="s">
        <v>18</v>
      </c>
      <c r="B11" s="384">
        <v>32882</v>
      </c>
      <c r="C11" s="384">
        <v>159</v>
      </c>
      <c r="D11" s="384">
        <v>48</v>
      </c>
      <c r="E11" s="384">
        <v>4172</v>
      </c>
      <c r="F11" s="384">
        <v>13989</v>
      </c>
      <c r="G11" s="384">
        <v>749</v>
      </c>
      <c r="H11" s="384">
        <v>1218</v>
      </c>
      <c r="I11" s="384">
        <v>1875</v>
      </c>
    </row>
    <row r="12" spans="1:9" ht="12.95" customHeight="1" x14ac:dyDescent="0.2">
      <c r="A12" s="202" t="s">
        <v>19</v>
      </c>
      <c r="B12" s="384">
        <v>15799</v>
      </c>
      <c r="C12" s="384">
        <v>143</v>
      </c>
      <c r="D12" s="384">
        <v>19</v>
      </c>
      <c r="E12" s="384">
        <v>2304</v>
      </c>
      <c r="F12" s="384">
        <v>6306</v>
      </c>
      <c r="G12" s="384">
        <v>507</v>
      </c>
      <c r="H12" s="384">
        <v>1033</v>
      </c>
      <c r="I12" s="384">
        <v>883</v>
      </c>
    </row>
    <row r="13" spans="1:9" ht="12.95" customHeight="1" x14ac:dyDescent="0.2">
      <c r="A13" s="202" t="s">
        <v>20</v>
      </c>
      <c r="B13" s="384">
        <v>14656</v>
      </c>
      <c r="C13" s="384">
        <v>132</v>
      </c>
      <c r="D13" s="384">
        <v>10</v>
      </c>
      <c r="E13" s="384">
        <v>2388</v>
      </c>
      <c r="F13" s="384">
        <v>7064</v>
      </c>
      <c r="G13" s="384">
        <v>652</v>
      </c>
      <c r="H13" s="384">
        <v>805</v>
      </c>
      <c r="I13" s="384">
        <v>1021</v>
      </c>
    </row>
    <row r="14" spans="1:9" ht="12.95" customHeight="1" x14ac:dyDescent="0.2">
      <c r="A14" s="203" t="s">
        <v>21</v>
      </c>
      <c r="B14" s="384">
        <v>9337</v>
      </c>
      <c r="C14" s="384">
        <v>49</v>
      </c>
      <c r="D14" s="384">
        <v>4</v>
      </c>
      <c r="E14" s="384">
        <v>1625</v>
      </c>
      <c r="F14" s="384">
        <v>5001</v>
      </c>
      <c r="G14" s="384">
        <v>215</v>
      </c>
      <c r="H14" s="384">
        <v>484</v>
      </c>
      <c r="I14" s="384">
        <v>587</v>
      </c>
    </row>
    <row r="15" spans="1:9" ht="12.95" customHeight="1" x14ac:dyDescent="0.2">
      <c r="A15" s="202" t="s">
        <v>22</v>
      </c>
      <c r="B15" s="384">
        <v>16562</v>
      </c>
      <c r="C15" s="384">
        <v>83</v>
      </c>
      <c r="D15" s="384">
        <v>46</v>
      </c>
      <c r="E15" s="384">
        <v>2636</v>
      </c>
      <c r="F15" s="384">
        <v>7627</v>
      </c>
      <c r="G15" s="384">
        <v>859</v>
      </c>
      <c r="H15" s="384">
        <v>813</v>
      </c>
      <c r="I15" s="384">
        <v>993</v>
      </c>
    </row>
    <row r="16" spans="1:9" ht="12.95" customHeight="1" x14ac:dyDescent="0.2">
      <c r="A16" s="202" t="s">
        <v>23</v>
      </c>
      <c r="B16" s="384">
        <v>16291</v>
      </c>
      <c r="C16" s="384">
        <v>47</v>
      </c>
      <c r="D16" s="384">
        <v>17</v>
      </c>
      <c r="E16" s="384">
        <v>2153</v>
      </c>
      <c r="F16" s="384">
        <v>6523</v>
      </c>
      <c r="G16" s="384">
        <v>618</v>
      </c>
      <c r="H16" s="384">
        <v>644</v>
      </c>
      <c r="I16" s="384">
        <v>1117</v>
      </c>
    </row>
    <row r="17" spans="1:9" ht="12.95" customHeight="1" x14ac:dyDescent="0.2">
      <c r="A17" s="202" t="s">
        <v>24</v>
      </c>
      <c r="B17" s="384">
        <v>91448</v>
      </c>
      <c r="C17" s="384">
        <v>939</v>
      </c>
      <c r="D17" s="384">
        <v>154</v>
      </c>
      <c r="E17" s="384">
        <v>13686</v>
      </c>
      <c r="F17" s="384">
        <v>36218</v>
      </c>
      <c r="G17" s="384">
        <v>2363</v>
      </c>
      <c r="H17" s="384">
        <v>5158</v>
      </c>
      <c r="I17" s="384">
        <v>6951</v>
      </c>
    </row>
    <row r="18" spans="1:9" ht="12.95" customHeight="1" x14ac:dyDescent="0.2">
      <c r="A18" s="202" t="s">
        <v>25</v>
      </c>
      <c r="B18" s="384">
        <v>11289</v>
      </c>
      <c r="C18" s="384">
        <v>41</v>
      </c>
      <c r="D18" s="384">
        <v>7</v>
      </c>
      <c r="E18" s="384">
        <v>1884</v>
      </c>
      <c r="F18" s="384">
        <v>6441</v>
      </c>
      <c r="G18" s="384">
        <v>351</v>
      </c>
      <c r="H18" s="384">
        <v>710</v>
      </c>
      <c r="I18" s="384">
        <v>617</v>
      </c>
    </row>
    <row r="19" spans="1:9" ht="12.95" customHeight="1" x14ac:dyDescent="0.2">
      <c r="A19" s="203" t="s">
        <v>26</v>
      </c>
      <c r="B19" s="384">
        <v>16853</v>
      </c>
      <c r="C19" s="384">
        <v>84</v>
      </c>
      <c r="D19" s="384">
        <v>5</v>
      </c>
      <c r="E19" s="384">
        <v>2304</v>
      </c>
      <c r="F19" s="384">
        <v>6769</v>
      </c>
      <c r="G19" s="384">
        <v>611</v>
      </c>
      <c r="H19" s="384">
        <v>930</v>
      </c>
      <c r="I19" s="384">
        <v>1067</v>
      </c>
    </row>
    <row r="20" spans="1:9" ht="12.95" customHeight="1" x14ac:dyDescent="0.2">
      <c r="A20" s="202" t="s">
        <v>27</v>
      </c>
      <c r="B20" s="384">
        <v>14192</v>
      </c>
      <c r="C20" s="384">
        <v>166</v>
      </c>
      <c r="D20" s="384">
        <v>77</v>
      </c>
      <c r="E20" s="384">
        <v>2049</v>
      </c>
      <c r="F20" s="384">
        <v>6725</v>
      </c>
      <c r="G20" s="384">
        <v>423</v>
      </c>
      <c r="H20" s="384">
        <v>767</v>
      </c>
      <c r="I20" s="384">
        <v>1051</v>
      </c>
    </row>
    <row r="21" spans="1:9" ht="12.95" customHeight="1" x14ac:dyDescent="0.2">
      <c r="A21" s="202" t="s">
        <v>28</v>
      </c>
      <c r="B21" s="384">
        <v>15187</v>
      </c>
      <c r="C21" s="384">
        <v>64</v>
      </c>
      <c r="D21" s="384">
        <v>20</v>
      </c>
      <c r="E21" s="384">
        <v>1861</v>
      </c>
      <c r="F21" s="384">
        <v>6022</v>
      </c>
      <c r="G21" s="384">
        <v>454</v>
      </c>
      <c r="H21" s="384">
        <v>653</v>
      </c>
      <c r="I21" s="384">
        <v>925</v>
      </c>
    </row>
    <row r="22" spans="1:9" ht="12.95" customHeight="1" x14ac:dyDescent="0.2">
      <c r="A22" s="202" t="s">
        <v>29</v>
      </c>
      <c r="B22" s="384">
        <v>20591</v>
      </c>
      <c r="C22" s="384">
        <v>293</v>
      </c>
      <c r="D22" s="384">
        <v>58</v>
      </c>
      <c r="E22" s="384">
        <v>3200</v>
      </c>
      <c r="F22" s="384">
        <v>9654</v>
      </c>
      <c r="G22" s="384">
        <v>654</v>
      </c>
      <c r="H22" s="384">
        <v>1192</v>
      </c>
      <c r="I22" s="384">
        <v>1405</v>
      </c>
    </row>
    <row r="23" spans="1:9" ht="12.95" customHeight="1" x14ac:dyDescent="0.2">
      <c r="A23" s="202" t="s">
        <v>30</v>
      </c>
      <c r="B23" s="384">
        <v>23354</v>
      </c>
      <c r="C23" s="384">
        <v>228</v>
      </c>
      <c r="D23" s="384">
        <v>60</v>
      </c>
      <c r="E23" s="384">
        <v>3751</v>
      </c>
      <c r="F23" s="384">
        <v>10070</v>
      </c>
      <c r="G23" s="384">
        <v>789</v>
      </c>
      <c r="H23" s="384">
        <v>1566</v>
      </c>
      <c r="I23" s="384">
        <v>1442</v>
      </c>
    </row>
    <row r="24" spans="1:9" ht="12.95" customHeight="1" x14ac:dyDescent="0.2">
      <c r="A24" s="202" t="s">
        <v>31</v>
      </c>
      <c r="B24" s="384">
        <v>18418</v>
      </c>
      <c r="C24" s="384">
        <v>108</v>
      </c>
      <c r="D24" s="384">
        <v>46</v>
      </c>
      <c r="E24" s="384">
        <v>2843</v>
      </c>
      <c r="F24" s="384">
        <v>7530</v>
      </c>
      <c r="G24" s="384">
        <v>476</v>
      </c>
      <c r="H24" s="384">
        <v>1260</v>
      </c>
      <c r="I24" s="384">
        <v>1300</v>
      </c>
    </row>
    <row r="25" spans="1:9" ht="12.95" customHeight="1" x14ac:dyDescent="0.2">
      <c r="A25" s="202" t="s">
        <v>32</v>
      </c>
      <c r="B25" s="382">
        <v>120421</v>
      </c>
      <c r="C25" s="382">
        <v>1538</v>
      </c>
      <c r="D25" s="382">
        <v>223</v>
      </c>
      <c r="E25" s="383">
        <v>27230</v>
      </c>
      <c r="F25" s="384">
        <v>62013</v>
      </c>
      <c r="G25" s="384">
        <v>2854</v>
      </c>
      <c r="H25" s="384">
        <v>4986</v>
      </c>
      <c r="I25" s="384">
        <v>6370</v>
      </c>
    </row>
    <row r="26" spans="1:9" s="8" customFormat="1" ht="12.95" customHeight="1" x14ac:dyDescent="0.25">
      <c r="A26" s="204" t="s">
        <v>33</v>
      </c>
      <c r="B26" s="381">
        <v>173155</v>
      </c>
      <c r="C26" s="381">
        <v>2386</v>
      </c>
      <c r="D26" s="381">
        <v>382</v>
      </c>
      <c r="E26" s="381">
        <v>33144</v>
      </c>
      <c r="F26" s="381">
        <v>89811</v>
      </c>
      <c r="G26" s="381">
        <v>5069</v>
      </c>
      <c r="H26" s="381">
        <v>9888</v>
      </c>
      <c r="I26" s="381">
        <v>12713</v>
      </c>
    </row>
    <row r="27" spans="1:9" ht="12.95" customHeight="1" x14ac:dyDescent="0.2">
      <c r="A27" s="202" t="s">
        <v>34</v>
      </c>
      <c r="B27" s="384">
        <v>8775</v>
      </c>
      <c r="C27" s="384">
        <v>54</v>
      </c>
      <c r="D27" s="384">
        <v>13</v>
      </c>
      <c r="E27" s="384">
        <v>1512</v>
      </c>
      <c r="F27" s="384">
        <v>4355</v>
      </c>
      <c r="G27" s="384">
        <v>312</v>
      </c>
      <c r="H27" s="384">
        <v>485</v>
      </c>
      <c r="I27" s="384">
        <v>648</v>
      </c>
    </row>
    <row r="28" spans="1:9" ht="12.95" customHeight="1" x14ac:dyDescent="0.2">
      <c r="A28" s="202" t="s">
        <v>35</v>
      </c>
      <c r="B28" s="384">
        <v>9891</v>
      </c>
      <c r="C28" s="384">
        <v>90</v>
      </c>
      <c r="D28" s="384">
        <v>37</v>
      </c>
      <c r="E28" s="384">
        <v>1717</v>
      </c>
      <c r="F28" s="384">
        <v>4606</v>
      </c>
      <c r="G28" s="384">
        <v>349</v>
      </c>
      <c r="H28" s="384">
        <v>797</v>
      </c>
      <c r="I28" s="384">
        <v>1104</v>
      </c>
    </row>
    <row r="29" spans="1:9" ht="12.95" customHeight="1" x14ac:dyDescent="0.2">
      <c r="A29" s="202" t="s">
        <v>36</v>
      </c>
      <c r="B29" s="384">
        <v>14819</v>
      </c>
      <c r="C29" s="384">
        <v>85</v>
      </c>
      <c r="D29" s="384">
        <v>18</v>
      </c>
      <c r="E29" s="384">
        <v>2695</v>
      </c>
      <c r="F29" s="384">
        <v>8443</v>
      </c>
      <c r="G29" s="384">
        <v>526</v>
      </c>
      <c r="H29" s="384">
        <v>809</v>
      </c>
      <c r="I29" s="384">
        <v>1375</v>
      </c>
    </row>
    <row r="30" spans="1:9" ht="12.95" customHeight="1" x14ac:dyDescent="0.2">
      <c r="A30" s="202" t="s">
        <v>37</v>
      </c>
      <c r="B30" s="385">
        <v>380</v>
      </c>
      <c r="C30" s="385">
        <v>3</v>
      </c>
      <c r="D30" s="385">
        <v>0</v>
      </c>
      <c r="E30" s="384">
        <v>67</v>
      </c>
      <c r="F30" s="384">
        <v>153</v>
      </c>
      <c r="G30" s="384">
        <v>21</v>
      </c>
      <c r="H30" s="384">
        <v>53</v>
      </c>
      <c r="I30" s="384">
        <v>54</v>
      </c>
    </row>
    <row r="31" spans="1:9" ht="12.95" customHeight="1" x14ac:dyDescent="0.2">
      <c r="A31" s="205" t="s">
        <v>287</v>
      </c>
      <c r="B31" s="384">
        <v>14439</v>
      </c>
      <c r="C31" s="384">
        <v>82</v>
      </c>
      <c r="D31" s="384">
        <v>18</v>
      </c>
      <c r="E31" s="384">
        <v>2628</v>
      </c>
      <c r="F31" s="384">
        <v>8290</v>
      </c>
      <c r="G31" s="384">
        <v>505</v>
      </c>
      <c r="H31" s="384">
        <v>756</v>
      </c>
      <c r="I31" s="384">
        <v>1321</v>
      </c>
    </row>
    <row r="32" spans="1:9" ht="12.95" customHeight="1" x14ac:dyDescent="0.2">
      <c r="A32" s="202" t="s">
        <v>38</v>
      </c>
      <c r="B32" s="384">
        <v>16366</v>
      </c>
      <c r="C32" s="384">
        <v>109</v>
      </c>
      <c r="D32" s="384">
        <v>19</v>
      </c>
      <c r="E32" s="384">
        <v>2689</v>
      </c>
      <c r="F32" s="384">
        <v>8250</v>
      </c>
      <c r="G32" s="384">
        <v>617</v>
      </c>
      <c r="H32" s="384">
        <v>1035</v>
      </c>
      <c r="I32" s="384">
        <v>1113</v>
      </c>
    </row>
    <row r="33" spans="1:9" ht="12.95" customHeight="1" x14ac:dyDescent="0.2">
      <c r="A33" s="202" t="s">
        <v>39</v>
      </c>
      <c r="B33" s="384">
        <v>11937</v>
      </c>
      <c r="C33" s="384">
        <v>162</v>
      </c>
      <c r="D33" s="384">
        <v>25</v>
      </c>
      <c r="E33" s="384">
        <v>2166</v>
      </c>
      <c r="F33" s="384">
        <v>5510</v>
      </c>
      <c r="G33" s="384">
        <v>325</v>
      </c>
      <c r="H33" s="384">
        <v>608</v>
      </c>
      <c r="I33" s="384">
        <v>856</v>
      </c>
    </row>
    <row r="34" spans="1:9" ht="12.95" customHeight="1" x14ac:dyDescent="0.2">
      <c r="A34" s="202" t="s">
        <v>40</v>
      </c>
      <c r="B34" s="384">
        <v>23354</v>
      </c>
      <c r="C34" s="384">
        <v>547</v>
      </c>
      <c r="D34" s="384">
        <v>77</v>
      </c>
      <c r="E34" s="384">
        <v>4188</v>
      </c>
      <c r="F34" s="384">
        <v>9390</v>
      </c>
      <c r="G34" s="384">
        <v>918</v>
      </c>
      <c r="H34" s="384">
        <v>1688</v>
      </c>
      <c r="I34" s="384">
        <v>2160</v>
      </c>
    </row>
    <row r="35" spans="1:9" ht="12.95" customHeight="1" x14ac:dyDescent="0.2">
      <c r="A35" s="202" t="s">
        <v>41</v>
      </c>
      <c r="B35" s="384">
        <v>8462</v>
      </c>
      <c r="C35" s="384">
        <v>88</v>
      </c>
      <c r="D35" s="384">
        <v>10</v>
      </c>
      <c r="E35" s="384">
        <v>1513</v>
      </c>
      <c r="F35" s="384">
        <v>4414</v>
      </c>
      <c r="G35" s="384">
        <v>146</v>
      </c>
      <c r="H35" s="384">
        <v>571</v>
      </c>
      <c r="I35" s="384">
        <v>836</v>
      </c>
    </row>
    <row r="36" spans="1:9" ht="12.95" customHeight="1" x14ac:dyDescent="0.2">
      <c r="A36" s="202" t="s">
        <v>42</v>
      </c>
      <c r="B36" s="384">
        <v>9801</v>
      </c>
      <c r="C36" s="384">
        <v>120</v>
      </c>
      <c r="D36" s="384">
        <v>12</v>
      </c>
      <c r="E36" s="384">
        <v>1309</v>
      </c>
      <c r="F36" s="384">
        <v>4877</v>
      </c>
      <c r="G36" s="384">
        <v>428</v>
      </c>
      <c r="H36" s="384">
        <v>721</v>
      </c>
      <c r="I36" s="384">
        <v>694</v>
      </c>
    </row>
    <row r="37" spans="1:9" ht="12.95" customHeight="1" x14ac:dyDescent="0.2">
      <c r="A37" s="202" t="s">
        <v>43</v>
      </c>
      <c r="B37" s="384">
        <v>10572</v>
      </c>
      <c r="C37" s="384">
        <v>57</v>
      </c>
      <c r="D37" s="384">
        <v>29</v>
      </c>
      <c r="E37" s="384">
        <v>1652</v>
      </c>
      <c r="F37" s="384">
        <v>6719</v>
      </c>
      <c r="G37" s="384">
        <v>414</v>
      </c>
      <c r="H37" s="384">
        <v>571</v>
      </c>
      <c r="I37" s="384">
        <v>729</v>
      </c>
    </row>
    <row r="38" spans="1:9" s="8" customFormat="1" ht="12.95" customHeight="1" x14ac:dyDescent="0.25">
      <c r="A38" s="202" t="s">
        <v>44</v>
      </c>
      <c r="B38" s="384">
        <v>59178</v>
      </c>
      <c r="C38" s="384">
        <v>1074</v>
      </c>
      <c r="D38" s="384">
        <v>142</v>
      </c>
      <c r="E38" s="384">
        <v>13703</v>
      </c>
      <c r="F38" s="384">
        <v>33247</v>
      </c>
      <c r="G38" s="384">
        <v>1034</v>
      </c>
      <c r="H38" s="384">
        <v>2603</v>
      </c>
      <c r="I38" s="384">
        <v>3198</v>
      </c>
    </row>
    <row r="39" spans="1:9" s="8" customFormat="1" ht="12.95" customHeight="1" x14ac:dyDescent="0.25">
      <c r="A39" s="206" t="s">
        <v>45</v>
      </c>
      <c r="B39" s="381">
        <v>210614</v>
      </c>
      <c r="C39" s="381">
        <v>3339</v>
      </c>
      <c r="D39" s="381">
        <v>1214</v>
      </c>
      <c r="E39" s="381">
        <v>32327</v>
      </c>
      <c r="F39" s="381">
        <v>98336</v>
      </c>
      <c r="G39" s="381">
        <v>5870</v>
      </c>
      <c r="H39" s="381">
        <v>10818</v>
      </c>
      <c r="I39" s="381">
        <v>13069</v>
      </c>
    </row>
    <row r="40" spans="1:9" ht="12.95" customHeight="1" x14ac:dyDescent="0.2">
      <c r="A40" s="202" t="s">
        <v>46</v>
      </c>
      <c r="B40" s="385">
        <v>5654</v>
      </c>
      <c r="C40" s="385">
        <v>73</v>
      </c>
      <c r="D40" s="385">
        <v>24</v>
      </c>
      <c r="E40" s="385">
        <v>950</v>
      </c>
      <c r="F40" s="385">
        <v>2828</v>
      </c>
      <c r="G40" s="385">
        <v>153</v>
      </c>
      <c r="H40" s="385">
        <v>280</v>
      </c>
      <c r="I40" s="385">
        <v>354</v>
      </c>
    </row>
    <row r="41" spans="1:9" ht="12.95" customHeight="1" x14ac:dyDescent="0.2">
      <c r="A41" s="202" t="s">
        <v>47</v>
      </c>
      <c r="B41" s="384">
        <v>2561</v>
      </c>
      <c r="C41" s="384">
        <v>25</v>
      </c>
      <c r="D41" s="384">
        <v>17</v>
      </c>
      <c r="E41" s="384">
        <v>457</v>
      </c>
      <c r="F41" s="384">
        <v>1075</v>
      </c>
      <c r="G41" s="384">
        <v>57</v>
      </c>
      <c r="H41" s="384">
        <v>134</v>
      </c>
      <c r="I41" s="384">
        <v>250</v>
      </c>
    </row>
    <row r="42" spans="1:9" ht="12.95" customHeight="1" x14ac:dyDescent="0.2">
      <c r="A42" s="202" t="s">
        <v>202</v>
      </c>
      <c r="B42" s="384">
        <v>26794</v>
      </c>
      <c r="C42" s="384">
        <v>592</v>
      </c>
      <c r="D42" s="384">
        <v>185</v>
      </c>
      <c r="E42" s="384">
        <v>4200</v>
      </c>
      <c r="F42" s="384">
        <v>15036</v>
      </c>
      <c r="G42" s="384">
        <v>882</v>
      </c>
      <c r="H42" s="384">
        <v>1556</v>
      </c>
      <c r="I42" s="384">
        <v>1642</v>
      </c>
    </row>
    <row r="43" spans="1:9" ht="12.95" customHeight="1" x14ac:dyDescent="0.2">
      <c r="A43" s="202" t="s">
        <v>48</v>
      </c>
      <c r="B43" s="384">
        <v>69890</v>
      </c>
      <c r="C43" s="384">
        <v>921</v>
      </c>
      <c r="D43" s="384">
        <v>206</v>
      </c>
      <c r="E43" s="384">
        <v>10293</v>
      </c>
      <c r="F43" s="384">
        <v>27470</v>
      </c>
      <c r="G43" s="384">
        <v>1885</v>
      </c>
      <c r="H43" s="384">
        <v>3187</v>
      </c>
      <c r="I43" s="384">
        <v>4827</v>
      </c>
    </row>
    <row r="44" spans="1:9" ht="12.95" customHeight="1" x14ac:dyDescent="0.2">
      <c r="A44" s="202" t="s">
        <v>49</v>
      </c>
      <c r="B44" s="384">
        <v>11426</v>
      </c>
      <c r="C44" s="384">
        <v>218</v>
      </c>
      <c r="D44" s="384">
        <v>129</v>
      </c>
      <c r="E44" s="384">
        <v>1939</v>
      </c>
      <c r="F44" s="384">
        <v>5546</v>
      </c>
      <c r="G44" s="384">
        <v>414</v>
      </c>
      <c r="H44" s="384">
        <v>657</v>
      </c>
      <c r="I44" s="384">
        <v>786</v>
      </c>
    </row>
    <row r="45" spans="1:9" ht="12.95" customHeight="1" x14ac:dyDescent="0.2">
      <c r="A45" s="202" t="s">
        <v>50</v>
      </c>
      <c r="B45" s="384">
        <v>32763</v>
      </c>
      <c r="C45" s="384">
        <v>503</v>
      </c>
      <c r="D45" s="384">
        <v>192</v>
      </c>
      <c r="E45" s="384">
        <v>5452</v>
      </c>
      <c r="F45" s="384">
        <v>17525</v>
      </c>
      <c r="G45" s="384">
        <v>905</v>
      </c>
      <c r="H45" s="384">
        <v>1837</v>
      </c>
      <c r="I45" s="384">
        <v>2143</v>
      </c>
    </row>
    <row r="46" spans="1:9" ht="12.95" customHeight="1" x14ac:dyDescent="0.2">
      <c r="A46" s="202" t="s">
        <v>51</v>
      </c>
      <c r="B46" s="384">
        <v>55747</v>
      </c>
      <c r="C46" s="384">
        <v>849</v>
      </c>
      <c r="D46" s="384">
        <v>436</v>
      </c>
      <c r="E46" s="384">
        <v>7908</v>
      </c>
      <c r="F46" s="384">
        <v>25619</v>
      </c>
      <c r="G46" s="384">
        <v>1434</v>
      </c>
      <c r="H46" s="384">
        <v>2836</v>
      </c>
      <c r="I46" s="384">
        <v>2698</v>
      </c>
    </row>
    <row r="47" spans="1:9" ht="12.95" customHeight="1" x14ac:dyDescent="0.2">
      <c r="A47" s="202" t="s">
        <v>204</v>
      </c>
      <c r="B47" s="384">
        <v>5779</v>
      </c>
      <c r="C47" s="384">
        <v>158</v>
      </c>
      <c r="D47" s="384">
        <v>25</v>
      </c>
      <c r="E47" s="384">
        <v>1128</v>
      </c>
      <c r="F47" s="384">
        <v>3237</v>
      </c>
      <c r="G47" s="384">
        <v>140</v>
      </c>
      <c r="H47" s="384">
        <v>331</v>
      </c>
      <c r="I47" s="384">
        <v>369</v>
      </c>
    </row>
    <row r="48" spans="1:9" ht="12.95" customHeight="1" x14ac:dyDescent="0.2">
      <c r="A48" s="207" t="s">
        <v>52</v>
      </c>
      <c r="B48" s="381">
        <v>73158</v>
      </c>
      <c r="C48" s="381">
        <v>681</v>
      </c>
      <c r="D48" s="381">
        <v>257</v>
      </c>
      <c r="E48" s="381">
        <v>10854</v>
      </c>
      <c r="F48" s="381">
        <v>35570</v>
      </c>
      <c r="G48" s="381">
        <v>2769</v>
      </c>
      <c r="H48" s="381">
        <v>3580</v>
      </c>
      <c r="I48" s="381">
        <v>3981</v>
      </c>
    </row>
    <row r="49" spans="1:9" ht="12.95" customHeight="1" x14ac:dyDescent="0.2">
      <c r="A49" s="202" t="s">
        <v>53</v>
      </c>
      <c r="B49" s="384">
        <v>14941</v>
      </c>
      <c r="C49" s="384">
        <v>178</v>
      </c>
      <c r="D49" s="384">
        <v>67</v>
      </c>
      <c r="E49" s="384">
        <v>2495</v>
      </c>
      <c r="F49" s="384">
        <v>6349</v>
      </c>
      <c r="G49" s="384">
        <v>1362</v>
      </c>
      <c r="H49" s="384">
        <v>556</v>
      </c>
      <c r="I49" s="384">
        <v>862</v>
      </c>
    </row>
    <row r="50" spans="1:9" ht="12.95" customHeight="1" x14ac:dyDescent="0.2">
      <c r="A50" s="202" t="s">
        <v>54</v>
      </c>
      <c r="B50" s="384">
        <v>1529</v>
      </c>
      <c r="C50" s="384">
        <v>22</v>
      </c>
      <c r="D50" s="384">
        <v>9</v>
      </c>
      <c r="E50" s="384">
        <v>256</v>
      </c>
      <c r="F50" s="384">
        <v>659</v>
      </c>
      <c r="G50" s="384">
        <v>18</v>
      </c>
      <c r="H50" s="384">
        <v>22</v>
      </c>
      <c r="I50" s="384">
        <v>91</v>
      </c>
    </row>
    <row r="51" spans="1:9" ht="12.95" customHeight="1" x14ac:dyDescent="0.2">
      <c r="A51" s="202" t="s">
        <v>55</v>
      </c>
      <c r="B51" s="384">
        <v>7231</v>
      </c>
      <c r="C51" s="384">
        <v>107</v>
      </c>
      <c r="D51" s="384">
        <v>50</v>
      </c>
      <c r="E51" s="384">
        <v>1126</v>
      </c>
      <c r="F51" s="384">
        <v>3333</v>
      </c>
      <c r="G51" s="384">
        <v>168</v>
      </c>
      <c r="H51" s="384">
        <v>330</v>
      </c>
      <c r="I51" s="384">
        <v>406</v>
      </c>
    </row>
    <row r="52" spans="1:9" ht="12.95" customHeight="1" x14ac:dyDescent="0.2">
      <c r="A52" s="202" t="s">
        <v>56</v>
      </c>
      <c r="B52" s="384">
        <v>4219</v>
      </c>
      <c r="C52" s="384">
        <v>35</v>
      </c>
      <c r="D52" s="384">
        <v>5</v>
      </c>
      <c r="E52" s="384">
        <v>625</v>
      </c>
      <c r="F52" s="384">
        <v>1554</v>
      </c>
      <c r="G52" s="384">
        <v>87</v>
      </c>
      <c r="H52" s="384">
        <v>165</v>
      </c>
      <c r="I52" s="384">
        <v>253</v>
      </c>
    </row>
    <row r="53" spans="1:9" ht="12.95" customHeight="1" x14ac:dyDescent="0.2">
      <c r="A53" s="202" t="s">
        <v>57</v>
      </c>
      <c r="B53" s="384">
        <v>7211</v>
      </c>
      <c r="C53" s="384">
        <v>49</v>
      </c>
      <c r="D53" s="384">
        <v>23</v>
      </c>
      <c r="E53" s="384">
        <v>1065</v>
      </c>
      <c r="F53" s="384">
        <v>3991</v>
      </c>
      <c r="G53" s="384">
        <v>230</v>
      </c>
      <c r="H53" s="384">
        <v>519</v>
      </c>
      <c r="I53" s="384">
        <v>336</v>
      </c>
    </row>
    <row r="54" spans="1:9" ht="12.95" customHeight="1" x14ac:dyDescent="0.2">
      <c r="A54" s="202" t="s">
        <v>58</v>
      </c>
      <c r="B54" s="384">
        <v>6384</v>
      </c>
      <c r="C54" s="384">
        <v>60</v>
      </c>
      <c r="D54" s="384">
        <v>8</v>
      </c>
      <c r="E54" s="384">
        <v>568</v>
      </c>
      <c r="F54" s="384">
        <v>2349</v>
      </c>
      <c r="G54" s="384">
        <v>168</v>
      </c>
      <c r="H54" s="384">
        <v>123</v>
      </c>
      <c r="I54" s="384">
        <v>219</v>
      </c>
    </row>
    <row r="55" spans="1:9" s="8" customFormat="1" ht="12.95" customHeight="1" x14ac:dyDescent="0.25">
      <c r="A55" s="202" t="s">
        <v>59</v>
      </c>
      <c r="B55" s="384">
        <v>31643</v>
      </c>
      <c r="C55" s="384">
        <v>230</v>
      </c>
      <c r="D55" s="384">
        <v>95</v>
      </c>
      <c r="E55" s="384">
        <v>4719</v>
      </c>
      <c r="F55" s="384">
        <v>17335</v>
      </c>
      <c r="G55" s="384">
        <v>736</v>
      </c>
      <c r="H55" s="384">
        <v>1865</v>
      </c>
      <c r="I55" s="384">
        <v>1814</v>
      </c>
    </row>
    <row r="56" spans="1:9" ht="12.95" customHeight="1" x14ac:dyDescent="0.2">
      <c r="A56" s="201" t="s">
        <v>60</v>
      </c>
      <c r="B56" s="381">
        <v>379513</v>
      </c>
      <c r="C56" s="381">
        <v>6857</v>
      </c>
      <c r="D56" s="381">
        <v>1133</v>
      </c>
      <c r="E56" s="381">
        <v>57909</v>
      </c>
      <c r="F56" s="381">
        <v>177541</v>
      </c>
      <c r="G56" s="381">
        <v>12837</v>
      </c>
      <c r="H56" s="381">
        <v>21958</v>
      </c>
      <c r="I56" s="381">
        <v>31281</v>
      </c>
    </row>
    <row r="57" spans="1:9" ht="12.95" customHeight="1" x14ac:dyDescent="0.2">
      <c r="A57" s="202" t="s">
        <v>61</v>
      </c>
      <c r="B57" s="384">
        <v>49115</v>
      </c>
      <c r="C57" s="384">
        <v>896</v>
      </c>
      <c r="D57" s="384">
        <v>180</v>
      </c>
      <c r="E57" s="384">
        <v>7274</v>
      </c>
      <c r="F57" s="384">
        <v>20643</v>
      </c>
      <c r="G57" s="384">
        <v>3020</v>
      </c>
      <c r="H57" s="384">
        <v>2534</v>
      </c>
      <c r="I57" s="384">
        <v>4067</v>
      </c>
    </row>
    <row r="58" spans="1:9" ht="12.95" customHeight="1" x14ac:dyDescent="0.2">
      <c r="A58" s="202" t="s">
        <v>62</v>
      </c>
      <c r="B58" s="384">
        <v>8177</v>
      </c>
      <c r="C58" s="384">
        <v>62</v>
      </c>
      <c r="D58" s="384">
        <v>19</v>
      </c>
      <c r="E58" s="384">
        <v>1210</v>
      </c>
      <c r="F58" s="384">
        <v>3340</v>
      </c>
      <c r="G58" s="384">
        <v>579</v>
      </c>
      <c r="H58" s="384">
        <v>617</v>
      </c>
      <c r="I58" s="384">
        <v>888</v>
      </c>
    </row>
    <row r="59" spans="1:9" ht="12.95" customHeight="1" x14ac:dyDescent="0.2">
      <c r="A59" s="202" t="s">
        <v>63</v>
      </c>
      <c r="B59" s="384">
        <v>10484</v>
      </c>
      <c r="C59" s="384">
        <v>73</v>
      </c>
      <c r="D59" s="384">
        <v>17</v>
      </c>
      <c r="E59" s="384">
        <v>1374</v>
      </c>
      <c r="F59" s="384">
        <v>3123</v>
      </c>
      <c r="G59" s="384">
        <v>238</v>
      </c>
      <c r="H59" s="384">
        <v>442</v>
      </c>
      <c r="I59" s="384">
        <v>793</v>
      </c>
    </row>
    <row r="60" spans="1:9" ht="12.95" customHeight="1" x14ac:dyDescent="0.2">
      <c r="A60" s="202" t="s">
        <v>64</v>
      </c>
      <c r="B60" s="384">
        <v>42848</v>
      </c>
      <c r="C60" s="384">
        <v>457</v>
      </c>
      <c r="D60" s="384">
        <v>99</v>
      </c>
      <c r="E60" s="384">
        <v>7351</v>
      </c>
      <c r="F60" s="384">
        <v>20819</v>
      </c>
      <c r="G60" s="384">
        <v>1699</v>
      </c>
      <c r="H60" s="384">
        <v>2275</v>
      </c>
      <c r="I60" s="384">
        <v>2920</v>
      </c>
    </row>
    <row r="61" spans="1:9" ht="12.95" customHeight="1" x14ac:dyDescent="0.2">
      <c r="A61" s="202" t="s">
        <v>65</v>
      </c>
      <c r="B61" s="384">
        <v>17870</v>
      </c>
      <c r="C61" s="384">
        <v>333</v>
      </c>
      <c r="D61" s="384">
        <v>56</v>
      </c>
      <c r="E61" s="384">
        <v>2948</v>
      </c>
      <c r="F61" s="384">
        <v>7720</v>
      </c>
      <c r="G61" s="384">
        <v>567</v>
      </c>
      <c r="H61" s="384">
        <v>1167</v>
      </c>
      <c r="I61" s="384">
        <v>1748</v>
      </c>
    </row>
    <row r="62" spans="1:9" ht="12.95" customHeight="1" x14ac:dyDescent="0.2">
      <c r="A62" s="202" t="s">
        <v>66</v>
      </c>
      <c r="B62" s="384">
        <v>15196</v>
      </c>
      <c r="C62" s="384">
        <v>144</v>
      </c>
      <c r="D62" s="384">
        <v>45</v>
      </c>
      <c r="E62" s="384">
        <v>1845</v>
      </c>
      <c r="F62" s="384">
        <v>5962</v>
      </c>
      <c r="G62" s="384">
        <v>799</v>
      </c>
      <c r="H62" s="384">
        <v>986</v>
      </c>
      <c r="I62" s="384">
        <v>1567</v>
      </c>
    </row>
    <row r="63" spans="1:9" ht="12.95" customHeight="1" x14ac:dyDescent="0.2">
      <c r="A63" s="202" t="s">
        <v>67</v>
      </c>
      <c r="B63" s="384">
        <v>34394</v>
      </c>
      <c r="C63" s="384">
        <v>1189</v>
      </c>
      <c r="D63" s="384">
        <v>182</v>
      </c>
      <c r="E63" s="384">
        <v>5193</v>
      </c>
      <c r="F63" s="384">
        <v>17329</v>
      </c>
      <c r="G63" s="384">
        <v>911</v>
      </c>
      <c r="H63" s="384">
        <v>2169</v>
      </c>
      <c r="I63" s="384">
        <v>3051</v>
      </c>
    </row>
    <row r="64" spans="1:9" ht="12.95" customHeight="1" x14ac:dyDescent="0.2">
      <c r="A64" s="202" t="s">
        <v>68</v>
      </c>
      <c r="B64" s="384">
        <v>18131</v>
      </c>
      <c r="C64" s="384">
        <v>97</v>
      </c>
      <c r="D64" s="384">
        <v>35</v>
      </c>
      <c r="E64" s="384">
        <v>2848</v>
      </c>
      <c r="F64" s="384">
        <v>8838</v>
      </c>
      <c r="G64" s="384">
        <v>542</v>
      </c>
      <c r="H64" s="384">
        <v>891</v>
      </c>
      <c r="I64" s="384">
        <v>1516</v>
      </c>
    </row>
    <row r="65" spans="1:9" ht="12.95" customHeight="1" x14ac:dyDescent="0.2">
      <c r="A65" s="202" t="s">
        <v>69</v>
      </c>
      <c r="B65" s="384">
        <v>46839</v>
      </c>
      <c r="C65" s="384">
        <v>505</v>
      </c>
      <c r="D65" s="384">
        <v>47</v>
      </c>
      <c r="E65" s="384">
        <v>6431</v>
      </c>
      <c r="F65" s="384">
        <v>24894</v>
      </c>
      <c r="G65" s="384">
        <v>1111</v>
      </c>
      <c r="H65" s="384">
        <v>2933</v>
      </c>
      <c r="I65" s="384">
        <v>2873</v>
      </c>
    </row>
    <row r="66" spans="1:9" ht="12.95" customHeight="1" x14ac:dyDescent="0.2">
      <c r="A66" s="202" t="s">
        <v>70</v>
      </c>
      <c r="B66" s="384">
        <v>25575</v>
      </c>
      <c r="C66" s="384">
        <v>730</v>
      </c>
      <c r="D66" s="384">
        <v>139</v>
      </c>
      <c r="E66" s="384">
        <v>4451</v>
      </c>
      <c r="F66" s="384">
        <v>12420</v>
      </c>
      <c r="G66" s="384">
        <v>696</v>
      </c>
      <c r="H66" s="384">
        <v>1563</v>
      </c>
      <c r="I66" s="384">
        <v>1946</v>
      </c>
    </row>
    <row r="67" spans="1:9" ht="12.95" customHeight="1" x14ac:dyDescent="0.2">
      <c r="A67" s="202" t="s">
        <v>71</v>
      </c>
      <c r="B67" s="384">
        <v>18359</v>
      </c>
      <c r="C67" s="384">
        <v>137</v>
      </c>
      <c r="D67" s="384">
        <v>31</v>
      </c>
      <c r="E67" s="384">
        <v>2547</v>
      </c>
      <c r="F67" s="384">
        <v>9826</v>
      </c>
      <c r="G67" s="384">
        <v>476</v>
      </c>
      <c r="H67" s="384">
        <v>1093</v>
      </c>
      <c r="I67" s="384">
        <v>1654</v>
      </c>
    </row>
    <row r="68" spans="1:9" ht="12.95" customHeight="1" x14ac:dyDescent="0.2">
      <c r="A68" s="202" t="s">
        <v>72</v>
      </c>
      <c r="B68" s="384">
        <v>42062</v>
      </c>
      <c r="C68" s="384">
        <v>1319</v>
      </c>
      <c r="D68" s="384">
        <v>131</v>
      </c>
      <c r="E68" s="384">
        <v>6306</v>
      </c>
      <c r="F68" s="384">
        <v>16624</v>
      </c>
      <c r="G68" s="384">
        <v>713</v>
      </c>
      <c r="H68" s="384">
        <v>2220</v>
      </c>
      <c r="I68" s="384">
        <v>4326</v>
      </c>
    </row>
    <row r="69" spans="1:9" ht="12.95" customHeight="1" x14ac:dyDescent="0.2">
      <c r="A69" s="203" t="s">
        <v>73</v>
      </c>
      <c r="B69" s="384">
        <v>33383</v>
      </c>
      <c r="C69" s="384">
        <v>622</v>
      </c>
      <c r="D69" s="384">
        <v>64</v>
      </c>
      <c r="E69" s="384">
        <v>5238</v>
      </c>
      <c r="F69" s="384">
        <v>17213</v>
      </c>
      <c r="G69" s="384">
        <v>1045</v>
      </c>
      <c r="H69" s="384">
        <v>2241</v>
      </c>
      <c r="I69" s="384">
        <v>2582</v>
      </c>
    </row>
    <row r="70" spans="1:9" s="8" customFormat="1" ht="12.95" customHeight="1" x14ac:dyDescent="0.25">
      <c r="A70" s="202" t="s">
        <v>74</v>
      </c>
      <c r="B70" s="384">
        <v>17080</v>
      </c>
      <c r="C70" s="384">
        <v>293</v>
      </c>
      <c r="D70" s="384">
        <v>88</v>
      </c>
      <c r="E70" s="384">
        <v>2893</v>
      </c>
      <c r="F70" s="384">
        <v>8790</v>
      </c>
      <c r="G70" s="384">
        <v>441</v>
      </c>
      <c r="H70" s="384">
        <v>827</v>
      </c>
      <c r="I70" s="384">
        <v>1350</v>
      </c>
    </row>
    <row r="71" spans="1:9" ht="12.95" customHeight="1" x14ac:dyDescent="0.2">
      <c r="A71" s="206" t="s">
        <v>75</v>
      </c>
      <c r="B71" s="381">
        <v>144213</v>
      </c>
      <c r="C71" s="381">
        <v>4944</v>
      </c>
      <c r="D71" s="381">
        <v>850</v>
      </c>
      <c r="E71" s="381">
        <v>25495</v>
      </c>
      <c r="F71" s="381">
        <v>64489</v>
      </c>
      <c r="G71" s="381">
        <v>3737</v>
      </c>
      <c r="H71" s="381">
        <v>8002</v>
      </c>
      <c r="I71" s="381">
        <v>13627</v>
      </c>
    </row>
    <row r="72" spans="1:9" ht="12.95" customHeight="1" x14ac:dyDescent="0.2">
      <c r="A72" s="202" t="s">
        <v>76</v>
      </c>
      <c r="B72" s="384">
        <v>12651</v>
      </c>
      <c r="C72" s="384">
        <v>353</v>
      </c>
      <c r="D72" s="384">
        <v>119</v>
      </c>
      <c r="E72" s="384">
        <v>2126</v>
      </c>
      <c r="F72" s="384">
        <v>4580</v>
      </c>
      <c r="G72" s="384">
        <v>433</v>
      </c>
      <c r="H72" s="384">
        <v>618</v>
      </c>
      <c r="I72" s="384">
        <v>1152</v>
      </c>
    </row>
    <row r="73" spans="1:9" ht="12.95" customHeight="1" x14ac:dyDescent="0.2">
      <c r="A73" s="202" t="s">
        <v>77</v>
      </c>
      <c r="B73" s="384">
        <v>57392</v>
      </c>
      <c r="C73" s="384">
        <v>2039</v>
      </c>
      <c r="D73" s="384">
        <v>370</v>
      </c>
      <c r="E73" s="384">
        <v>10156</v>
      </c>
      <c r="F73" s="384">
        <v>27705</v>
      </c>
      <c r="G73" s="384">
        <v>1404</v>
      </c>
      <c r="H73" s="384">
        <v>3492</v>
      </c>
      <c r="I73" s="384">
        <v>5214</v>
      </c>
    </row>
    <row r="74" spans="1:9" ht="12.95" customHeight="1" x14ac:dyDescent="0.2">
      <c r="A74" s="202" t="s">
        <v>78</v>
      </c>
      <c r="B74" s="384">
        <v>28750</v>
      </c>
      <c r="C74" s="384">
        <v>1232</v>
      </c>
      <c r="D74" s="384">
        <v>126</v>
      </c>
      <c r="E74" s="384">
        <v>4524</v>
      </c>
      <c r="F74" s="384">
        <v>12257</v>
      </c>
      <c r="G74" s="384">
        <v>734</v>
      </c>
      <c r="H74" s="384">
        <v>1503</v>
      </c>
      <c r="I74" s="384">
        <v>3123</v>
      </c>
    </row>
    <row r="75" spans="1:9" ht="12.95" customHeight="1" x14ac:dyDescent="0.2">
      <c r="A75" s="202" t="s">
        <v>79</v>
      </c>
      <c r="B75" s="384">
        <v>10077</v>
      </c>
      <c r="C75" s="384">
        <v>454</v>
      </c>
      <c r="D75" s="384">
        <v>33</v>
      </c>
      <c r="E75" s="384">
        <v>1828</v>
      </c>
      <c r="F75" s="384">
        <v>3954</v>
      </c>
      <c r="G75" s="384">
        <v>326</v>
      </c>
      <c r="H75" s="384">
        <v>650</v>
      </c>
      <c r="I75" s="384">
        <v>1215</v>
      </c>
    </row>
    <row r="76" spans="1:9" ht="12.95" customHeight="1" x14ac:dyDescent="0.2">
      <c r="A76" s="202" t="s">
        <v>80</v>
      </c>
      <c r="B76" s="384">
        <v>2553</v>
      </c>
      <c r="C76" s="384">
        <v>92</v>
      </c>
      <c r="D76" s="384">
        <v>19</v>
      </c>
      <c r="E76" s="384">
        <v>501</v>
      </c>
      <c r="F76" s="384">
        <v>956</v>
      </c>
      <c r="G76" s="384">
        <v>79</v>
      </c>
      <c r="H76" s="384">
        <v>206</v>
      </c>
      <c r="I76" s="384">
        <v>439</v>
      </c>
    </row>
    <row r="77" spans="1:9" s="8" customFormat="1" ht="12.95" customHeight="1" x14ac:dyDescent="0.25">
      <c r="A77" s="205" t="s">
        <v>288</v>
      </c>
      <c r="B77" s="384">
        <v>16120</v>
      </c>
      <c r="C77" s="384">
        <v>686</v>
      </c>
      <c r="D77" s="384">
        <v>74</v>
      </c>
      <c r="E77" s="384">
        <v>2195</v>
      </c>
      <c r="F77" s="384">
        <v>7347</v>
      </c>
      <c r="G77" s="384">
        <v>329</v>
      </c>
      <c r="H77" s="384">
        <v>647</v>
      </c>
      <c r="I77" s="384">
        <v>1469</v>
      </c>
    </row>
    <row r="78" spans="1:9" ht="12.95" customHeight="1" x14ac:dyDescent="0.2">
      <c r="A78" s="202" t="s">
        <v>81</v>
      </c>
      <c r="B78" s="384">
        <v>45420</v>
      </c>
      <c r="C78" s="384">
        <v>1320</v>
      </c>
      <c r="D78" s="384">
        <v>235</v>
      </c>
      <c r="E78" s="384">
        <v>8689</v>
      </c>
      <c r="F78" s="384">
        <v>19947</v>
      </c>
      <c r="G78" s="384">
        <v>1166</v>
      </c>
      <c r="H78" s="384">
        <v>2389</v>
      </c>
      <c r="I78" s="384">
        <v>4138</v>
      </c>
    </row>
    <row r="79" spans="1:9" ht="12.95" customHeight="1" x14ac:dyDescent="0.2">
      <c r="A79" s="201" t="s">
        <v>82</v>
      </c>
      <c r="B79" s="381">
        <v>220987</v>
      </c>
      <c r="C79" s="381">
        <v>8516</v>
      </c>
      <c r="D79" s="381">
        <v>1975</v>
      </c>
      <c r="E79" s="381">
        <v>38854</v>
      </c>
      <c r="F79" s="381">
        <v>102976</v>
      </c>
      <c r="G79" s="381">
        <v>9384</v>
      </c>
      <c r="H79" s="381">
        <v>11701</v>
      </c>
      <c r="I79" s="381">
        <v>20160</v>
      </c>
    </row>
    <row r="80" spans="1:9" ht="12.95" customHeight="1" x14ac:dyDescent="0.2">
      <c r="A80" s="202" t="s">
        <v>83</v>
      </c>
      <c r="B80" s="384">
        <v>2227</v>
      </c>
      <c r="C80" s="384">
        <v>35</v>
      </c>
      <c r="D80" s="384">
        <v>15</v>
      </c>
      <c r="E80" s="384">
        <v>383</v>
      </c>
      <c r="F80" s="384">
        <v>901</v>
      </c>
      <c r="G80" s="384">
        <v>89</v>
      </c>
      <c r="H80" s="384">
        <v>120</v>
      </c>
      <c r="I80" s="384">
        <v>310</v>
      </c>
    </row>
    <row r="81" spans="1:9" ht="12.95" customHeight="1" x14ac:dyDescent="0.2">
      <c r="A81" s="202" t="s">
        <v>85</v>
      </c>
      <c r="B81" s="384">
        <v>2704</v>
      </c>
      <c r="C81" s="384">
        <v>175</v>
      </c>
      <c r="D81" s="384">
        <v>137</v>
      </c>
      <c r="E81" s="384">
        <v>348</v>
      </c>
      <c r="F81" s="384">
        <v>984</v>
      </c>
      <c r="G81" s="384">
        <v>145</v>
      </c>
      <c r="H81" s="384">
        <v>174</v>
      </c>
      <c r="I81" s="384">
        <v>682</v>
      </c>
    </row>
    <row r="82" spans="1:9" ht="12.95" customHeight="1" x14ac:dyDescent="0.2">
      <c r="A82" s="202" t="s">
        <v>86</v>
      </c>
      <c r="B82" s="384">
        <v>6696</v>
      </c>
      <c r="C82" s="384">
        <v>109</v>
      </c>
      <c r="D82" s="384">
        <v>38</v>
      </c>
      <c r="E82" s="384">
        <v>1235</v>
      </c>
      <c r="F82" s="384">
        <v>3352</v>
      </c>
      <c r="G82" s="384">
        <v>386</v>
      </c>
      <c r="H82" s="384">
        <v>420</v>
      </c>
      <c r="I82" s="384">
        <v>618</v>
      </c>
    </row>
    <row r="83" spans="1:9" ht="12.95" customHeight="1" x14ac:dyDescent="0.2">
      <c r="A83" s="202" t="s">
        <v>87</v>
      </c>
      <c r="B83" s="384">
        <v>32594</v>
      </c>
      <c r="C83" s="384">
        <v>1237</v>
      </c>
      <c r="D83" s="384">
        <v>388</v>
      </c>
      <c r="E83" s="384">
        <v>5347</v>
      </c>
      <c r="F83" s="384">
        <v>13943</v>
      </c>
      <c r="G83" s="384">
        <v>1329</v>
      </c>
      <c r="H83" s="384">
        <v>1378</v>
      </c>
      <c r="I83" s="384">
        <v>2399</v>
      </c>
    </row>
    <row r="84" spans="1:9" ht="12.95" customHeight="1" x14ac:dyDescent="0.2">
      <c r="A84" s="202" t="s">
        <v>89</v>
      </c>
      <c r="B84" s="384">
        <v>35136</v>
      </c>
      <c r="C84" s="384">
        <v>1004</v>
      </c>
      <c r="D84" s="384">
        <v>278</v>
      </c>
      <c r="E84" s="384">
        <v>6765</v>
      </c>
      <c r="F84" s="384">
        <v>16918</v>
      </c>
      <c r="G84" s="384">
        <v>1982</v>
      </c>
      <c r="H84" s="384">
        <v>2512</v>
      </c>
      <c r="I84" s="384">
        <v>3540</v>
      </c>
    </row>
    <row r="85" spans="1:9" ht="12.95" customHeight="1" x14ac:dyDescent="0.2">
      <c r="A85" s="202" t="s">
        <v>90</v>
      </c>
      <c r="B85" s="384">
        <v>31553</v>
      </c>
      <c r="C85" s="384">
        <v>1567</v>
      </c>
      <c r="D85" s="384">
        <v>303</v>
      </c>
      <c r="E85" s="384">
        <v>5303</v>
      </c>
      <c r="F85" s="384">
        <v>15944</v>
      </c>
      <c r="G85" s="384">
        <v>998</v>
      </c>
      <c r="H85" s="384">
        <v>1392</v>
      </c>
      <c r="I85" s="384">
        <v>3324</v>
      </c>
    </row>
    <row r="86" spans="1:9" ht="12.95" customHeight="1" x14ac:dyDescent="0.2">
      <c r="A86" s="202" t="s">
        <v>91</v>
      </c>
      <c r="B86" s="384">
        <v>37882</v>
      </c>
      <c r="C86" s="384">
        <v>2030</v>
      </c>
      <c r="D86" s="384">
        <v>301</v>
      </c>
      <c r="E86" s="384">
        <v>6483</v>
      </c>
      <c r="F86" s="384">
        <v>17527</v>
      </c>
      <c r="G86" s="384">
        <v>1663</v>
      </c>
      <c r="H86" s="384">
        <v>2151</v>
      </c>
      <c r="I86" s="384">
        <v>3397</v>
      </c>
    </row>
    <row r="87" spans="1:9" ht="12.95" customHeight="1" x14ac:dyDescent="0.2">
      <c r="A87" s="202" t="s">
        <v>92</v>
      </c>
      <c r="B87" s="384">
        <v>35605</v>
      </c>
      <c r="C87" s="384">
        <v>1440</v>
      </c>
      <c r="D87" s="384">
        <v>361</v>
      </c>
      <c r="E87" s="384">
        <v>6812</v>
      </c>
      <c r="F87" s="384">
        <v>17749</v>
      </c>
      <c r="G87" s="384">
        <v>1100</v>
      </c>
      <c r="H87" s="384">
        <v>1522</v>
      </c>
      <c r="I87" s="384">
        <v>2709</v>
      </c>
    </row>
    <row r="88" spans="1:9" s="8" customFormat="1" ht="12.95" customHeight="1" x14ac:dyDescent="0.25">
      <c r="A88" s="202" t="s">
        <v>93</v>
      </c>
      <c r="B88" s="384">
        <v>24452</v>
      </c>
      <c r="C88" s="384">
        <v>593</v>
      </c>
      <c r="D88" s="384">
        <v>116</v>
      </c>
      <c r="E88" s="384">
        <v>3840</v>
      </c>
      <c r="F88" s="384">
        <v>10213</v>
      </c>
      <c r="G88" s="384">
        <v>1113</v>
      </c>
      <c r="H88" s="384">
        <v>1109</v>
      </c>
      <c r="I88" s="384">
        <v>1915</v>
      </c>
    </row>
    <row r="89" spans="1:9" ht="12.95" customHeight="1" x14ac:dyDescent="0.2">
      <c r="A89" s="202" t="s">
        <v>94</v>
      </c>
      <c r="B89" s="384">
        <v>12138</v>
      </c>
      <c r="C89" s="384">
        <v>326</v>
      </c>
      <c r="D89" s="384">
        <v>38</v>
      </c>
      <c r="E89" s="384">
        <v>2338</v>
      </c>
      <c r="F89" s="384">
        <v>5445</v>
      </c>
      <c r="G89" s="384">
        <v>579</v>
      </c>
      <c r="H89" s="384">
        <v>923</v>
      </c>
      <c r="I89" s="384">
        <v>1266</v>
      </c>
    </row>
    <row r="90" spans="1:9" ht="12.95" customHeight="1" x14ac:dyDescent="0.2">
      <c r="A90" s="206" t="s">
        <v>95</v>
      </c>
      <c r="B90" s="381">
        <v>99927</v>
      </c>
      <c r="C90" s="381">
        <v>1760</v>
      </c>
      <c r="D90" s="381">
        <v>838</v>
      </c>
      <c r="E90" s="381">
        <v>16781</v>
      </c>
      <c r="F90" s="381">
        <v>44997</v>
      </c>
      <c r="G90" s="381">
        <v>4660</v>
      </c>
      <c r="H90" s="381">
        <v>6594</v>
      </c>
      <c r="I90" s="381">
        <v>11409</v>
      </c>
    </row>
    <row r="91" spans="1:9" ht="12.95" customHeight="1" x14ac:dyDescent="0.2">
      <c r="A91" s="202" t="s">
        <v>84</v>
      </c>
      <c r="B91" s="384">
        <v>10844</v>
      </c>
      <c r="C91" s="384">
        <v>177</v>
      </c>
      <c r="D91" s="384">
        <v>49</v>
      </c>
      <c r="E91" s="384">
        <v>1829</v>
      </c>
      <c r="F91" s="384">
        <v>4551</v>
      </c>
      <c r="G91" s="384">
        <v>538</v>
      </c>
      <c r="H91" s="384">
        <v>682</v>
      </c>
      <c r="I91" s="384">
        <v>1445</v>
      </c>
    </row>
    <row r="92" spans="1:9" ht="12.95" customHeight="1" x14ac:dyDescent="0.2">
      <c r="A92" s="202" t="s">
        <v>96</v>
      </c>
      <c r="B92" s="384">
        <v>7601</v>
      </c>
      <c r="C92" s="384">
        <v>140</v>
      </c>
      <c r="D92" s="384">
        <v>37</v>
      </c>
      <c r="E92" s="384">
        <v>1358</v>
      </c>
      <c r="F92" s="384">
        <v>3462</v>
      </c>
      <c r="G92" s="384">
        <v>327</v>
      </c>
      <c r="H92" s="384">
        <v>391</v>
      </c>
      <c r="I92" s="384">
        <v>1061</v>
      </c>
    </row>
    <row r="93" spans="1:9" ht="12.95" customHeight="1" x14ac:dyDescent="0.2">
      <c r="A93" s="202" t="s">
        <v>88</v>
      </c>
      <c r="B93" s="384">
        <v>13143</v>
      </c>
      <c r="C93" s="384">
        <v>185</v>
      </c>
      <c r="D93" s="384">
        <v>70</v>
      </c>
      <c r="E93" s="384">
        <v>1947</v>
      </c>
      <c r="F93" s="384">
        <v>5621</v>
      </c>
      <c r="G93" s="384">
        <v>994</v>
      </c>
      <c r="H93" s="384">
        <v>725</v>
      </c>
      <c r="I93" s="384">
        <v>1857</v>
      </c>
    </row>
    <row r="94" spans="1:9" ht="12.95" customHeight="1" x14ac:dyDescent="0.2">
      <c r="A94" s="202" t="s">
        <v>97</v>
      </c>
      <c r="B94" s="384">
        <v>3447</v>
      </c>
      <c r="C94" s="384">
        <v>39</v>
      </c>
      <c r="D94" s="384">
        <v>18</v>
      </c>
      <c r="E94" s="384">
        <v>547</v>
      </c>
      <c r="F94" s="384">
        <v>1799</v>
      </c>
      <c r="G94" s="384">
        <v>130</v>
      </c>
      <c r="H94" s="384">
        <v>220</v>
      </c>
      <c r="I94" s="384">
        <v>319</v>
      </c>
    </row>
    <row r="95" spans="1:9" ht="12.95" customHeight="1" x14ac:dyDescent="0.2">
      <c r="A95" s="202" t="s">
        <v>98</v>
      </c>
      <c r="B95" s="384">
        <v>25764</v>
      </c>
      <c r="C95" s="384">
        <v>594</v>
      </c>
      <c r="D95" s="384">
        <v>314</v>
      </c>
      <c r="E95" s="384">
        <v>4685</v>
      </c>
      <c r="F95" s="384">
        <v>12719</v>
      </c>
      <c r="G95" s="384">
        <v>1159</v>
      </c>
      <c r="H95" s="384">
        <v>1675</v>
      </c>
      <c r="I95" s="384">
        <v>2090</v>
      </c>
    </row>
    <row r="96" spans="1:9" ht="12.95" customHeight="1" x14ac:dyDescent="0.2">
      <c r="A96" s="202" t="s">
        <v>99</v>
      </c>
      <c r="B96" s="384">
        <v>17551</v>
      </c>
      <c r="C96" s="384">
        <v>297</v>
      </c>
      <c r="D96" s="384">
        <v>144</v>
      </c>
      <c r="E96" s="384">
        <v>2670</v>
      </c>
      <c r="F96" s="384">
        <v>8523</v>
      </c>
      <c r="G96" s="384">
        <v>619</v>
      </c>
      <c r="H96" s="384">
        <v>1165</v>
      </c>
      <c r="I96" s="384">
        <v>1839</v>
      </c>
    </row>
    <row r="97" spans="1:9" ht="12.95" customHeight="1" x14ac:dyDescent="0.2">
      <c r="A97" s="202" t="s">
        <v>100</v>
      </c>
      <c r="B97" s="384">
        <v>11103</v>
      </c>
      <c r="C97" s="384">
        <v>160</v>
      </c>
      <c r="D97" s="384">
        <v>110</v>
      </c>
      <c r="E97" s="384">
        <v>1820</v>
      </c>
      <c r="F97" s="384">
        <v>4530</v>
      </c>
      <c r="G97" s="384">
        <v>395</v>
      </c>
      <c r="H97" s="384">
        <v>764</v>
      </c>
      <c r="I97" s="384">
        <v>1421</v>
      </c>
    </row>
    <row r="98" spans="1:9" ht="12.95" customHeight="1" x14ac:dyDescent="0.2">
      <c r="A98" s="202" t="s">
        <v>101</v>
      </c>
      <c r="B98" s="384">
        <v>1629</v>
      </c>
      <c r="C98" s="384">
        <v>11</v>
      </c>
      <c r="D98" s="384">
        <v>2</v>
      </c>
      <c r="E98" s="384">
        <v>280</v>
      </c>
      <c r="F98" s="384">
        <v>685</v>
      </c>
      <c r="G98" s="384">
        <v>121</v>
      </c>
      <c r="H98" s="384">
        <v>132</v>
      </c>
      <c r="I98" s="384">
        <v>242</v>
      </c>
    </row>
    <row r="99" spans="1:9" ht="12.95" customHeight="1" x14ac:dyDescent="0.2">
      <c r="A99" s="202" t="s">
        <v>102</v>
      </c>
      <c r="B99" s="384">
        <v>6126</v>
      </c>
      <c r="C99" s="384">
        <v>91</v>
      </c>
      <c r="D99" s="384">
        <v>53</v>
      </c>
      <c r="E99" s="384">
        <v>1217</v>
      </c>
      <c r="F99" s="384">
        <v>1626</v>
      </c>
      <c r="G99" s="384">
        <v>240</v>
      </c>
      <c r="H99" s="384">
        <v>689</v>
      </c>
      <c r="I99" s="384">
        <v>789</v>
      </c>
    </row>
    <row r="100" spans="1:9" ht="12.95" customHeight="1" x14ac:dyDescent="0.2">
      <c r="A100" s="202" t="s">
        <v>103</v>
      </c>
      <c r="B100" s="384">
        <v>2265</v>
      </c>
      <c r="C100" s="384">
        <v>42</v>
      </c>
      <c r="D100" s="384">
        <v>28</v>
      </c>
      <c r="E100" s="384">
        <v>361</v>
      </c>
      <c r="F100" s="384">
        <v>1287</v>
      </c>
      <c r="G100" s="384">
        <v>119</v>
      </c>
      <c r="H100" s="384">
        <v>128</v>
      </c>
      <c r="I100" s="384">
        <v>253</v>
      </c>
    </row>
    <row r="101" spans="1:9" ht="12.95" customHeight="1" x14ac:dyDescent="0.2">
      <c r="A101" s="273" t="s">
        <v>104</v>
      </c>
      <c r="B101" s="386">
        <v>454</v>
      </c>
      <c r="C101" s="386">
        <v>24</v>
      </c>
      <c r="D101" s="386">
        <v>13</v>
      </c>
      <c r="E101" s="386">
        <v>67</v>
      </c>
      <c r="F101" s="386">
        <v>194</v>
      </c>
      <c r="G101" s="386">
        <v>18</v>
      </c>
      <c r="H101" s="386">
        <v>23</v>
      </c>
      <c r="I101" s="386">
        <v>93</v>
      </c>
    </row>
    <row r="104" spans="1:9" ht="12.75" customHeight="1" x14ac:dyDescent="0.2">
      <c r="A104" s="12"/>
      <c r="B104" s="12"/>
      <c r="C104" s="68"/>
      <c r="E104" s="69"/>
      <c r="G104" s="66"/>
      <c r="H104" s="66"/>
      <c r="I104" s="67"/>
    </row>
    <row r="105" spans="1:9" x14ac:dyDescent="0.2">
      <c r="C105" s="68"/>
      <c r="E105" s="69"/>
      <c r="G105" s="66"/>
      <c r="H105" s="66"/>
      <c r="I105" s="67"/>
    </row>
    <row r="106" spans="1:9" x14ac:dyDescent="0.2">
      <c r="C106" s="68"/>
      <c r="E106" s="69"/>
      <c r="G106" s="66"/>
      <c r="H106" s="66"/>
      <c r="I106" s="67"/>
    </row>
    <row r="107" spans="1:9" x14ac:dyDescent="0.2">
      <c r="C107" s="68"/>
      <c r="E107" s="69"/>
      <c r="G107" s="66"/>
      <c r="H107" s="66"/>
      <c r="I107" s="67"/>
    </row>
    <row r="108" spans="1:9" x14ac:dyDescent="0.2">
      <c r="C108" s="68"/>
      <c r="E108" s="69"/>
      <c r="G108" s="66"/>
      <c r="H108" s="66"/>
      <c r="I108" s="67"/>
    </row>
    <row r="109" spans="1:9" x14ac:dyDescent="0.2">
      <c r="C109" s="68"/>
      <c r="E109" s="69"/>
      <c r="G109" s="66"/>
      <c r="H109" s="66"/>
      <c r="I109" s="67"/>
    </row>
    <row r="110" spans="1:9" x14ac:dyDescent="0.2">
      <c r="C110" s="68"/>
      <c r="E110" s="69"/>
      <c r="G110" s="66"/>
      <c r="H110" s="66"/>
      <c r="I110" s="67"/>
    </row>
    <row r="111" spans="1:9" x14ac:dyDescent="0.2">
      <c r="A111" s="9"/>
      <c r="B111" s="9"/>
      <c r="C111" s="68"/>
      <c r="E111" s="69"/>
      <c r="G111" s="66"/>
      <c r="H111" s="66"/>
      <c r="I111" s="67"/>
    </row>
    <row r="112" spans="1:9" x14ac:dyDescent="0.2">
      <c r="A112" s="9"/>
      <c r="B112" s="9"/>
      <c r="C112" s="68"/>
      <c r="E112" s="69"/>
      <c r="G112" s="66"/>
      <c r="H112" s="66"/>
      <c r="I112" s="67"/>
    </row>
    <row r="113" spans="1:9" x14ac:dyDescent="0.2">
      <c r="A113" s="9"/>
      <c r="B113" s="9"/>
      <c r="C113" s="68"/>
      <c r="E113" s="69"/>
      <c r="G113" s="66"/>
      <c r="H113" s="66"/>
      <c r="I113" s="67"/>
    </row>
    <row r="114" spans="1:9" x14ac:dyDescent="0.2">
      <c r="A114" s="9"/>
      <c r="B114" s="9"/>
      <c r="C114" s="68"/>
      <c r="E114" s="69"/>
      <c r="G114" s="66"/>
      <c r="H114" s="66"/>
    </row>
    <row r="115" spans="1:9" x14ac:dyDescent="0.2">
      <c r="A115" s="9"/>
      <c r="B115" s="9"/>
      <c r="C115" s="68"/>
      <c r="E115" s="69"/>
      <c r="G115" s="66"/>
      <c r="H115" s="66"/>
    </row>
    <row r="116" spans="1:9" x14ac:dyDescent="0.2">
      <c r="A116" s="9"/>
      <c r="B116" s="9"/>
      <c r="C116" s="68"/>
      <c r="G116" s="66"/>
      <c r="H116" s="66"/>
    </row>
    <row r="117" spans="1:9" x14ac:dyDescent="0.2">
      <c r="A117" s="9"/>
      <c r="B117" s="9"/>
      <c r="C117" s="68"/>
      <c r="G117" s="66"/>
      <c r="H117" s="66"/>
    </row>
    <row r="118" spans="1:9" x14ac:dyDescent="0.2">
      <c r="A118" s="9"/>
      <c r="B118" s="9"/>
      <c r="C118" s="68"/>
      <c r="G118" s="66"/>
      <c r="H118" s="66"/>
    </row>
    <row r="119" spans="1:9" x14ac:dyDescent="0.2">
      <c r="A119" s="9"/>
      <c r="B119" s="9"/>
      <c r="C119" s="68"/>
      <c r="G119" s="70"/>
      <c r="H119" s="66"/>
    </row>
    <row r="120" spans="1:9" x14ac:dyDescent="0.2">
      <c r="A120" s="9"/>
      <c r="B120" s="9"/>
      <c r="C120" s="68"/>
      <c r="G120" s="70"/>
      <c r="H120" s="66"/>
    </row>
    <row r="121" spans="1:9" x14ac:dyDescent="0.2">
      <c r="A121" s="9"/>
      <c r="B121" s="9"/>
      <c r="C121" s="68"/>
      <c r="G121" s="70"/>
      <c r="H121" s="66"/>
    </row>
    <row r="122" spans="1:9" x14ac:dyDescent="0.2">
      <c r="A122" s="9"/>
      <c r="B122" s="9"/>
      <c r="G122" s="70"/>
      <c r="H122" s="66"/>
    </row>
    <row r="123" spans="1:9" x14ac:dyDescent="0.2">
      <c r="A123" s="9"/>
      <c r="B123" s="9"/>
      <c r="G123" s="70"/>
      <c r="H123" s="66"/>
    </row>
    <row r="124" spans="1:9" x14ac:dyDescent="0.2">
      <c r="A124" s="9"/>
      <c r="B124" s="9"/>
      <c r="G124" s="70"/>
      <c r="H124" s="66"/>
    </row>
    <row r="125" spans="1:9" x14ac:dyDescent="0.2">
      <c r="A125" s="9"/>
      <c r="B125" s="9"/>
      <c r="G125" s="70"/>
      <c r="H125" s="66"/>
    </row>
    <row r="126" spans="1:9" x14ac:dyDescent="0.2">
      <c r="A126" s="9"/>
      <c r="B126" s="9"/>
      <c r="G126" s="70"/>
      <c r="H126" s="66"/>
    </row>
    <row r="127" spans="1:9" x14ac:dyDescent="0.2">
      <c r="A127" s="9"/>
      <c r="B127" s="9"/>
      <c r="G127" s="70"/>
      <c r="H127" s="66"/>
    </row>
    <row r="128" spans="1:9" x14ac:dyDescent="0.2">
      <c r="A128" s="9"/>
      <c r="B128" s="9"/>
      <c r="G128" s="70"/>
      <c r="H128" s="66"/>
    </row>
    <row r="129" spans="1:9" x14ac:dyDescent="0.2">
      <c r="A129" s="9"/>
      <c r="B129" s="9"/>
      <c r="C129" s="9"/>
      <c r="D129" s="9"/>
      <c r="E129" s="9"/>
      <c r="F129" s="9"/>
      <c r="G129" s="70"/>
      <c r="H129" s="9"/>
      <c r="I129" s="9"/>
    </row>
    <row r="130" spans="1:9" x14ac:dyDescent="0.2">
      <c r="C130" s="9"/>
      <c r="D130" s="9"/>
      <c r="E130" s="9"/>
      <c r="F130" s="9"/>
      <c r="G130" s="70"/>
      <c r="H130" s="9"/>
      <c r="I130" s="9"/>
    </row>
    <row r="131" spans="1:9" x14ac:dyDescent="0.2">
      <c r="C131" s="9"/>
      <c r="D131" s="9"/>
      <c r="E131" s="9"/>
      <c r="F131" s="9"/>
      <c r="G131" s="70"/>
      <c r="H131" s="9"/>
      <c r="I131" s="9"/>
    </row>
    <row r="145" spans="1:9" x14ac:dyDescent="0.2">
      <c r="A145" s="9"/>
      <c r="B145" s="9"/>
      <c r="C145" s="9"/>
      <c r="D145" s="9"/>
      <c r="E145" s="9"/>
      <c r="F145" s="9"/>
      <c r="G145" s="9"/>
      <c r="H145" s="9"/>
      <c r="I145" s="9"/>
    </row>
    <row r="146" spans="1:9" x14ac:dyDescent="0.2">
      <c r="A146" s="9"/>
      <c r="B146" s="9"/>
      <c r="C146" s="9"/>
      <c r="D146" s="9"/>
      <c r="E146" s="9"/>
      <c r="F146" s="9"/>
      <c r="G146" s="9"/>
      <c r="H146" s="9"/>
      <c r="I146" s="9"/>
    </row>
    <row r="147" spans="1:9" x14ac:dyDescent="0.2">
      <c r="A147" s="9"/>
      <c r="B147" s="9"/>
      <c r="C147" s="9"/>
      <c r="D147" s="9"/>
      <c r="E147" s="9"/>
      <c r="F147" s="9"/>
      <c r="G147" s="9"/>
      <c r="H147" s="9"/>
      <c r="I147" s="9"/>
    </row>
    <row r="148" spans="1:9" x14ac:dyDescent="0.2">
      <c r="A148" s="9"/>
      <c r="B148" s="9"/>
      <c r="C148" s="9"/>
      <c r="D148" s="9"/>
      <c r="E148" s="9"/>
      <c r="F148" s="9"/>
      <c r="G148" s="9"/>
      <c r="H148" s="9"/>
      <c r="I148" s="9"/>
    </row>
    <row r="149" spans="1:9" x14ac:dyDescent="0.2">
      <c r="A149" s="9"/>
      <c r="B149" s="9"/>
      <c r="C149" s="9"/>
      <c r="D149" s="9"/>
      <c r="E149" s="9"/>
      <c r="F149" s="9"/>
      <c r="G149" s="9"/>
      <c r="H149" s="9"/>
      <c r="I149" s="9"/>
    </row>
    <row r="150" spans="1:9" x14ac:dyDescent="0.2">
      <c r="A150" s="9"/>
      <c r="B150" s="9"/>
      <c r="C150" s="9"/>
      <c r="D150" s="9"/>
      <c r="E150" s="9"/>
      <c r="F150" s="9"/>
      <c r="G150" s="9"/>
      <c r="H150" s="9"/>
      <c r="I150" s="9"/>
    </row>
    <row r="151" spans="1:9" x14ac:dyDescent="0.2">
      <c r="A151" s="9"/>
      <c r="B151" s="9"/>
      <c r="C151" s="9"/>
      <c r="D151" s="9"/>
      <c r="E151" s="9"/>
      <c r="F151" s="9"/>
      <c r="G151" s="9"/>
      <c r="H151" s="9"/>
      <c r="I151" s="9"/>
    </row>
    <row r="152" spans="1:9" x14ac:dyDescent="0.2">
      <c r="A152" s="9"/>
      <c r="B152" s="9"/>
      <c r="C152" s="9"/>
      <c r="D152" s="9"/>
      <c r="E152" s="9"/>
      <c r="F152" s="9"/>
      <c r="G152" s="9"/>
      <c r="H152" s="9"/>
      <c r="I152" s="9"/>
    </row>
    <row r="153" spans="1:9" x14ac:dyDescent="0.2">
      <c r="A153" s="9"/>
      <c r="B153" s="9"/>
      <c r="C153" s="9"/>
      <c r="D153" s="9"/>
      <c r="E153" s="9"/>
      <c r="F153" s="9"/>
      <c r="G153" s="9"/>
      <c r="H153" s="9"/>
      <c r="I153" s="9"/>
    </row>
    <row r="154" spans="1:9" x14ac:dyDescent="0.2">
      <c r="A154" s="9"/>
      <c r="B154" s="9"/>
      <c r="C154" s="9"/>
      <c r="D154" s="9"/>
      <c r="E154" s="9"/>
      <c r="F154" s="9"/>
      <c r="G154" s="9"/>
      <c r="H154" s="9"/>
      <c r="I154" s="9"/>
    </row>
    <row r="155" spans="1:9" x14ac:dyDescent="0.2">
      <c r="A155" s="9"/>
      <c r="B155" s="9"/>
      <c r="C155" s="9"/>
      <c r="D155" s="9"/>
      <c r="E155" s="9"/>
      <c r="F155" s="9"/>
      <c r="G155" s="9"/>
      <c r="H155" s="9"/>
      <c r="I155" s="9"/>
    </row>
    <row r="156" spans="1:9" x14ac:dyDescent="0.2">
      <c r="A156" s="9"/>
      <c r="B156" s="9"/>
      <c r="C156" s="9"/>
      <c r="D156" s="9"/>
      <c r="E156" s="9"/>
      <c r="F156" s="9"/>
      <c r="G156" s="9"/>
      <c r="H156" s="9"/>
      <c r="I156" s="9"/>
    </row>
    <row r="157" spans="1:9" x14ac:dyDescent="0.2">
      <c r="A157" s="9"/>
      <c r="B157" s="9"/>
      <c r="C157" s="9"/>
      <c r="D157" s="9"/>
      <c r="E157" s="9"/>
      <c r="F157" s="9"/>
      <c r="G157" s="9"/>
      <c r="H157" s="9"/>
      <c r="I157" s="9"/>
    </row>
    <row r="158" spans="1:9" x14ac:dyDescent="0.2">
      <c r="A158" s="9"/>
      <c r="B158" s="9"/>
      <c r="C158" s="9"/>
      <c r="D158" s="9"/>
      <c r="E158" s="9"/>
      <c r="F158" s="9"/>
      <c r="G158" s="9"/>
      <c r="H158" s="9"/>
      <c r="I158" s="9"/>
    </row>
    <row r="159" spans="1:9" x14ac:dyDescent="0.2">
      <c r="A159" s="9"/>
      <c r="B159" s="9"/>
      <c r="C159" s="9"/>
      <c r="D159" s="9"/>
      <c r="E159" s="9"/>
      <c r="F159" s="9"/>
      <c r="G159" s="9"/>
      <c r="H159" s="9"/>
      <c r="I159" s="9"/>
    </row>
    <row r="160" spans="1:9" x14ac:dyDescent="0.2">
      <c r="A160" s="9"/>
      <c r="B160" s="9"/>
      <c r="C160" s="9"/>
      <c r="D160" s="9"/>
      <c r="E160" s="9"/>
      <c r="F160" s="9"/>
      <c r="G160" s="9"/>
      <c r="H160" s="9"/>
      <c r="I160" s="9"/>
    </row>
    <row r="161" spans="1:9" x14ac:dyDescent="0.2">
      <c r="A161" s="9"/>
      <c r="B161" s="9"/>
      <c r="C161" s="9"/>
      <c r="D161" s="9"/>
      <c r="E161" s="9"/>
      <c r="F161" s="9"/>
      <c r="G161" s="9"/>
      <c r="H161" s="9"/>
      <c r="I161" s="9"/>
    </row>
    <row r="162" spans="1:9" x14ac:dyDescent="0.2">
      <c r="A162" s="9"/>
      <c r="B162" s="9"/>
      <c r="C162" s="9"/>
      <c r="D162" s="9"/>
      <c r="E162" s="9"/>
      <c r="F162" s="9"/>
      <c r="G162" s="9"/>
      <c r="H162" s="9"/>
      <c r="I162" s="9"/>
    </row>
    <row r="163" spans="1:9" x14ac:dyDescent="0.2">
      <c r="A163" s="9"/>
      <c r="B163" s="9"/>
      <c r="C163" s="9"/>
      <c r="D163" s="9"/>
      <c r="E163" s="9"/>
      <c r="F163" s="9"/>
      <c r="G163" s="9"/>
      <c r="H163" s="9"/>
      <c r="I163" s="9"/>
    </row>
    <row r="164" spans="1:9" x14ac:dyDescent="0.2">
      <c r="A164" s="9"/>
      <c r="B164" s="9"/>
      <c r="C164" s="9"/>
      <c r="D164" s="9"/>
      <c r="E164" s="9"/>
      <c r="F164" s="9"/>
      <c r="G164" s="9"/>
      <c r="H164" s="9"/>
      <c r="I164" s="9"/>
    </row>
    <row r="165" spans="1:9" x14ac:dyDescent="0.2">
      <c r="A165" s="9"/>
      <c r="B165" s="9"/>
      <c r="C165" s="9"/>
      <c r="D165" s="9"/>
      <c r="E165" s="9"/>
      <c r="F165" s="9"/>
      <c r="G165" s="9"/>
      <c r="H165" s="9"/>
      <c r="I165" s="9"/>
    </row>
    <row r="166" spans="1:9" x14ac:dyDescent="0.2">
      <c r="A166" s="9"/>
      <c r="B166" s="9"/>
      <c r="C166" s="9"/>
      <c r="D166" s="9"/>
      <c r="E166" s="9"/>
      <c r="F166" s="9"/>
      <c r="G166" s="9"/>
      <c r="H166" s="9"/>
      <c r="I166" s="9"/>
    </row>
    <row r="167" spans="1:9" x14ac:dyDescent="0.2">
      <c r="A167" s="9"/>
      <c r="B167" s="9"/>
      <c r="C167" s="9"/>
      <c r="D167" s="9"/>
      <c r="E167" s="9"/>
      <c r="F167" s="9"/>
      <c r="G167" s="9"/>
      <c r="H167" s="9"/>
      <c r="I167" s="9"/>
    </row>
    <row r="168" spans="1:9" x14ac:dyDescent="0.2">
      <c r="A168" s="9"/>
      <c r="B168" s="9"/>
      <c r="C168" s="9"/>
      <c r="D168" s="9"/>
      <c r="E168" s="9"/>
      <c r="F168" s="9"/>
      <c r="G168" s="9"/>
      <c r="H168" s="9"/>
      <c r="I168" s="9"/>
    </row>
    <row r="169" spans="1:9" x14ac:dyDescent="0.2">
      <c r="A169" s="9"/>
      <c r="B169" s="9"/>
      <c r="C169" s="9"/>
      <c r="D169" s="9"/>
      <c r="E169" s="9"/>
      <c r="F169" s="9"/>
      <c r="G169" s="9"/>
      <c r="H169" s="9"/>
      <c r="I169" s="9"/>
    </row>
    <row r="170" spans="1:9" x14ac:dyDescent="0.2">
      <c r="A170" s="9"/>
      <c r="B170" s="9"/>
      <c r="C170" s="9"/>
      <c r="D170" s="9"/>
      <c r="E170" s="9"/>
      <c r="F170" s="9"/>
      <c r="G170" s="9"/>
      <c r="H170" s="9"/>
      <c r="I170" s="9"/>
    </row>
    <row r="171" spans="1:9" x14ac:dyDescent="0.2">
      <c r="A171" s="9"/>
      <c r="B171" s="9"/>
      <c r="C171" s="9"/>
      <c r="D171" s="9"/>
      <c r="E171" s="9"/>
      <c r="F171" s="9"/>
      <c r="G171" s="9"/>
      <c r="H171" s="9"/>
      <c r="I171" s="9"/>
    </row>
    <row r="172" spans="1:9" x14ac:dyDescent="0.2">
      <c r="A172" s="9"/>
      <c r="B172" s="9"/>
      <c r="C172" s="9"/>
      <c r="D172" s="9"/>
      <c r="E172" s="9"/>
      <c r="F172" s="9"/>
      <c r="G172" s="9"/>
      <c r="H172" s="9"/>
      <c r="I172" s="9"/>
    </row>
    <row r="173" spans="1:9" x14ac:dyDescent="0.2">
      <c r="A173" s="9"/>
      <c r="B173" s="9"/>
      <c r="C173" s="9"/>
      <c r="D173" s="9"/>
      <c r="E173" s="9"/>
      <c r="F173" s="9"/>
      <c r="G173" s="9"/>
      <c r="H173" s="9"/>
      <c r="I173" s="9"/>
    </row>
    <row r="174" spans="1:9" x14ac:dyDescent="0.2">
      <c r="A174" s="9"/>
      <c r="B174" s="9"/>
      <c r="C174" s="9"/>
      <c r="D174" s="9"/>
      <c r="E174" s="9"/>
      <c r="F174" s="9"/>
      <c r="G174" s="9"/>
      <c r="H174" s="9"/>
      <c r="I174" s="9"/>
    </row>
    <row r="175" spans="1:9" x14ac:dyDescent="0.2">
      <c r="A175" s="9"/>
      <c r="B175" s="9"/>
      <c r="C175" s="9"/>
      <c r="D175" s="9"/>
      <c r="E175" s="9"/>
      <c r="F175" s="9"/>
      <c r="G175" s="9"/>
      <c r="H175" s="9"/>
      <c r="I175" s="9"/>
    </row>
    <row r="176" spans="1:9" x14ac:dyDescent="0.2">
      <c r="A176" s="9"/>
      <c r="B176" s="9"/>
      <c r="C176" s="9"/>
      <c r="D176" s="9"/>
      <c r="E176" s="9"/>
      <c r="F176" s="9"/>
      <c r="G176" s="9"/>
      <c r="H176" s="9"/>
      <c r="I176" s="9"/>
    </row>
    <row r="177" spans="1:9" x14ac:dyDescent="0.2">
      <c r="A177" s="9"/>
      <c r="B177" s="9"/>
      <c r="C177" s="9"/>
      <c r="D177" s="9"/>
      <c r="E177" s="9"/>
      <c r="F177" s="9"/>
      <c r="G177" s="9"/>
      <c r="H177" s="9"/>
      <c r="I177" s="9"/>
    </row>
    <row r="178" spans="1:9" x14ac:dyDescent="0.2">
      <c r="A178" s="9"/>
      <c r="B178" s="9"/>
      <c r="C178" s="9"/>
      <c r="D178" s="9"/>
      <c r="E178" s="9"/>
      <c r="F178" s="9"/>
      <c r="G178" s="9"/>
      <c r="H178" s="9"/>
      <c r="I178" s="9"/>
    </row>
    <row r="179" spans="1:9" x14ac:dyDescent="0.2">
      <c r="A179" s="9"/>
      <c r="B179" s="9"/>
      <c r="C179" s="9"/>
      <c r="D179" s="9"/>
      <c r="E179" s="9"/>
      <c r="F179" s="9"/>
      <c r="G179" s="9"/>
      <c r="H179" s="9"/>
      <c r="I179" s="9"/>
    </row>
    <row r="180" spans="1:9" x14ac:dyDescent="0.2">
      <c r="A180" s="9"/>
      <c r="B180" s="9"/>
      <c r="C180" s="9"/>
      <c r="D180" s="9"/>
      <c r="E180" s="9"/>
      <c r="F180" s="9"/>
      <c r="G180" s="9"/>
      <c r="H180" s="9"/>
      <c r="I180" s="9"/>
    </row>
    <row r="181" spans="1:9" x14ac:dyDescent="0.2">
      <c r="A181" s="9"/>
      <c r="B181" s="9"/>
      <c r="C181" s="9"/>
      <c r="D181" s="9"/>
      <c r="E181" s="9"/>
      <c r="F181" s="9"/>
      <c r="G181" s="9"/>
      <c r="H181" s="9"/>
      <c r="I181" s="9"/>
    </row>
    <row r="182" spans="1:9" x14ac:dyDescent="0.2">
      <c r="A182" s="9"/>
      <c r="B182" s="9"/>
      <c r="C182" s="9"/>
      <c r="D182" s="9"/>
      <c r="E182" s="9"/>
      <c r="F182" s="9"/>
      <c r="G182" s="9"/>
      <c r="H182" s="9"/>
      <c r="I182" s="9"/>
    </row>
    <row r="183" spans="1:9" x14ac:dyDescent="0.2">
      <c r="A183" s="9"/>
      <c r="B183" s="9"/>
      <c r="C183" s="9"/>
      <c r="D183" s="9"/>
      <c r="E183" s="9"/>
      <c r="F183" s="9"/>
      <c r="G183" s="9"/>
      <c r="H183" s="9"/>
      <c r="I183" s="9"/>
    </row>
    <row r="184" spans="1:9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9" x14ac:dyDescent="0.2">
      <c r="A185" s="9"/>
      <c r="B185" s="9"/>
      <c r="C185" s="9"/>
      <c r="D185" s="9"/>
      <c r="E185" s="9"/>
      <c r="F185" s="9"/>
      <c r="G185" s="9"/>
      <c r="H185" s="9"/>
      <c r="I185" s="9"/>
    </row>
    <row r="186" spans="1:9" x14ac:dyDescent="0.2">
      <c r="A186" s="9"/>
      <c r="B186" s="9"/>
      <c r="C186" s="9"/>
      <c r="D186" s="9"/>
      <c r="E186" s="9"/>
      <c r="F186" s="9"/>
      <c r="G186" s="9"/>
      <c r="H186" s="9"/>
      <c r="I186" s="9"/>
    </row>
    <row r="187" spans="1:9" x14ac:dyDescent="0.2">
      <c r="A187" s="9"/>
      <c r="B187" s="9"/>
      <c r="C187" s="9"/>
      <c r="D187" s="9"/>
      <c r="E187" s="9"/>
      <c r="F187" s="9"/>
      <c r="G187" s="9"/>
      <c r="H187" s="9"/>
      <c r="I187" s="9"/>
    </row>
    <row r="188" spans="1:9" x14ac:dyDescent="0.2">
      <c r="A188" s="9"/>
      <c r="B188" s="9"/>
      <c r="C188" s="9"/>
      <c r="D188" s="9"/>
      <c r="E188" s="9"/>
      <c r="F188" s="9"/>
      <c r="G188" s="9"/>
      <c r="H188" s="9"/>
      <c r="I188" s="9"/>
    </row>
    <row r="189" spans="1:9" x14ac:dyDescent="0.2">
      <c r="A189" s="9"/>
      <c r="B189" s="9"/>
      <c r="C189" s="9"/>
      <c r="D189" s="9"/>
      <c r="E189" s="9"/>
      <c r="F189" s="9"/>
      <c r="G189" s="9"/>
      <c r="H189" s="9"/>
      <c r="I189" s="9"/>
    </row>
    <row r="190" spans="1:9" x14ac:dyDescent="0.2">
      <c r="A190" s="9"/>
      <c r="B190" s="9"/>
      <c r="C190" s="9"/>
      <c r="D190" s="9"/>
      <c r="E190" s="9"/>
      <c r="F190" s="9"/>
      <c r="G190" s="9"/>
      <c r="H190" s="9"/>
      <c r="I190" s="9"/>
    </row>
    <row r="191" spans="1:9" x14ac:dyDescent="0.2">
      <c r="A191" s="9"/>
      <c r="B191" s="9"/>
      <c r="C191" s="9"/>
      <c r="D191" s="9"/>
      <c r="E191" s="9"/>
      <c r="F191" s="9"/>
      <c r="G191" s="9"/>
      <c r="H191" s="9"/>
      <c r="I191" s="9"/>
    </row>
    <row r="192" spans="1:9" x14ac:dyDescent="0.2">
      <c r="A192" s="9"/>
      <c r="B192" s="9"/>
      <c r="C192" s="9"/>
      <c r="D192" s="9"/>
      <c r="E192" s="9"/>
      <c r="F192" s="9"/>
      <c r="G192" s="9"/>
      <c r="H192" s="9"/>
      <c r="I192" s="9"/>
    </row>
    <row r="193" spans="1:9" x14ac:dyDescent="0.2">
      <c r="A193" s="9"/>
      <c r="B193" s="9"/>
      <c r="C193" s="9"/>
      <c r="D193" s="9"/>
      <c r="E193" s="9"/>
      <c r="F193" s="9"/>
      <c r="G193" s="9"/>
      <c r="H193" s="9"/>
      <c r="I193" s="9"/>
    </row>
    <row r="194" spans="1:9" x14ac:dyDescent="0.2">
      <c r="A194" s="9"/>
      <c r="B194" s="9"/>
      <c r="C194" s="9"/>
      <c r="D194" s="9"/>
      <c r="E194" s="9"/>
      <c r="F194" s="9"/>
      <c r="G194" s="9"/>
      <c r="H194" s="9"/>
      <c r="I194" s="9"/>
    </row>
    <row r="195" spans="1:9" x14ac:dyDescent="0.2">
      <c r="A195" s="9"/>
      <c r="B195" s="9"/>
      <c r="C195" s="9"/>
      <c r="D195" s="9"/>
      <c r="E195" s="9"/>
      <c r="F195" s="9"/>
      <c r="G195" s="9"/>
      <c r="H195" s="9"/>
      <c r="I195" s="9"/>
    </row>
    <row r="196" spans="1:9" x14ac:dyDescent="0.2">
      <c r="A196" s="9"/>
      <c r="B196" s="9"/>
      <c r="C196" s="9"/>
      <c r="D196" s="9"/>
      <c r="E196" s="9"/>
      <c r="F196" s="9"/>
      <c r="G196" s="9"/>
      <c r="H196" s="9"/>
      <c r="I196" s="9"/>
    </row>
    <row r="197" spans="1:9" x14ac:dyDescent="0.2">
      <c r="A197" s="9"/>
      <c r="B197" s="9"/>
      <c r="C197" s="9"/>
      <c r="D197" s="9"/>
      <c r="E197" s="9"/>
      <c r="F197" s="9"/>
      <c r="G197" s="9"/>
      <c r="H197" s="9"/>
      <c r="I197" s="9"/>
    </row>
    <row r="198" spans="1:9" x14ac:dyDescent="0.2">
      <c r="A198" s="9"/>
      <c r="B198" s="9"/>
      <c r="C198" s="9"/>
      <c r="D198" s="9"/>
      <c r="E198" s="9"/>
      <c r="F198" s="9"/>
      <c r="G198" s="9"/>
      <c r="H198" s="9"/>
      <c r="I198" s="9"/>
    </row>
    <row r="199" spans="1:9" x14ac:dyDescent="0.2">
      <c r="A199" s="9"/>
      <c r="B199" s="9"/>
      <c r="C199" s="9"/>
      <c r="D199" s="9"/>
      <c r="E199" s="9"/>
      <c r="F199" s="9"/>
      <c r="G199" s="9"/>
      <c r="H199" s="9"/>
      <c r="I199" s="9"/>
    </row>
    <row r="200" spans="1:9" x14ac:dyDescent="0.2">
      <c r="A200" s="9"/>
      <c r="B200" s="9"/>
      <c r="C200" s="9"/>
      <c r="D200" s="9"/>
      <c r="E200" s="9"/>
      <c r="F200" s="9"/>
      <c r="G200" s="9"/>
      <c r="H200" s="9"/>
      <c r="I200" s="9"/>
    </row>
    <row r="201" spans="1:9" x14ac:dyDescent="0.2">
      <c r="A201" s="9"/>
      <c r="B201" s="9"/>
      <c r="C201" s="9"/>
      <c r="D201" s="9"/>
      <c r="E201" s="9"/>
      <c r="F201" s="9"/>
      <c r="G201" s="9"/>
      <c r="H201" s="9"/>
      <c r="I201" s="9"/>
    </row>
    <row r="202" spans="1:9" x14ac:dyDescent="0.2">
      <c r="A202" s="9"/>
      <c r="B202" s="9"/>
      <c r="C202" s="9"/>
      <c r="D202" s="9"/>
      <c r="E202" s="9"/>
      <c r="F202" s="9"/>
      <c r="G202" s="9"/>
      <c r="H202" s="9"/>
      <c r="I202" s="9"/>
    </row>
    <row r="203" spans="1:9" x14ac:dyDescent="0.2">
      <c r="A203" s="9"/>
      <c r="B203" s="9"/>
      <c r="C203" s="9"/>
      <c r="D203" s="9"/>
      <c r="E203" s="9"/>
      <c r="F203" s="9"/>
      <c r="G203" s="9"/>
      <c r="H203" s="9"/>
      <c r="I203" s="9"/>
    </row>
    <row r="204" spans="1:9" x14ac:dyDescent="0.2">
      <c r="A204" s="9"/>
      <c r="B204" s="9"/>
      <c r="C204" s="9"/>
      <c r="D204" s="9"/>
      <c r="E204" s="9"/>
      <c r="F204" s="9"/>
      <c r="G204" s="9"/>
      <c r="H204" s="9"/>
      <c r="I204" s="9"/>
    </row>
    <row r="205" spans="1:9" x14ac:dyDescent="0.2">
      <c r="A205" s="9"/>
      <c r="B205" s="9"/>
      <c r="C205" s="9"/>
      <c r="D205" s="9"/>
      <c r="E205" s="9"/>
      <c r="F205" s="9"/>
      <c r="G205" s="9"/>
      <c r="H205" s="9"/>
      <c r="I205" s="9"/>
    </row>
    <row r="206" spans="1:9" x14ac:dyDescent="0.2">
      <c r="A206" s="9"/>
      <c r="B206" s="9"/>
      <c r="C206" s="9"/>
      <c r="D206" s="9"/>
      <c r="E206" s="9"/>
      <c r="F206" s="9"/>
      <c r="G206" s="9"/>
      <c r="H206" s="9"/>
      <c r="I206" s="9"/>
    </row>
    <row r="207" spans="1:9" x14ac:dyDescent="0.2">
      <c r="A207" s="9"/>
      <c r="B207" s="9"/>
      <c r="C207" s="9"/>
      <c r="D207" s="9"/>
      <c r="E207" s="9"/>
      <c r="F207" s="9"/>
      <c r="G207" s="9"/>
      <c r="H207" s="9"/>
      <c r="I207" s="9"/>
    </row>
    <row r="208" spans="1:9" x14ac:dyDescent="0.2">
      <c r="A208" s="9"/>
      <c r="B208" s="9"/>
      <c r="C208" s="9"/>
      <c r="D208" s="9"/>
      <c r="E208" s="9"/>
      <c r="F208" s="9"/>
      <c r="G208" s="9"/>
      <c r="H208" s="9"/>
      <c r="I208" s="9"/>
    </row>
    <row r="209" spans="1:9" x14ac:dyDescent="0.2">
      <c r="A209" s="9"/>
      <c r="B209" s="9"/>
      <c r="C209" s="9"/>
      <c r="D209" s="9"/>
      <c r="E209" s="9"/>
      <c r="F209" s="9"/>
      <c r="G209" s="9"/>
      <c r="H209" s="9"/>
      <c r="I209" s="9"/>
    </row>
    <row r="210" spans="1:9" x14ac:dyDescent="0.2">
      <c r="A210" s="9"/>
      <c r="B210" s="9"/>
      <c r="C210" s="9"/>
      <c r="D210" s="9"/>
      <c r="E210" s="9"/>
      <c r="F210" s="9"/>
      <c r="G210" s="9"/>
      <c r="H210" s="9"/>
      <c r="I210" s="9"/>
    </row>
    <row r="211" spans="1:9" x14ac:dyDescent="0.2">
      <c r="A211" s="9"/>
      <c r="B211" s="9"/>
      <c r="C211" s="9"/>
      <c r="D211" s="9"/>
      <c r="E211" s="9"/>
      <c r="F211" s="9"/>
      <c r="G211" s="9"/>
      <c r="H211" s="9"/>
      <c r="I211" s="9"/>
    </row>
    <row r="212" spans="1:9" x14ac:dyDescent="0.2">
      <c r="A212" s="9"/>
      <c r="B212" s="9"/>
      <c r="C212" s="9"/>
      <c r="D212" s="9"/>
      <c r="E212" s="9"/>
      <c r="F212" s="9"/>
      <c r="G212" s="9"/>
      <c r="H212" s="9"/>
      <c r="I212" s="9"/>
    </row>
    <row r="213" spans="1:9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x14ac:dyDescent="0.2">
      <c r="A215" s="9"/>
      <c r="B215" s="9"/>
      <c r="C215" s="9"/>
      <c r="D215" s="9"/>
      <c r="E215" s="9"/>
      <c r="F215" s="9"/>
      <c r="G215" s="9"/>
      <c r="H215" s="9"/>
      <c r="I215" s="9"/>
    </row>
    <row r="216" spans="1:9" x14ac:dyDescent="0.2">
      <c r="A216" s="9"/>
      <c r="B216" s="9"/>
      <c r="C216" s="9"/>
      <c r="D216" s="9"/>
      <c r="E216" s="9"/>
      <c r="F216" s="9"/>
      <c r="G216" s="9"/>
      <c r="H216" s="9"/>
      <c r="I216" s="9"/>
    </row>
    <row r="217" spans="1:9" x14ac:dyDescent="0.2">
      <c r="A217" s="9"/>
      <c r="B217" s="9"/>
      <c r="C217" s="9"/>
      <c r="D217" s="9"/>
      <c r="E217" s="9"/>
      <c r="F217" s="9"/>
      <c r="G217" s="9"/>
      <c r="H217" s="9"/>
      <c r="I217" s="9"/>
    </row>
    <row r="218" spans="1:9" x14ac:dyDescent="0.2">
      <c r="A218" s="9"/>
      <c r="B218" s="9"/>
      <c r="C218" s="9"/>
      <c r="D218" s="9"/>
      <c r="E218" s="9"/>
      <c r="F218" s="9"/>
      <c r="G218" s="9"/>
      <c r="H218" s="9"/>
      <c r="I218" s="9"/>
    </row>
    <row r="219" spans="1:9" x14ac:dyDescent="0.2">
      <c r="A219" s="9"/>
      <c r="B219" s="9"/>
      <c r="C219" s="9"/>
      <c r="D219" s="9"/>
      <c r="E219" s="9"/>
      <c r="F219" s="9"/>
      <c r="G219" s="9"/>
      <c r="H219" s="9"/>
      <c r="I219" s="9"/>
    </row>
    <row r="220" spans="1:9" x14ac:dyDescent="0.2">
      <c r="A220" s="9"/>
      <c r="B220" s="9"/>
      <c r="C220" s="9"/>
      <c r="D220" s="9"/>
      <c r="E220" s="9"/>
      <c r="F220" s="9"/>
      <c r="G220" s="9"/>
      <c r="H220" s="9"/>
      <c r="I220" s="9"/>
    </row>
    <row r="221" spans="1:9" x14ac:dyDescent="0.2">
      <c r="A221" s="9"/>
      <c r="B221" s="9"/>
      <c r="C221" s="9"/>
      <c r="D221" s="9"/>
      <c r="E221" s="9"/>
      <c r="F221" s="9"/>
      <c r="G221" s="9"/>
      <c r="H221" s="9"/>
      <c r="I221" s="9"/>
    </row>
    <row r="222" spans="1:9" x14ac:dyDescent="0.2">
      <c r="A222" s="9"/>
      <c r="B222" s="9"/>
      <c r="C222" s="9"/>
      <c r="D222" s="9"/>
      <c r="E222" s="9"/>
      <c r="F222" s="9"/>
      <c r="G222" s="9"/>
      <c r="H222" s="9"/>
      <c r="I222" s="9"/>
    </row>
    <row r="223" spans="1:9" x14ac:dyDescent="0.2">
      <c r="A223" s="9"/>
      <c r="B223" s="9"/>
      <c r="C223" s="9"/>
      <c r="D223" s="9"/>
      <c r="E223" s="9"/>
      <c r="F223" s="9"/>
      <c r="G223" s="9"/>
      <c r="H223" s="9"/>
      <c r="I223" s="9"/>
    </row>
    <row r="224" spans="1:9" x14ac:dyDescent="0.2">
      <c r="A224" s="9"/>
      <c r="B224" s="9"/>
      <c r="C224" s="9"/>
      <c r="D224" s="9"/>
      <c r="E224" s="9"/>
      <c r="F224" s="9"/>
      <c r="G224" s="9"/>
      <c r="H224" s="9"/>
      <c r="I224" s="9"/>
    </row>
    <row r="225" spans="1:9" x14ac:dyDescent="0.2">
      <c r="A225" s="9"/>
      <c r="B225" s="9"/>
      <c r="C225" s="9"/>
      <c r="D225" s="9"/>
      <c r="E225" s="9"/>
      <c r="F225" s="9"/>
      <c r="G225" s="9"/>
      <c r="H225" s="9"/>
      <c r="I225" s="9"/>
    </row>
    <row r="226" spans="1:9" x14ac:dyDescent="0.2">
      <c r="A226" s="9"/>
      <c r="B226" s="9"/>
      <c r="C226" s="9"/>
      <c r="D226" s="9"/>
      <c r="E226" s="9"/>
      <c r="F226" s="9"/>
      <c r="G226" s="9"/>
      <c r="H226" s="9"/>
      <c r="I226" s="9"/>
    </row>
    <row r="227" spans="1:9" x14ac:dyDescent="0.2">
      <c r="A227" s="9"/>
      <c r="B227" s="9"/>
      <c r="C227" s="9"/>
      <c r="D227" s="9"/>
      <c r="E227" s="9"/>
      <c r="F227" s="9"/>
      <c r="G227" s="9"/>
      <c r="H227" s="9"/>
      <c r="I227" s="9"/>
    </row>
    <row r="228" spans="1:9" x14ac:dyDescent="0.2">
      <c r="A228" s="9"/>
      <c r="B228" s="9"/>
      <c r="C228" s="9"/>
      <c r="D228" s="9"/>
      <c r="E228" s="9"/>
      <c r="F228" s="9"/>
      <c r="G228" s="9"/>
      <c r="H228" s="9"/>
      <c r="I228" s="9"/>
    </row>
    <row r="229" spans="1:9" x14ac:dyDescent="0.2">
      <c r="A229" s="9"/>
      <c r="B229" s="9"/>
      <c r="C229" s="9"/>
      <c r="D229" s="9"/>
      <c r="E229" s="9"/>
      <c r="F229" s="9"/>
      <c r="G229" s="9"/>
      <c r="H229" s="9"/>
      <c r="I229" s="9"/>
    </row>
    <row r="230" spans="1:9" x14ac:dyDescent="0.2">
      <c r="A230" s="9"/>
      <c r="B230" s="9"/>
      <c r="C230" s="9"/>
      <c r="D230" s="9"/>
      <c r="E230" s="9"/>
      <c r="F230" s="9"/>
      <c r="G230" s="9"/>
      <c r="H230" s="9"/>
      <c r="I230" s="9"/>
    </row>
    <row r="231" spans="1:9" x14ac:dyDescent="0.2">
      <c r="A231" s="9"/>
      <c r="B231" s="9"/>
      <c r="C231" s="9"/>
      <c r="D231" s="9"/>
      <c r="E231" s="9"/>
      <c r="F231" s="9"/>
      <c r="G231" s="9"/>
      <c r="H231" s="9"/>
      <c r="I231" s="9"/>
    </row>
    <row r="232" spans="1:9" x14ac:dyDescent="0.2">
      <c r="A232" s="9"/>
      <c r="B232" s="9"/>
      <c r="C232" s="9"/>
      <c r="D232" s="9"/>
      <c r="E232" s="9"/>
      <c r="F232" s="9"/>
      <c r="G232" s="9"/>
      <c r="H232" s="9"/>
      <c r="I232" s="9"/>
    </row>
    <row r="233" spans="1:9" x14ac:dyDescent="0.2">
      <c r="A233" s="9"/>
      <c r="B233" s="9"/>
      <c r="C233" s="9"/>
      <c r="D233" s="9"/>
      <c r="E233" s="9"/>
      <c r="F233" s="9"/>
      <c r="G233" s="9"/>
      <c r="H233" s="9"/>
      <c r="I233" s="9"/>
    </row>
    <row r="234" spans="1:9" x14ac:dyDescent="0.2">
      <c r="A234" s="9"/>
      <c r="B234" s="9"/>
      <c r="C234" s="9"/>
      <c r="D234" s="9"/>
      <c r="E234" s="9"/>
      <c r="F234" s="9"/>
      <c r="G234" s="9"/>
      <c r="H234" s="9"/>
      <c r="I234" s="9"/>
    </row>
    <row r="235" spans="1:9" x14ac:dyDescent="0.2">
      <c r="A235" s="9"/>
      <c r="B235" s="9"/>
      <c r="C235" s="9"/>
      <c r="D235" s="9"/>
      <c r="E235" s="9"/>
      <c r="F235" s="9"/>
      <c r="G235" s="9"/>
      <c r="H235" s="9"/>
      <c r="I235" s="9"/>
    </row>
    <row r="236" spans="1:9" x14ac:dyDescent="0.2">
      <c r="A236" s="9"/>
      <c r="B236" s="9"/>
      <c r="C236" s="9"/>
      <c r="D236" s="9"/>
      <c r="E236" s="9"/>
      <c r="F236" s="9"/>
      <c r="G236" s="9"/>
      <c r="H236" s="9"/>
      <c r="I236" s="9"/>
    </row>
    <row r="237" spans="1:9" x14ac:dyDescent="0.2">
      <c r="A237" s="9"/>
      <c r="B237" s="9"/>
      <c r="C237" s="9"/>
      <c r="D237" s="9"/>
      <c r="E237" s="9"/>
      <c r="F237" s="9"/>
      <c r="G237" s="9"/>
      <c r="H237" s="9"/>
      <c r="I237" s="9"/>
    </row>
    <row r="238" spans="1:9" x14ac:dyDescent="0.2">
      <c r="A238" s="9"/>
      <c r="B238" s="9"/>
      <c r="C238" s="9"/>
      <c r="D238" s="9"/>
      <c r="E238" s="9"/>
      <c r="F238" s="9"/>
      <c r="G238" s="9"/>
      <c r="H238" s="9"/>
      <c r="I238" s="9"/>
    </row>
    <row r="239" spans="1:9" x14ac:dyDescent="0.2">
      <c r="A239" s="9"/>
      <c r="B239" s="9"/>
      <c r="C239" s="9"/>
      <c r="D239" s="9"/>
      <c r="E239" s="9"/>
      <c r="F239" s="9"/>
      <c r="G239" s="9"/>
      <c r="H239" s="9"/>
      <c r="I239" s="9"/>
    </row>
    <row r="240" spans="1:9" x14ac:dyDescent="0.2">
      <c r="A240" s="9"/>
      <c r="B240" s="9"/>
      <c r="C240" s="9"/>
      <c r="D240" s="9"/>
      <c r="E240" s="9"/>
      <c r="F240" s="9"/>
      <c r="G240" s="9"/>
      <c r="H240" s="9"/>
      <c r="I240" s="9"/>
    </row>
    <row r="241" spans="1:9" x14ac:dyDescent="0.2">
      <c r="A241" s="9"/>
      <c r="B241" s="9"/>
      <c r="C241" s="9"/>
      <c r="D241" s="9"/>
      <c r="E241" s="9"/>
      <c r="F241" s="9"/>
      <c r="G241" s="9"/>
      <c r="H241" s="9"/>
      <c r="I241" s="9"/>
    </row>
    <row r="242" spans="1:9" x14ac:dyDescent="0.2">
      <c r="A242" s="9"/>
      <c r="B242" s="9"/>
      <c r="C242" s="9"/>
      <c r="D242" s="9"/>
      <c r="E242" s="9"/>
      <c r="F242" s="9"/>
      <c r="G242" s="9"/>
      <c r="H242" s="9"/>
      <c r="I242" s="9"/>
    </row>
    <row r="243" spans="1:9" x14ac:dyDescent="0.2">
      <c r="A243" s="9"/>
      <c r="B243" s="9"/>
      <c r="C243" s="9"/>
      <c r="D243" s="9"/>
      <c r="E243" s="9"/>
      <c r="F243" s="9"/>
      <c r="G243" s="9"/>
      <c r="H243" s="9"/>
      <c r="I243" s="9"/>
    </row>
    <row r="244" spans="1:9" x14ac:dyDescent="0.2">
      <c r="A244" s="9"/>
      <c r="B244" s="9"/>
      <c r="C244" s="9"/>
      <c r="D244" s="9"/>
      <c r="E244" s="9"/>
      <c r="F244" s="9"/>
      <c r="G244" s="9"/>
      <c r="H244" s="9"/>
      <c r="I244" s="9"/>
    </row>
    <row r="245" spans="1:9" x14ac:dyDescent="0.2">
      <c r="A245" s="9"/>
      <c r="B245" s="9"/>
      <c r="C245" s="9"/>
      <c r="D245" s="9"/>
      <c r="E245" s="9"/>
      <c r="F245" s="9"/>
      <c r="G245" s="9"/>
      <c r="H245" s="9"/>
      <c r="I245" s="9"/>
    </row>
    <row r="246" spans="1:9" x14ac:dyDescent="0.2">
      <c r="A246" s="9"/>
      <c r="B246" s="9"/>
      <c r="C246" s="9"/>
      <c r="D246" s="9"/>
      <c r="E246" s="9"/>
      <c r="F246" s="9"/>
      <c r="G246" s="9"/>
      <c r="H246" s="9"/>
      <c r="I246" s="9"/>
    </row>
    <row r="247" spans="1:9" x14ac:dyDescent="0.2">
      <c r="A247" s="9"/>
      <c r="B247" s="9"/>
      <c r="C247" s="9"/>
      <c r="D247" s="9"/>
      <c r="E247" s="9"/>
      <c r="F247" s="9"/>
      <c r="G247" s="9"/>
      <c r="H247" s="9"/>
      <c r="I247" s="9"/>
    </row>
    <row r="248" spans="1:9" x14ac:dyDescent="0.2">
      <c r="A248" s="9"/>
      <c r="B248" s="9"/>
      <c r="C248" s="9"/>
      <c r="D248" s="9"/>
      <c r="E248" s="9"/>
      <c r="F248" s="9"/>
      <c r="G248" s="9"/>
      <c r="H248" s="9"/>
      <c r="I248" s="9"/>
    </row>
    <row r="249" spans="1:9" x14ac:dyDescent="0.2">
      <c r="A249" s="9"/>
      <c r="B249" s="9"/>
      <c r="C249" s="9"/>
      <c r="D249" s="9"/>
      <c r="E249" s="9"/>
      <c r="F249" s="9"/>
      <c r="G249" s="9"/>
      <c r="H249" s="9"/>
      <c r="I249" s="9"/>
    </row>
    <row r="250" spans="1:9" x14ac:dyDescent="0.2">
      <c r="A250" s="9"/>
      <c r="B250" s="9"/>
      <c r="C250" s="9"/>
      <c r="D250" s="9"/>
      <c r="E250" s="9"/>
      <c r="F250" s="9"/>
      <c r="G250" s="9"/>
      <c r="H250" s="9"/>
      <c r="I250" s="9"/>
    </row>
    <row r="251" spans="1:9" x14ac:dyDescent="0.2">
      <c r="A251" s="9"/>
      <c r="B251" s="9"/>
      <c r="C251" s="9"/>
      <c r="D251" s="9"/>
      <c r="E251" s="9"/>
      <c r="F251" s="9"/>
      <c r="G251" s="9"/>
      <c r="H251" s="9"/>
      <c r="I251" s="9"/>
    </row>
    <row r="252" spans="1:9" x14ac:dyDescent="0.2">
      <c r="A252" s="9"/>
      <c r="B252" s="9"/>
      <c r="C252" s="9"/>
      <c r="D252" s="9"/>
      <c r="E252" s="9"/>
      <c r="F252" s="9"/>
      <c r="G252" s="9"/>
      <c r="H252" s="9"/>
      <c r="I252" s="9"/>
    </row>
    <row r="253" spans="1:9" x14ac:dyDescent="0.2">
      <c r="A253" s="9"/>
      <c r="B253" s="9"/>
      <c r="C253" s="9"/>
      <c r="D253" s="9"/>
      <c r="E253" s="9"/>
      <c r="F253" s="9"/>
      <c r="G253" s="9"/>
      <c r="H253" s="9"/>
      <c r="I253" s="9"/>
    </row>
    <row r="254" spans="1:9" x14ac:dyDescent="0.2">
      <c r="A254" s="9"/>
      <c r="B254" s="9"/>
      <c r="C254" s="9"/>
      <c r="D254" s="9"/>
      <c r="E254" s="9"/>
      <c r="F254" s="9"/>
      <c r="G254" s="9"/>
      <c r="H254" s="9"/>
      <c r="I254" s="9"/>
    </row>
    <row r="255" spans="1:9" x14ac:dyDescent="0.2">
      <c r="A255" s="9"/>
      <c r="B255" s="9"/>
      <c r="C255" s="9"/>
      <c r="D255" s="9"/>
      <c r="E255" s="9"/>
      <c r="F255" s="9"/>
      <c r="G255" s="9"/>
      <c r="H255" s="9"/>
      <c r="I255" s="9"/>
    </row>
    <row r="256" spans="1:9" x14ac:dyDescent="0.2">
      <c r="A256" s="9"/>
      <c r="B256" s="9"/>
      <c r="C256" s="9"/>
      <c r="D256" s="9"/>
      <c r="E256" s="9"/>
      <c r="F256" s="9"/>
      <c r="G256" s="9"/>
      <c r="H256" s="9"/>
      <c r="I256" s="9"/>
    </row>
    <row r="257" spans="1:9" x14ac:dyDescent="0.2">
      <c r="A257" s="9"/>
      <c r="B257" s="9"/>
      <c r="C257" s="9"/>
      <c r="D257" s="9"/>
      <c r="E257" s="9"/>
      <c r="F257" s="9"/>
      <c r="G257" s="9"/>
      <c r="H257" s="9"/>
      <c r="I257" s="9"/>
    </row>
    <row r="258" spans="1:9" x14ac:dyDescent="0.2">
      <c r="A258" s="9"/>
      <c r="B258" s="9"/>
      <c r="C258" s="9"/>
      <c r="D258" s="9"/>
      <c r="E258" s="9"/>
      <c r="F258" s="9"/>
      <c r="G258" s="9"/>
      <c r="H258" s="9"/>
      <c r="I258" s="9"/>
    </row>
    <row r="259" spans="1:9" x14ac:dyDescent="0.2">
      <c r="A259" s="9"/>
      <c r="B259" s="9"/>
      <c r="C259" s="9"/>
      <c r="D259" s="9"/>
      <c r="E259" s="9"/>
      <c r="F259" s="9"/>
      <c r="G259" s="9"/>
      <c r="H259" s="9"/>
      <c r="I259" s="9"/>
    </row>
    <row r="260" spans="1:9" x14ac:dyDescent="0.2">
      <c r="A260" s="9"/>
      <c r="B260" s="9"/>
      <c r="C260" s="9"/>
      <c r="D260" s="9"/>
      <c r="E260" s="9"/>
      <c r="F260" s="9"/>
      <c r="G260" s="9"/>
      <c r="H260" s="9"/>
      <c r="I260" s="9"/>
    </row>
    <row r="261" spans="1:9" x14ac:dyDescent="0.2">
      <c r="A261" s="9"/>
      <c r="B261" s="9"/>
      <c r="C261" s="9"/>
      <c r="D261" s="9"/>
      <c r="E261" s="9"/>
      <c r="F261" s="9"/>
      <c r="G261" s="9"/>
      <c r="H261" s="9"/>
      <c r="I261" s="9"/>
    </row>
    <row r="262" spans="1:9" x14ac:dyDescent="0.2">
      <c r="A262" s="9"/>
      <c r="B262" s="9"/>
      <c r="C262" s="9"/>
      <c r="D262" s="9"/>
      <c r="E262" s="9"/>
      <c r="F262" s="9"/>
      <c r="G262" s="9"/>
      <c r="H262" s="9"/>
      <c r="I262" s="9"/>
    </row>
    <row r="263" spans="1:9" x14ac:dyDescent="0.2">
      <c r="A263" s="9"/>
      <c r="B263" s="9"/>
      <c r="C263" s="9"/>
      <c r="D263" s="9"/>
      <c r="E263" s="9"/>
      <c r="F263" s="9"/>
      <c r="G263" s="9"/>
      <c r="H263" s="9"/>
      <c r="I263" s="9"/>
    </row>
    <row r="264" spans="1:9" x14ac:dyDescent="0.2">
      <c r="A264" s="9"/>
      <c r="B264" s="9"/>
      <c r="C264" s="9"/>
      <c r="D264" s="9"/>
      <c r="E264" s="9"/>
      <c r="F264" s="9"/>
      <c r="G264" s="9"/>
      <c r="H264" s="9"/>
      <c r="I264" s="9"/>
    </row>
    <row r="265" spans="1:9" x14ac:dyDescent="0.2">
      <c r="A265" s="9"/>
      <c r="B265" s="9"/>
      <c r="C265" s="9"/>
      <c r="D265" s="9"/>
      <c r="E265" s="9"/>
      <c r="F265" s="9"/>
      <c r="G265" s="9"/>
      <c r="H265" s="9"/>
      <c r="I265" s="9"/>
    </row>
    <row r="266" spans="1:9" x14ac:dyDescent="0.2">
      <c r="A266" s="9"/>
      <c r="B266" s="9"/>
      <c r="C266" s="9"/>
      <c r="D266" s="9"/>
      <c r="E266" s="9"/>
      <c r="F266" s="9"/>
      <c r="G266" s="9"/>
      <c r="H266" s="9"/>
      <c r="I266" s="9"/>
    </row>
    <row r="267" spans="1:9" x14ac:dyDescent="0.2">
      <c r="A267" s="9"/>
      <c r="B267" s="9"/>
      <c r="C267" s="9"/>
      <c r="D267" s="9"/>
      <c r="E267" s="9"/>
      <c r="F267" s="9"/>
      <c r="G267" s="9"/>
      <c r="H267" s="9"/>
      <c r="I267" s="9"/>
    </row>
    <row r="268" spans="1:9" x14ac:dyDescent="0.2">
      <c r="A268" s="9"/>
      <c r="B268" s="9"/>
      <c r="C268" s="9"/>
      <c r="D268" s="9"/>
      <c r="E268" s="9"/>
      <c r="F268" s="9"/>
      <c r="G268" s="9"/>
      <c r="H268" s="9"/>
      <c r="I268" s="9"/>
    </row>
    <row r="269" spans="1:9" x14ac:dyDescent="0.2">
      <c r="A269" s="9"/>
      <c r="B269" s="9"/>
      <c r="C269" s="9"/>
      <c r="D269" s="9"/>
      <c r="E269" s="9"/>
      <c r="F269" s="9"/>
      <c r="G269" s="9"/>
      <c r="H269" s="9"/>
      <c r="I269" s="9"/>
    </row>
    <row r="270" spans="1:9" x14ac:dyDescent="0.2">
      <c r="A270" s="9"/>
      <c r="B270" s="9"/>
      <c r="C270" s="9"/>
      <c r="D270" s="9"/>
      <c r="E270" s="9"/>
      <c r="F270" s="9"/>
      <c r="G270" s="9"/>
      <c r="H270" s="9"/>
      <c r="I270" s="9"/>
    </row>
    <row r="271" spans="1:9" x14ac:dyDescent="0.2">
      <c r="A271" s="9"/>
      <c r="B271" s="9"/>
      <c r="C271" s="9"/>
      <c r="D271" s="9"/>
      <c r="E271" s="9"/>
      <c r="F271" s="9"/>
      <c r="G271" s="9"/>
      <c r="H271" s="9"/>
      <c r="I271" s="9"/>
    </row>
    <row r="272" spans="1:9" x14ac:dyDescent="0.2">
      <c r="A272" s="9"/>
      <c r="B272" s="9"/>
      <c r="C272" s="9"/>
      <c r="D272" s="9"/>
      <c r="E272" s="9"/>
      <c r="F272" s="9"/>
      <c r="G272" s="9"/>
      <c r="H272" s="9"/>
      <c r="I272" s="9"/>
    </row>
    <row r="273" spans="1:9" x14ac:dyDescent="0.2">
      <c r="A273" s="9"/>
      <c r="B273" s="9"/>
      <c r="C273" s="9"/>
      <c r="D273" s="9"/>
      <c r="E273" s="9"/>
      <c r="F273" s="9"/>
      <c r="G273" s="9"/>
      <c r="H273" s="9"/>
      <c r="I273" s="9"/>
    </row>
    <row r="274" spans="1:9" x14ac:dyDescent="0.2">
      <c r="A274" s="9"/>
      <c r="B274" s="9"/>
      <c r="C274" s="9"/>
      <c r="D274" s="9"/>
      <c r="E274" s="9"/>
      <c r="F274" s="9"/>
      <c r="G274" s="9"/>
      <c r="H274" s="9"/>
      <c r="I274" s="9"/>
    </row>
    <row r="275" spans="1:9" x14ac:dyDescent="0.2">
      <c r="A275" s="9"/>
      <c r="B275" s="9"/>
      <c r="C275" s="9"/>
      <c r="D275" s="9"/>
      <c r="E275" s="9"/>
      <c r="F275" s="9"/>
      <c r="G275" s="9"/>
      <c r="H275" s="9"/>
      <c r="I275" s="9"/>
    </row>
    <row r="276" spans="1:9" x14ac:dyDescent="0.2">
      <c r="A276" s="9"/>
      <c r="B276" s="9"/>
      <c r="C276" s="9"/>
      <c r="D276" s="9"/>
      <c r="E276" s="9"/>
      <c r="F276" s="9"/>
      <c r="G276" s="9"/>
      <c r="H276" s="9"/>
      <c r="I276" s="9"/>
    </row>
    <row r="277" spans="1:9" x14ac:dyDescent="0.2">
      <c r="A277" s="9"/>
      <c r="B277" s="9"/>
      <c r="C277" s="9"/>
      <c r="D277" s="9"/>
      <c r="E277" s="9"/>
      <c r="F277" s="9"/>
      <c r="G277" s="9"/>
      <c r="H277" s="9"/>
      <c r="I277" s="9"/>
    </row>
    <row r="278" spans="1:9" x14ac:dyDescent="0.2">
      <c r="A278" s="9"/>
      <c r="B278" s="9"/>
      <c r="C278" s="9"/>
      <c r="D278" s="9"/>
      <c r="E278" s="9"/>
      <c r="F278" s="9"/>
      <c r="G278" s="9"/>
      <c r="H278" s="9"/>
      <c r="I278" s="9"/>
    </row>
    <row r="279" spans="1:9" x14ac:dyDescent="0.2">
      <c r="A279" s="9"/>
      <c r="B279" s="9"/>
      <c r="C279" s="9"/>
      <c r="D279" s="9"/>
      <c r="E279" s="9"/>
      <c r="F279" s="9"/>
      <c r="G279" s="9"/>
      <c r="H279" s="9"/>
      <c r="I279" s="9"/>
    </row>
    <row r="280" spans="1:9" x14ac:dyDescent="0.2">
      <c r="A280" s="9"/>
      <c r="B280" s="9"/>
      <c r="C280" s="9"/>
      <c r="D280" s="9"/>
      <c r="E280" s="9"/>
      <c r="F280" s="9"/>
      <c r="G280" s="9"/>
      <c r="H280" s="9"/>
      <c r="I280" s="9"/>
    </row>
    <row r="281" spans="1:9" x14ac:dyDescent="0.2">
      <c r="A281" s="9"/>
      <c r="B281" s="9"/>
      <c r="C281" s="9"/>
      <c r="D281" s="9"/>
      <c r="E281" s="9"/>
      <c r="F281" s="9"/>
      <c r="G281" s="9"/>
      <c r="H281" s="9"/>
      <c r="I281" s="9"/>
    </row>
    <row r="282" spans="1:9" x14ac:dyDescent="0.2">
      <c r="A282" s="9"/>
      <c r="B282" s="9"/>
      <c r="C282" s="9"/>
      <c r="D282" s="9"/>
      <c r="E282" s="9"/>
      <c r="F282" s="9"/>
      <c r="G282" s="9"/>
      <c r="H282" s="9"/>
      <c r="I282" s="9"/>
    </row>
    <row r="283" spans="1:9" x14ac:dyDescent="0.2">
      <c r="A283" s="9"/>
      <c r="B283" s="9"/>
      <c r="C283" s="9"/>
      <c r="D283" s="9"/>
      <c r="E283" s="9"/>
      <c r="F283" s="9"/>
      <c r="G283" s="9"/>
      <c r="H283" s="9"/>
      <c r="I283" s="9"/>
    </row>
    <row r="284" spans="1:9" x14ac:dyDescent="0.2">
      <c r="A284" s="9"/>
      <c r="B284" s="9"/>
      <c r="C284" s="9"/>
      <c r="D284" s="9"/>
      <c r="E284" s="9"/>
      <c r="F284" s="9"/>
      <c r="G284" s="9"/>
      <c r="H284" s="9"/>
      <c r="I284" s="9"/>
    </row>
    <row r="285" spans="1:9" x14ac:dyDescent="0.2">
      <c r="A285" s="9"/>
      <c r="B285" s="9"/>
      <c r="C285" s="9"/>
      <c r="D285" s="9"/>
      <c r="E285" s="9"/>
      <c r="F285" s="9"/>
      <c r="G285" s="9"/>
      <c r="H285" s="9"/>
      <c r="I285" s="9"/>
    </row>
    <row r="286" spans="1:9" x14ac:dyDescent="0.2">
      <c r="A286" s="9"/>
      <c r="B286" s="9"/>
      <c r="C286" s="9"/>
      <c r="D286" s="9"/>
      <c r="E286" s="9"/>
      <c r="F286" s="9"/>
      <c r="G286" s="9"/>
      <c r="H286" s="9"/>
      <c r="I286" s="9"/>
    </row>
    <row r="287" spans="1:9" x14ac:dyDescent="0.2">
      <c r="A287" s="9"/>
      <c r="B287" s="9"/>
      <c r="C287" s="9"/>
      <c r="D287" s="9"/>
      <c r="E287" s="9"/>
      <c r="F287" s="9"/>
      <c r="G287" s="9"/>
      <c r="H287" s="9"/>
      <c r="I287" s="9"/>
    </row>
    <row r="288" spans="1:9" x14ac:dyDescent="0.2">
      <c r="A288" s="9"/>
      <c r="B288" s="9"/>
      <c r="C288" s="9"/>
      <c r="D288" s="9"/>
      <c r="E288" s="9"/>
      <c r="F288" s="9"/>
      <c r="G288" s="9"/>
      <c r="H288" s="9"/>
      <c r="I288" s="9"/>
    </row>
    <row r="289" spans="1:9" x14ac:dyDescent="0.2">
      <c r="A289" s="9"/>
      <c r="B289" s="9"/>
      <c r="C289" s="9"/>
      <c r="D289" s="9"/>
      <c r="E289" s="9"/>
      <c r="F289" s="9"/>
      <c r="G289" s="9"/>
      <c r="H289" s="9"/>
      <c r="I289" s="9"/>
    </row>
    <row r="290" spans="1:9" x14ac:dyDescent="0.2">
      <c r="A290" s="9"/>
      <c r="B290" s="9"/>
      <c r="C290" s="9"/>
      <c r="D290" s="9"/>
      <c r="E290" s="9"/>
      <c r="F290" s="9"/>
      <c r="G290" s="9"/>
      <c r="H290" s="9"/>
      <c r="I290" s="9"/>
    </row>
    <row r="291" spans="1:9" x14ac:dyDescent="0.2">
      <c r="A291" s="9"/>
      <c r="B291" s="9"/>
      <c r="C291" s="9"/>
      <c r="D291" s="9"/>
      <c r="E291" s="9"/>
      <c r="F291" s="9"/>
      <c r="G291" s="9"/>
      <c r="H291" s="9"/>
      <c r="I291" s="9"/>
    </row>
    <row r="292" spans="1:9" x14ac:dyDescent="0.2">
      <c r="A292" s="9"/>
      <c r="B292" s="9"/>
      <c r="C292" s="9"/>
      <c r="D292" s="9"/>
      <c r="E292" s="9"/>
      <c r="F292" s="9"/>
      <c r="G292" s="9"/>
      <c r="H292" s="9"/>
      <c r="I292" s="9"/>
    </row>
    <row r="293" spans="1:9" x14ac:dyDescent="0.2">
      <c r="A293" s="9"/>
      <c r="B293" s="9"/>
      <c r="C293" s="9"/>
      <c r="D293" s="9"/>
      <c r="E293" s="9"/>
      <c r="F293" s="9"/>
      <c r="G293" s="9"/>
      <c r="H293" s="9"/>
      <c r="I293" s="9"/>
    </row>
    <row r="294" spans="1:9" x14ac:dyDescent="0.2">
      <c r="A294" s="9"/>
      <c r="B294" s="9"/>
      <c r="C294" s="9"/>
      <c r="D294" s="9"/>
      <c r="E294" s="9"/>
      <c r="F294" s="9"/>
      <c r="G294" s="9"/>
      <c r="H294" s="9"/>
      <c r="I294" s="9"/>
    </row>
    <row r="295" spans="1:9" x14ac:dyDescent="0.2">
      <c r="A295" s="9"/>
      <c r="B295" s="9"/>
      <c r="C295" s="9"/>
      <c r="D295" s="9"/>
      <c r="E295" s="9"/>
      <c r="F295" s="9"/>
      <c r="G295" s="9"/>
      <c r="H295" s="9"/>
      <c r="I295" s="9"/>
    </row>
    <row r="296" spans="1:9" x14ac:dyDescent="0.2">
      <c r="A296" s="9"/>
      <c r="B296" s="9"/>
      <c r="C296" s="9"/>
      <c r="D296" s="9"/>
      <c r="E296" s="9"/>
      <c r="F296" s="9"/>
      <c r="G296" s="9"/>
      <c r="H296" s="9"/>
      <c r="I296" s="9"/>
    </row>
    <row r="297" spans="1:9" x14ac:dyDescent="0.2">
      <c r="A297" s="9"/>
      <c r="B297" s="9"/>
      <c r="C297" s="9"/>
      <c r="D297" s="9"/>
      <c r="E297" s="9"/>
      <c r="F297" s="9"/>
      <c r="G297" s="9"/>
      <c r="H297" s="9"/>
      <c r="I297" s="9"/>
    </row>
    <row r="298" spans="1:9" x14ac:dyDescent="0.2">
      <c r="A298" s="9"/>
      <c r="B298" s="9"/>
      <c r="C298" s="9"/>
      <c r="D298" s="9"/>
      <c r="E298" s="9"/>
      <c r="F298" s="9"/>
      <c r="G298" s="9"/>
      <c r="H298" s="9"/>
      <c r="I298" s="9"/>
    </row>
    <row r="299" spans="1:9" x14ac:dyDescent="0.2">
      <c r="A299" s="9"/>
      <c r="B299" s="9"/>
      <c r="C299" s="9"/>
      <c r="D299" s="9"/>
      <c r="E299" s="9"/>
      <c r="F299" s="9"/>
      <c r="G299" s="9"/>
      <c r="H299" s="9"/>
      <c r="I299" s="9"/>
    </row>
    <row r="300" spans="1:9" x14ac:dyDescent="0.2">
      <c r="A300" s="9"/>
      <c r="B300" s="9"/>
      <c r="C300" s="9"/>
      <c r="D300" s="9"/>
      <c r="E300" s="9"/>
      <c r="F300" s="9"/>
      <c r="G300" s="9"/>
      <c r="H300" s="9"/>
      <c r="I300" s="9"/>
    </row>
    <row r="301" spans="1:9" x14ac:dyDescent="0.2">
      <c r="A301" s="9"/>
      <c r="B301" s="9"/>
      <c r="C301" s="9"/>
      <c r="D301" s="9"/>
      <c r="E301" s="9"/>
      <c r="F301" s="9"/>
      <c r="G301" s="9"/>
      <c r="H301" s="9"/>
      <c r="I301" s="9"/>
    </row>
    <row r="302" spans="1:9" x14ac:dyDescent="0.2">
      <c r="A302" s="9"/>
      <c r="B302" s="9"/>
      <c r="C302" s="9"/>
      <c r="D302" s="9"/>
      <c r="E302" s="9"/>
      <c r="F302" s="9"/>
      <c r="G302" s="9"/>
      <c r="H302" s="9"/>
      <c r="I302" s="9"/>
    </row>
  </sheetData>
  <mergeCells count="5">
    <mergeCell ref="A4:A5"/>
    <mergeCell ref="A1:I1"/>
    <mergeCell ref="A2:I2"/>
    <mergeCell ref="B4:B5"/>
    <mergeCell ref="C4:I4"/>
  </mergeCells>
  <printOptions horizontalCentered="1"/>
  <pageMargins left="0.19685039370078741" right="0.19685039370078741" top="0.70866141732283472" bottom="0.19685039370078741" header="0.31496062992125984" footer="0.51181102362204722"/>
  <pageSetup paperSize="9" firstPageNumber="22" orientation="landscape" useFirstPageNumber="1" r:id="rId1"/>
  <headerFooter alignWithMargins="0">
    <oddHeader>&amp;C&amp;"Arial,обычный"&amp;10&amp;P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S302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3" sqref="A3:I3"/>
    </sheetView>
  </sheetViews>
  <sheetFormatPr defaultRowHeight="14.25" x14ac:dyDescent="0.2"/>
  <cols>
    <col min="1" max="1" width="40.140625" style="5" customWidth="1"/>
    <col min="2" max="2" width="11.7109375" style="5" customWidth="1"/>
    <col min="3" max="3" width="15" style="5" customWidth="1"/>
    <col min="4" max="4" width="13.140625" style="5" customWidth="1"/>
    <col min="5" max="5" width="12.85546875" style="5" customWidth="1"/>
    <col min="6" max="6" width="13.5703125" style="5" customWidth="1"/>
    <col min="7" max="7" width="12.140625" style="5" customWidth="1"/>
    <col min="8" max="8" width="12.7109375" style="5" customWidth="1"/>
    <col min="9" max="9" width="12" style="5" customWidth="1"/>
    <col min="10" max="10" width="6" style="9" customWidth="1"/>
    <col min="11" max="16384" width="9.140625" style="9"/>
  </cols>
  <sheetData>
    <row r="1" spans="1:19" s="8" customFormat="1" ht="15" x14ac:dyDescent="0.25">
      <c r="A1" s="531" t="s">
        <v>265</v>
      </c>
      <c r="B1" s="531"/>
      <c r="C1" s="483"/>
      <c r="D1" s="483"/>
      <c r="E1" s="483"/>
      <c r="F1" s="483"/>
      <c r="G1" s="483"/>
      <c r="H1" s="483"/>
      <c r="I1" s="483"/>
    </row>
    <row r="2" spans="1:19" s="8" customFormat="1" ht="15" x14ac:dyDescent="0.25">
      <c r="A2" s="525" t="s">
        <v>350</v>
      </c>
      <c r="B2" s="525"/>
      <c r="C2" s="483"/>
      <c r="D2" s="483" t="s">
        <v>141</v>
      </c>
      <c r="E2" s="483" t="s">
        <v>142</v>
      </c>
      <c r="F2" s="483"/>
      <c r="G2" s="483"/>
      <c r="H2" s="483"/>
      <c r="I2" s="483"/>
    </row>
    <row r="3" spans="1:19" x14ac:dyDescent="0.2">
      <c r="A3" s="532" t="s">
        <v>327</v>
      </c>
      <c r="B3" s="532"/>
      <c r="C3" s="532"/>
      <c r="D3" s="532"/>
      <c r="E3" s="532"/>
      <c r="F3" s="532"/>
      <c r="G3" s="532"/>
      <c r="H3" s="532"/>
      <c r="I3" s="532"/>
    </row>
    <row r="4" spans="1:19" x14ac:dyDescent="0.2">
      <c r="A4" s="524"/>
      <c r="B4" s="526" t="s">
        <v>323</v>
      </c>
      <c r="C4" s="528" t="s">
        <v>324</v>
      </c>
      <c r="D4" s="529"/>
      <c r="E4" s="529"/>
      <c r="F4" s="529"/>
      <c r="G4" s="529"/>
      <c r="H4" s="529"/>
      <c r="I4" s="530"/>
    </row>
    <row r="5" spans="1:19" ht="52.5" customHeight="1" x14ac:dyDescent="0.2">
      <c r="A5" s="524"/>
      <c r="B5" s="527"/>
      <c r="C5" s="236" t="s">
        <v>143</v>
      </c>
      <c r="D5" s="236" t="s">
        <v>144</v>
      </c>
      <c r="E5" s="236" t="s">
        <v>291</v>
      </c>
      <c r="F5" s="236" t="s">
        <v>146</v>
      </c>
      <c r="G5" s="236" t="s">
        <v>147</v>
      </c>
      <c r="H5" s="236" t="s">
        <v>148</v>
      </c>
      <c r="I5" s="236" t="s">
        <v>149</v>
      </c>
    </row>
    <row r="6" spans="1:19" s="8" customFormat="1" ht="17.25" customHeight="1" x14ac:dyDescent="0.25">
      <c r="A6" s="200" t="s">
        <v>13</v>
      </c>
      <c r="B6" s="388">
        <v>1225.3</v>
      </c>
      <c r="C6" s="389">
        <v>22.428999999999998</v>
      </c>
      <c r="D6" s="460">
        <v>5.1349999999999998</v>
      </c>
      <c r="E6" s="390">
        <v>203.52199999999999</v>
      </c>
      <c r="F6" s="390">
        <v>573.16700000000003</v>
      </c>
      <c r="G6" s="390">
        <v>40.329000000000001</v>
      </c>
      <c r="H6" s="390">
        <v>66.957999999999998</v>
      </c>
      <c r="I6" s="390">
        <v>93.778000000000006</v>
      </c>
      <c r="L6" s="422"/>
      <c r="M6" s="422"/>
      <c r="N6" s="422"/>
      <c r="O6" s="422"/>
      <c r="P6" s="422"/>
      <c r="Q6" s="422"/>
      <c r="R6" s="422"/>
      <c r="S6" s="422"/>
    </row>
    <row r="7" spans="1:19" s="8" customFormat="1" ht="12.95" customHeight="1" x14ac:dyDescent="0.25">
      <c r="A7" s="201" t="s">
        <v>14</v>
      </c>
      <c r="B7" s="391">
        <v>1260.576</v>
      </c>
      <c r="C7" s="389">
        <v>11.255000000000001</v>
      </c>
      <c r="D7" s="460">
        <v>2.2509999999999999</v>
      </c>
      <c r="E7" s="390">
        <v>211.47900000000001</v>
      </c>
      <c r="F7" s="390">
        <v>577.29300000000001</v>
      </c>
      <c r="G7" s="390">
        <v>37.715000000000003</v>
      </c>
      <c r="H7" s="390">
        <v>65.295000000000002</v>
      </c>
      <c r="I7" s="390">
        <v>79.665999999999997</v>
      </c>
      <c r="L7" s="422"/>
      <c r="M7" s="422"/>
      <c r="N7" s="422"/>
      <c r="O7" s="422"/>
      <c r="P7" s="422"/>
      <c r="Q7" s="422"/>
      <c r="R7" s="422"/>
      <c r="S7" s="422"/>
    </row>
    <row r="8" spans="1:19" ht="12.95" customHeight="1" x14ac:dyDescent="0.25">
      <c r="A8" s="202" t="s">
        <v>15</v>
      </c>
      <c r="B8" s="393">
        <v>1334.51</v>
      </c>
      <c r="C8" s="392">
        <v>5.2320000000000002</v>
      </c>
      <c r="D8" s="459">
        <v>0.64600000000000002</v>
      </c>
      <c r="E8" s="394">
        <v>184.07499999999999</v>
      </c>
      <c r="F8" s="394">
        <v>664.67100000000005</v>
      </c>
      <c r="G8" s="394">
        <v>55.674999999999997</v>
      </c>
      <c r="H8" s="394">
        <v>59.679000000000002</v>
      </c>
      <c r="I8" s="394">
        <v>75.114999999999995</v>
      </c>
      <c r="L8" s="422"/>
      <c r="M8" s="422"/>
      <c r="N8" s="422"/>
      <c r="O8" s="422"/>
      <c r="P8" s="422"/>
      <c r="Q8" s="422"/>
      <c r="R8" s="422"/>
      <c r="S8" s="422"/>
    </row>
    <row r="9" spans="1:19" ht="12.95" customHeight="1" x14ac:dyDescent="0.25">
      <c r="A9" s="202" t="s">
        <v>16</v>
      </c>
      <c r="B9" s="393">
        <v>1472.4090000000001</v>
      </c>
      <c r="C9" s="392">
        <v>10.449</v>
      </c>
      <c r="D9" s="459">
        <v>4.2629999999999999</v>
      </c>
      <c r="E9" s="394">
        <v>246.92</v>
      </c>
      <c r="F9" s="394">
        <v>703.39599999999996</v>
      </c>
      <c r="G9" s="394">
        <v>65.867999999999995</v>
      </c>
      <c r="H9" s="394">
        <v>85.510999999999996</v>
      </c>
      <c r="I9" s="394">
        <v>102.479</v>
      </c>
      <c r="L9" s="422"/>
      <c r="M9" s="422"/>
      <c r="N9" s="422"/>
      <c r="O9" s="422"/>
      <c r="P9" s="422"/>
      <c r="Q9" s="422"/>
      <c r="R9" s="422"/>
      <c r="S9" s="422"/>
    </row>
    <row r="10" spans="1:19" ht="12.95" customHeight="1" x14ac:dyDescent="0.25">
      <c r="A10" s="202" t="s">
        <v>17</v>
      </c>
      <c r="B10" s="393">
        <v>1555.1610000000001</v>
      </c>
      <c r="C10" s="392">
        <v>11.379</v>
      </c>
      <c r="D10" s="459">
        <v>2.3490000000000002</v>
      </c>
      <c r="E10" s="394">
        <v>252.916</v>
      </c>
      <c r="F10" s="394">
        <v>795.01700000000005</v>
      </c>
      <c r="G10" s="394">
        <v>46.765999999999998</v>
      </c>
      <c r="H10" s="394">
        <v>114.822</v>
      </c>
      <c r="I10" s="394">
        <v>102.782</v>
      </c>
      <c r="L10" s="422"/>
      <c r="M10" s="422"/>
      <c r="N10" s="422"/>
      <c r="O10" s="422"/>
      <c r="P10" s="422"/>
      <c r="Q10" s="422"/>
      <c r="R10" s="422"/>
      <c r="S10" s="422"/>
    </row>
    <row r="11" spans="1:19" ht="12.95" customHeight="1" x14ac:dyDescent="0.25">
      <c r="A11" s="202" t="s">
        <v>18</v>
      </c>
      <c r="B11" s="393">
        <v>1413.664</v>
      </c>
      <c r="C11" s="392">
        <v>6.8360000000000003</v>
      </c>
      <c r="D11" s="459">
        <v>2.0640000000000001</v>
      </c>
      <c r="E11" s="394">
        <v>179.363</v>
      </c>
      <c r="F11" s="394">
        <v>601.41499999999996</v>
      </c>
      <c r="G11" s="394">
        <v>32.201000000000001</v>
      </c>
      <c r="H11" s="394">
        <v>52.363999999999997</v>
      </c>
      <c r="I11" s="394">
        <v>80.61</v>
      </c>
      <c r="L11" s="422"/>
      <c r="M11" s="422"/>
      <c r="N11" s="422"/>
      <c r="O11" s="422"/>
      <c r="P11" s="422"/>
      <c r="Q11" s="422"/>
      <c r="R11" s="422"/>
      <c r="S11" s="422"/>
    </row>
    <row r="12" spans="1:19" ht="12.95" customHeight="1" x14ac:dyDescent="0.25">
      <c r="A12" s="202" t="s">
        <v>19</v>
      </c>
      <c r="B12" s="393">
        <v>1578.8610000000001</v>
      </c>
      <c r="C12" s="392">
        <v>14.291</v>
      </c>
      <c r="D12" s="459">
        <v>1.899</v>
      </c>
      <c r="E12" s="394">
        <v>230.24799999999999</v>
      </c>
      <c r="F12" s="394">
        <v>630.18499999999995</v>
      </c>
      <c r="G12" s="394">
        <v>50.667000000000002</v>
      </c>
      <c r="H12" s="394">
        <v>103.232</v>
      </c>
      <c r="I12" s="394">
        <v>88.242000000000004</v>
      </c>
      <c r="L12" s="422"/>
      <c r="M12" s="422"/>
      <c r="N12" s="422"/>
      <c r="O12" s="422"/>
      <c r="P12" s="422"/>
      <c r="Q12" s="422"/>
      <c r="R12" s="422"/>
      <c r="S12" s="422"/>
    </row>
    <row r="13" spans="1:19" ht="12.95" customHeight="1" x14ac:dyDescent="0.25">
      <c r="A13" s="202" t="s">
        <v>20</v>
      </c>
      <c r="B13" s="393">
        <v>1456.8910000000001</v>
      </c>
      <c r="C13" s="392">
        <v>13.122</v>
      </c>
      <c r="D13" s="459">
        <v>0.99399999999999999</v>
      </c>
      <c r="E13" s="394">
        <v>237.381</v>
      </c>
      <c r="F13" s="394">
        <v>702.202</v>
      </c>
      <c r="G13" s="394">
        <v>64.813000000000002</v>
      </c>
      <c r="H13" s="394">
        <v>80.022000000000006</v>
      </c>
      <c r="I13" s="394">
        <v>101.49299999999999</v>
      </c>
      <c r="L13" s="422"/>
      <c r="M13" s="422"/>
      <c r="N13" s="422"/>
      <c r="O13" s="422"/>
      <c r="P13" s="422"/>
      <c r="Q13" s="422"/>
      <c r="R13" s="422"/>
      <c r="S13" s="422"/>
    </row>
    <row r="14" spans="1:19" ht="12.95" customHeight="1" x14ac:dyDescent="0.25">
      <c r="A14" s="203" t="s">
        <v>21</v>
      </c>
      <c r="B14" s="395">
        <v>1469.6389999999999</v>
      </c>
      <c r="C14" s="392">
        <v>7.7130000000000001</v>
      </c>
      <c r="D14" s="459">
        <v>0.63</v>
      </c>
      <c r="E14" s="394">
        <v>255.774</v>
      </c>
      <c r="F14" s="394">
        <v>787.15499999999997</v>
      </c>
      <c r="G14" s="394">
        <v>33.841000000000001</v>
      </c>
      <c r="H14" s="394">
        <v>76.180999999999997</v>
      </c>
      <c r="I14" s="394">
        <v>92.394000000000005</v>
      </c>
      <c r="L14" s="422"/>
      <c r="M14" s="422"/>
      <c r="N14" s="422"/>
      <c r="O14" s="422"/>
      <c r="P14" s="422"/>
      <c r="Q14" s="422"/>
      <c r="R14" s="422"/>
      <c r="S14" s="422"/>
    </row>
    <row r="15" spans="1:19" ht="12.95" customHeight="1" x14ac:dyDescent="0.25">
      <c r="A15" s="202" t="s">
        <v>22</v>
      </c>
      <c r="B15" s="393">
        <v>1498.1130000000001</v>
      </c>
      <c r="C15" s="392">
        <v>7.508</v>
      </c>
      <c r="D15" s="459">
        <v>4.1609999999999996</v>
      </c>
      <c r="E15" s="394">
        <v>238.43899999999999</v>
      </c>
      <c r="F15" s="394">
        <v>689.899</v>
      </c>
      <c r="G15" s="394">
        <v>77.700999999999993</v>
      </c>
      <c r="H15" s="394">
        <v>73.540000000000006</v>
      </c>
      <c r="I15" s="394">
        <v>89.822000000000003</v>
      </c>
      <c r="L15" s="422"/>
      <c r="M15" s="422"/>
      <c r="N15" s="422"/>
      <c r="O15" s="422"/>
      <c r="P15" s="422"/>
      <c r="Q15" s="422"/>
      <c r="R15" s="422"/>
      <c r="S15" s="422"/>
    </row>
    <row r="16" spans="1:19" ht="12.95" customHeight="1" x14ac:dyDescent="0.25">
      <c r="A16" s="202" t="s">
        <v>23</v>
      </c>
      <c r="B16" s="393">
        <v>1426.903</v>
      </c>
      <c r="C16" s="392">
        <v>4.117</v>
      </c>
      <c r="D16" s="459">
        <v>1.4890000000000001</v>
      </c>
      <c r="E16" s="394">
        <v>188.578</v>
      </c>
      <c r="F16" s="394">
        <v>571.33900000000006</v>
      </c>
      <c r="G16" s="394">
        <v>54.13</v>
      </c>
      <c r="H16" s="394">
        <v>56.406999999999996</v>
      </c>
      <c r="I16" s="394">
        <v>97.835999999999999</v>
      </c>
      <c r="L16" s="422"/>
      <c r="M16" s="422"/>
      <c r="N16" s="422"/>
      <c r="O16" s="422"/>
      <c r="P16" s="422"/>
      <c r="Q16" s="422"/>
      <c r="R16" s="422"/>
      <c r="S16" s="422"/>
    </row>
    <row r="17" spans="1:19" ht="12.95" customHeight="1" x14ac:dyDescent="0.25">
      <c r="A17" s="202" t="s">
        <v>24</v>
      </c>
      <c r="B17" s="393">
        <v>1196.1410000000001</v>
      </c>
      <c r="C17" s="392">
        <v>12.282</v>
      </c>
      <c r="D17" s="459">
        <v>2.0139999999999998</v>
      </c>
      <c r="E17" s="394">
        <v>179.01300000000001</v>
      </c>
      <c r="F17" s="394">
        <v>473.73200000000003</v>
      </c>
      <c r="G17" s="394">
        <v>30.908000000000001</v>
      </c>
      <c r="H17" s="394">
        <v>67.466999999999999</v>
      </c>
      <c r="I17" s="394">
        <v>90.918999999999997</v>
      </c>
      <c r="L17" s="422"/>
      <c r="M17" s="422"/>
      <c r="N17" s="422"/>
      <c r="O17" s="422"/>
      <c r="P17" s="422"/>
      <c r="Q17" s="422"/>
      <c r="R17" s="422"/>
      <c r="S17" s="422"/>
    </row>
    <row r="18" spans="1:19" ht="12.95" customHeight="1" x14ac:dyDescent="0.25">
      <c r="A18" s="202" t="s">
        <v>25</v>
      </c>
      <c r="B18" s="393">
        <v>1532.826</v>
      </c>
      <c r="C18" s="392">
        <v>5.5670000000000002</v>
      </c>
      <c r="D18" s="459">
        <v>0.95</v>
      </c>
      <c r="E18" s="394">
        <v>255.81</v>
      </c>
      <c r="F18" s="394">
        <v>874.56200000000001</v>
      </c>
      <c r="G18" s="394">
        <v>47.658999999999999</v>
      </c>
      <c r="H18" s="394">
        <v>96.403999999999996</v>
      </c>
      <c r="I18" s="394">
        <v>83.777000000000001</v>
      </c>
      <c r="L18" s="422"/>
      <c r="M18" s="422"/>
      <c r="N18" s="422"/>
      <c r="O18" s="422"/>
      <c r="P18" s="422"/>
      <c r="Q18" s="422"/>
      <c r="R18" s="422"/>
      <c r="S18" s="422"/>
    </row>
    <row r="19" spans="1:19" ht="12.95" customHeight="1" x14ac:dyDescent="0.25">
      <c r="A19" s="203" t="s">
        <v>26</v>
      </c>
      <c r="B19" s="395">
        <v>1516.25</v>
      </c>
      <c r="C19" s="392">
        <v>7.5570000000000004</v>
      </c>
      <c r="D19" s="459">
        <v>0.45</v>
      </c>
      <c r="E19" s="394">
        <v>207.28899999999999</v>
      </c>
      <c r="F19" s="394">
        <v>609.00099999999998</v>
      </c>
      <c r="G19" s="394">
        <v>54.970999999999997</v>
      </c>
      <c r="H19" s="394">
        <v>83.671000000000006</v>
      </c>
      <c r="I19" s="394">
        <v>95.997</v>
      </c>
      <c r="L19" s="422"/>
      <c r="M19" s="422"/>
      <c r="N19" s="422"/>
      <c r="O19" s="422"/>
      <c r="P19" s="422"/>
      <c r="Q19" s="422"/>
      <c r="R19" s="422"/>
      <c r="S19" s="422"/>
    </row>
    <row r="20" spans="1:19" ht="12.95" customHeight="1" x14ac:dyDescent="0.25">
      <c r="A20" s="202" t="s">
        <v>27</v>
      </c>
      <c r="B20" s="393">
        <v>1511.9970000000001</v>
      </c>
      <c r="C20" s="392">
        <v>17.684999999999999</v>
      </c>
      <c r="D20" s="459">
        <v>8.2029999999999994</v>
      </c>
      <c r="E20" s="394">
        <v>218.298</v>
      </c>
      <c r="F20" s="394">
        <v>716.47299999999996</v>
      </c>
      <c r="G20" s="394">
        <v>45.066000000000003</v>
      </c>
      <c r="H20" s="394">
        <v>81.715000000000003</v>
      </c>
      <c r="I20" s="394">
        <v>111.97199999999999</v>
      </c>
      <c r="L20" s="422"/>
      <c r="M20" s="422"/>
      <c r="N20" s="422"/>
      <c r="O20" s="422"/>
      <c r="P20" s="422"/>
      <c r="Q20" s="422"/>
      <c r="R20" s="422"/>
      <c r="S20" s="422"/>
    </row>
    <row r="21" spans="1:19" s="416" customFormat="1" ht="12.95" customHeight="1" x14ac:dyDescent="0.25">
      <c r="A21" s="411" t="s">
        <v>28</v>
      </c>
      <c r="B21" s="393">
        <v>1501.646</v>
      </c>
      <c r="C21" s="392">
        <v>6.3280000000000003</v>
      </c>
      <c r="D21" s="459">
        <v>1.978</v>
      </c>
      <c r="E21" s="394">
        <v>184.01</v>
      </c>
      <c r="F21" s="394">
        <v>595.43799999999999</v>
      </c>
      <c r="G21" s="394">
        <v>44.89</v>
      </c>
      <c r="H21" s="394">
        <v>64.566999999999993</v>
      </c>
      <c r="I21" s="394">
        <v>91.460999999999999</v>
      </c>
      <c r="L21" s="422"/>
      <c r="M21" s="422"/>
      <c r="N21" s="422"/>
      <c r="O21" s="422"/>
      <c r="P21" s="422"/>
      <c r="Q21" s="422"/>
      <c r="R21" s="422"/>
      <c r="S21" s="422"/>
    </row>
    <row r="22" spans="1:19" ht="12.95" customHeight="1" x14ac:dyDescent="0.25">
      <c r="A22" s="202" t="s">
        <v>29</v>
      </c>
      <c r="B22" s="393">
        <v>1627.7380000000001</v>
      </c>
      <c r="C22" s="392">
        <v>23.161999999999999</v>
      </c>
      <c r="D22" s="459">
        <v>4.585</v>
      </c>
      <c r="E22" s="394">
        <v>252.96299999999999</v>
      </c>
      <c r="F22" s="394">
        <v>763.15800000000002</v>
      </c>
      <c r="G22" s="394">
        <v>51.698999999999998</v>
      </c>
      <c r="H22" s="394">
        <v>94.228999999999999</v>
      </c>
      <c r="I22" s="394">
        <v>111.06699999999999</v>
      </c>
      <c r="L22" s="422"/>
      <c r="M22" s="422"/>
      <c r="N22" s="422"/>
      <c r="O22" s="422"/>
      <c r="P22" s="422"/>
      <c r="Q22" s="422"/>
      <c r="R22" s="422"/>
      <c r="S22" s="422"/>
    </row>
    <row r="23" spans="1:19" ht="12.95" customHeight="1" x14ac:dyDescent="0.25">
      <c r="A23" s="202" t="s">
        <v>30</v>
      </c>
      <c r="B23" s="393">
        <v>1586.04</v>
      </c>
      <c r="C23" s="392">
        <v>15.484</v>
      </c>
      <c r="D23" s="459">
        <v>4.0750000000000002</v>
      </c>
      <c r="E23" s="394">
        <v>254.74199999999999</v>
      </c>
      <c r="F23" s="394">
        <v>683.88400000000001</v>
      </c>
      <c r="G23" s="394">
        <v>53.582999999999998</v>
      </c>
      <c r="H23" s="394">
        <v>106.352</v>
      </c>
      <c r="I23" s="394">
        <v>97.930999999999997</v>
      </c>
      <c r="L23" s="422"/>
      <c r="M23" s="422"/>
      <c r="N23" s="422"/>
      <c r="O23" s="422"/>
      <c r="P23" s="422"/>
      <c r="Q23" s="422"/>
      <c r="R23" s="422"/>
      <c r="S23" s="422"/>
    </row>
    <row r="24" spans="1:19" ht="12.95" customHeight="1" x14ac:dyDescent="0.25">
      <c r="A24" s="202" t="s">
        <v>31</v>
      </c>
      <c r="B24" s="393">
        <v>1465.817</v>
      </c>
      <c r="C24" s="392">
        <v>8.5950000000000006</v>
      </c>
      <c r="D24" s="459">
        <v>3.661</v>
      </c>
      <c r="E24" s="394">
        <v>226.26300000000001</v>
      </c>
      <c r="F24" s="394">
        <v>599.28300000000002</v>
      </c>
      <c r="G24" s="394">
        <v>37.883000000000003</v>
      </c>
      <c r="H24" s="394">
        <v>100.27800000000001</v>
      </c>
      <c r="I24" s="394">
        <v>103.462</v>
      </c>
      <c r="L24" s="422"/>
      <c r="M24" s="422"/>
      <c r="N24" s="422"/>
      <c r="O24" s="422"/>
      <c r="P24" s="422"/>
      <c r="Q24" s="422"/>
      <c r="R24" s="422"/>
      <c r="S24" s="422"/>
    </row>
    <row r="25" spans="1:19" ht="12.95" customHeight="1" x14ac:dyDescent="0.25">
      <c r="A25" s="202" t="s">
        <v>32</v>
      </c>
      <c r="B25" s="393">
        <v>952.19500000000005</v>
      </c>
      <c r="C25" s="392">
        <v>12.161</v>
      </c>
      <c r="D25" s="459">
        <v>1.7629999999999999</v>
      </c>
      <c r="E25" s="394">
        <v>215.31299999999999</v>
      </c>
      <c r="F25" s="394">
        <v>490.35</v>
      </c>
      <c r="G25" s="394">
        <v>22.567</v>
      </c>
      <c r="H25" s="394">
        <v>39.424999999999997</v>
      </c>
      <c r="I25" s="394">
        <v>50.369</v>
      </c>
      <c r="L25" s="422"/>
      <c r="M25" s="422"/>
      <c r="N25" s="422"/>
      <c r="O25" s="422"/>
      <c r="P25" s="422"/>
      <c r="Q25" s="422"/>
      <c r="R25" s="422"/>
      <c r="S25" s="422"/>
    </row>
    <row r="26" spans="1:19" s="8" customFormat="1" ht="12.95" customHeight="1" x14ac:dyDescent="0.25">
      <c r="A26" s="204" t="s">
        <v>33</v>
      </c>
      <c r="B26" s="391">
        <v>1238.854</v>
      </c>
      <c r="C26" s="389">
        <v>17.071000000000002</v>
      </c>
      <c r="D26" s="460">
        <v>2.7330000000000001</v>
      </c>
      <c r="E26" s="390">
        <v>237.13200000000001</v>
      </c>
      <c r="F26" s="390">
        <v>642.56100000000004</v>
      </c>
      <c r="G26" s="390">
        <v>36.267000000000003</v>
      </c>
      <c r="H26" s="390">
        <v>70.745000000000005</v>
      </c>
      <c r="I26" s="390">
        <v>90.956000000000003</v>
      </c>
      <c r="L26" s="422"/>
      <c r="M26" s="422"/>
      <c r="N26" s="422"/>
      <c r="O26" s="422"/>
      <c r="P26" s="422"/>
      <c r="Q26" s="422"/>
      <c r="R26" s="422"/>
      <c r="S26" s="422"/>
    </row>
    <row r="27" spans="1:19" ht="12.95" customHeight="1" x14ac:dyDescent="0.25">
      <c r="A27" s="202" t="s">
        <v>34</v>
      </c>
      <c r="B27" s="393">
        <v>1424.374</v>
      </c>
      <c r="C27" s="392">
        <v>8.7650000000000006</v>
      </c>
      <c r="D27" s="459">
        <v>2.11</v>
      </c>
      <c r="E27" s="394">
        <v>245.43100000000001</v>
      </c>
      <c r="F27" s="394">
        <v>706.91200000000003</v>
      </c>
      <c r="G27" s="394">
        <v>50.643999999999998</v>
      </c>
      <c r="H27" s="394">
        <v>78.725999999999999</v>
      </c>
      <c r="I27" s="394">
        <v>105.185</v>
      </c>
      <c r="L27" s="422"/>
      <c r="M27" s="422"/>
      <c r="N27" s="422"/>
      <c r="O27" s="422"/>
      <c r="P27" s="422"/>
      <c r="Q27" s="422"/>
      <c r="R27" s="422"/>
      <c r="S27" s="422"/>
    </row>
    <row r="28" spans="1:19" ht="12.95" customHeight="1" x14ac:dyDescent="0.25">
      <c r="A28" s="202" t="s">
        <v>35</v>
      </c>
      <c r="B28" s="393">
        <v>1198.395</v>
      </c>
      <c r="C28" s="392">
        <v>10.904</v>
      </c>
      <c r="D28" s="459">
        <v>4.4829999999999997</v>
      </c>
      <c r="E28" s="394">
        <v>208.03200000000001</v>
      </c>
      <c r="F28" s="394">
        <v>558.06399999999996</v>
      </c>
      <c r="G28" s="394">
        <v>42.284999999999997</v>
      </c>
      <c r="H28" s="394">
        <v>96.564999999999998</v>
      </c>
      <c r="I28" s="394">
        <v>133.761</v>
      </c>
      <c r="L28" s="422"/>
      <c r="M28" s="422"/>
      <c r="N28" s="422"/>
      <c r="O28" s="422"/>
      <c r="P28" s="422"/>
      <c r="Q28" s="422"/>
      <c r="R28" s="422"/>
      <c r="S28" s="422"/>
    </row>
    <row r="29" spans="1:19" ht="12.95" customHeight="1" x14ac:dyDescent="0.25">
      <c r="A29" s="202" t="s">
        <v>36</v>
      </c>
      <c r="B29" s="393">
        <v>1299.54</v>
      </c>
      <c r="C29" s="392">
        <v>7.4539999999999997</v>
      </c>
      <c r="D29" s="459">
        <v>1.5780000000000001</v>
      </c>
      <c r="E29" s="394">
        <v>236.33600000000001</v>
      </c>
      <c r="F29" s="394">
        <v>740.40200000000004</v>
      </c>
      <c r="G29" s="394">
        <v>46.127000000000002</v>
      </c>
      <c r="H29" s="394">
        <v>70.944999999999993</v>
      </c>
      <c r="I29" s="394">
        <v>120.57899999999999</v>
      </c>
      <c r="L29" s="422"/>
      <c r="M29" s="422"/>
      <c r="N29" s="422"/>
      <c r="O29" s="422"/>
      <c r="P29" s="422"/>
      <c r="Q29" s="422"/>
      <c r="R29" s="422"/>
      <c r="S29" s="422"/>
    </row>
    <row r="30" spans="1:19" ht="12.95" customHeight="1" x14ac:dyDescent="0.25">
      <c r="A30" s="202" t="s">
        <v>37</v>
      </c>
      <c r="B30" s="393">
        <v>864.226</v>
      </c>
      <c r="C30" s="392">
        <v>6.8230000000000004</v>
      </c>
      <c r="D30" s="459">
        <v>0</v>
      </c>
      <c r="E30" s="394">
        <v>152.37700000000001</v>
      </c>
      <c r="F30" s="394">
        <v>347.96499999999997</v>
      </c>
      <c r="G30" s="394">
        <v>47.76</v>
      </c>
      <c r="H30" s="394">
        <v>120.53700000000001</v>
      </c>
      <c r="I30" s="394">
        <v>122.81100000000001</v>
      </c>
      <c r="L30" s="422"/>
      <c r="M30" s="422"/>
      <c r="N30" s="422"/>
      <c r="O30" s="422"/>
      <c r="P30" s="422"/>
      <c r="Q30" s="422"/>
      <c r="R30" s="422"/>
      <c r="S30" s="422"/>
    </row>
    <row r="31" spans="1:19" ht="12.95" customHeight="1" x14ac:dyDescent="0.25">
      <c r="A31" s="205" t="s">
        <v>287</v>
      </c>
      <c r="B31" s="387">
        <v>1316.998</v>
      </c>
      <c r="C31" s="392">
        <v>7.4790000000000001</v>
      </c>
      <c r="D31" s="459">
        <v>1.6419999999999999</v>
      </c>
      <c r="E31" s="394">
        <v>239.703</v>
      </c>
      <c r="F31" s="394">
        <v>756.14099999999996</v>
      </c>
      <c r="G31" s="394">
        <v>46.061999999999998</v>
      </c>
      <c r="H31" s="394">
        <v>68.956000000000003</v>
      </c>
      <c r="I31" s="394">
        <v>120.49</v>
      </c>
      <c r="L31" s="422"/>
      <c r="M31" s="422"/>
      <c r="N31" s="422"/>
      <c r="O31" s="422"/>
      <c r="P31" s="422"/>
      <c r="Q31" s="422"/>
      <c r="R31" s="422"/>
      <c r="S31" s="422"/>
    </row>
    <row r="32" spans="1:19" ht="12.95" customHeight="1" x14ac:dyDescent="0.25">
      <c r="A32" s="202" t="s">
        <v>38</v>
      </c>
      <c r="B32" s="393">
        <v>1405.9179999999999</v>
      </c>
      <c r="C32" s="392">
        <v>9.3640000000000008</v>
      </c>
      <c r="D32" s="459">
        <v>1.6319999999999999</v>
      </c>
      <c r="E32" s="394">
        <v>230.99799999999999</v>
      </c>
      <c r="F32" s="394">
        <v>708.71500000000003</v>
      </c>
      <c r="G32" s="394">
        <v>53.003</v>
      </c>
      <c r="H32" s="394">
        <v>88.911000000000001</v>
      </c>
      <c r="I32" s="394">
        <v>95.611999999999995</v>
      </c>
      <c r="L32" s="422"/>
      <c r="M32" s="422"/>
      <c r="N32" s="422"/>
      <c r="O32" s="422"/>
      <c r="P32" s="422"/>
      <c r="Q32" s="422"/>
      <c r="R32" s="422"/>
      <c r="S32" s="422"/>
    </row>
    <row r="33" spans="1:19" ht="12.95" customHeight="1" x14ac:dyDescent="0.25">
      <c r="A33" s="202" t="s">
        <v>39</v>
      </c>
      <c r="B33" s="393">
        <v>1184.991</v>
      </c>
      <c r="C33" s="392">
        <v>16.082000000000001</v>
      </c>
      <c r="D33" s="459">
        <v>2.4820000000000002</v>
      </c>
      <c r="E33" s="394">
        <v>215.02</v>
      </c>
      <c r="F33" s="394">
        <v>546.98</v>
      </c>
      <c r="G33" s="394">
        <v>32.262999999999998</v>
      </c>
      <c r="H33" s="394">
        <v>60.356000000000002</v>
      </c>
      <c r="I33" s="394">
        <v>84.975999999999999</v>
      </c>
      <c r="L33" s="422"/>
      <c r="M33" s="422"/>
      <c r="N33" s="422"/>
      <c r="O33" s="422"/>
      <c r="P33" s="422"/>
      <c r="Q33" s="422"/>
      <c r="R33" s="422"/>
      <c r="S33" s="422"/>
    </row>
    <row r="34" spans="1:19" ht="12.95" customHeight="1" x14ac:dyDescent="0.25">
      <c r="A34" s="202" t="s">
        <v>40</v>
      </c>
      <c r="B34" s="393">
        <v>1254.33</v>
      </c>
      <c r="C34" s="392">
        <v>29.379000000000001</v>
      </c>
      <c r="D34" s="459">
        <v>4.1360000000000001</v>
      </c>
      <c r="E34" s="394">
        <v>224.935</v>
      </c>
      <c r="F34" s="394">
        <v>504.33199999999999</v>
      </c>
      <c r="G34" s="394">
        <v>49.305</v>
      </c>
      <c r="H34" s="394">
        <v>90.662000000000006</v>
      </c>
      <c r="I34" s="394">
        <v>116.012</v>
      </c>
      <c r="L34" s="422"/>
      <c r="M34" s="422"/>
      <c r="N34" s="422"/>
      <c r="O34" s="422"/>
      <c r="P34" s="422"/>
      <c r="Q34" s="422"/>
      <c r="R34" s="422"/>
      <c r="S34" s="422"/>
    </row>
    <row r="35" spans="1:19" ht="12.95" customHeight="1" x14ac:dyDescent="0.25">
      <c r="A35" s="202" t="s">
        <v>41</v>
      </c>
      <c r="B35" s="393">
        <v>1136.251</v>
      </c>
      <c r="C35" s="392">
        <v>11.816000000000001</v>
      </c>
      <c r="D35" s="459">
        <v>1.343</v>
      </c>
      <c r="E35" s="394">
        <v>203.161</v>
      </c>
      <c r="F35" s="394">
        <v>592.69799999999998</v>
      </c>
      <c r="G35" s="394">
        <v>19.603999999999999</v>
      </c>
      <c r="H35" s="394">
        <v>76.671999999999997</v>
      </c>
      <c r="I35" s="394">
        <v>112.255</v>
      </c>
      <c r="L35" s="422"/>
      <c r="M35" s="422"/>
      <c r="N35" s="422"/>
      <c r="O35" s="422"/>
      <c r="P35" s="422"/>
      <c r="Q35" s="422"/>
      <c r="R35" s="422"/>
      <c r="S35" s="422"/>
    </row>
    <row r="36" spans="1:19" ht="12.95" customHeight="1" x14ac:dyDescent="0.25">
      <c r="A36" s="202" t="s">
        <v>42</v>
      </c>
      <c r="B36" s="393">
        <v>1637.8620000000001</v>
      </c>
      <c r="C36" s="392">
        <v>20.053000000000001</v>
      </c>
      <c r="D36" s="459">
        <v>2.0049999999999999</v>
      </c>
      <c r="E36" s="394">
        <v>218.749</v>
      </c>
      <c r="F36" s="394">
        <v>815.00400000000002</v>
      </c>
      <c r="G36" s="394">
        <v>71.524000000000001</v>
      </c>
      <c r="H36" s="394">
        <v>120.488</v>
      </c>
      <c r="I36" s="394">
        <v>115.976</v>
      </c>
      <c r="L36" s="422"/>
      <c r="M36" s="422"/>
      <c r="N36" s="422"/>
      <c r="O36" s="422"/>
      <c r="P36" s="422"/>
      <c r="Q36" s="422"/>
      <c r="R36" s="422"/>
      <c r="S36" s="422"/>
    </row>
    <row r="37" spans="1:19" ht="12.95" customHeight="1" x14ac:dyDescent="0.25">
      <c r="A37" s="202" t="s">
        <v>43</v>
      </c>
      <c r="B37" s="393">
        <v>1683.7529999999999</v>
      </c>
      <c r="C37" s="410">
        <v>9.0779999999999994</v>
      </c>
      <c r="D37" s="459">
        <v>4.6189999999999998</v>
      </c>
      <c r="E37" s="394">
        <v>263.10599999999999</v>
      </c>
      <c r="F37" s="394">
        <v>1070.104</v>
      </c>
      <c r="G37" s="394">
        <v>65.936000000000007</v>
      </c>
      <c r="H37" s="394">
        <v>90.941000000000003</v>
      </c>
      <c r="I37" s="394">
        <v>116.104</v>
      </c>
      <c r="L37" s="422"/>
      <c r="M37" s="422"/>
      <c r="N37" s="422"/>
      <c r="O37" s="422"/>
      <c r="P37" s="422"/>
      <c r="Q37" s="422"/>
      <c r="R37" s="422"/>
      <c r="S37" s="422"/>
    </row>
    <row r="38" spans="1:19" s="8" customFormat="1" ht="12.95" customHeight="1" x14ac:dyDescent="0.25">
      <c r="A38" s="202" t="s">
        <v>44</v>
      </c>
      <c r="B38" s="393">
        <v>1097.723</v>
      </c>
      <c r="C38" s="392">
        <v>19.922000000000001</v>
      </c>
      <c r="D38" s="459">
        <v>2.6339999999999999</v>
      </c>
      <c r="E38" s="394">
        <v>254.184</v>
      </c>
      <c r="F38" s="394">
        <v>616.71600000000001</v>
      </c>
      <c r="G38" s="394">
        <v>19.18</v>
      </c>
      <c r="H38" s="394">
        <v>48.283999999999999</v>
      </c>
      <c r="I38" s="394">
        <v>59.320999999999998</v>
      </c>
      <c r="L38" s="422"/>
      <c r="M38" s="422"/>
      <c r="N38" s="422"/>
      <c r="O38" s="422"/>
      <c r="P38" s="422"/>
      <c r="Q38" s="422"/>
      <c r="R38" s="422"/>
      <c r="S38" s="422"/>
    </row>
    <row r="39" spans="1:19" s="8" customFormat="1" ht="12.95" customHeight="1" x14ac:dyDescent="0.25">
      <c r="A39" s="206" t="s">
        <v>45</v>
      </c>
      <c r="B39" s="397">
        <v>1279.5260000000001</v>
      </c>
      <c r="C39" s="389">
        <v>20.285</v>
      </c>
      <c r="D39" s="460">
        <v>7.375</v>
      </c>
      <c r="E39" s="390">
        <v>196.39400000000001</v>
      </c>
      <c r="F39" s="390">
        <v>597.41300000000001</v>
      </c>
      <c r="G39" s="390">
        <v>35.661999999999999</v>
      </c>
      <c r="H39" s="390">
        <v>65.721999999999994</v>
      </c>
      <c r="I39" s="390">
        <v>79.397000000000006</v>
      </c>
      <c r="L39" s="422"/>
      <c r="M39" s="422"/>
      <c r="N39" s="422"/>
      <c r="O39" s="422"/>
      <c r="P39" s="422"/>
      <c r="Q39" s="422"/>
      <c r="R39" s="422"/>
      <c r="S39" s="422"/>
    </row>
    <row r="40" spans="1:19" ht="12.95" customHeight="1" x14ac:dyDescent="0.25">
      <c r="A40" s="202" t="s">
        <v>46</v>
      </c>
      <c r="B40" s="393">
        <v>1232.0340000000001</v>
      </c>
      <c r="C40" s="392">
        <v>15.907</v>
      </c>
      <c r="D40" s="459">
        <v>5.23</v>
      </c>
      <c r="E40" s="396">
        <v>207.01</v>
      </c>
      <c r="F40" s="396">
        <v>616.23500000000001</v>
      </c>
      <c r="G40" s="396">
        <v>33.338999999999999</v>
      </c>
      <c r="H40" s="396">
        <v>61.012999999999998</v>
      </c>
      <c r="I40" s="396">
        <v>77.138000000000005</v>
      </c>
      <c r="L40" s="422"/>
      <c r="M40" s="422"/>
      <c r="N40" s="422"/>
      <c r="O40" s="422"/>
      <c r="P40" s="422"/>
      <c r="Q40" s="422"/>
      <c r="R40" s="422"/>
      <c r="S40" s="422"/>
    </row>
    <row r="41" spans="1:19" ht="12.95" customHeight="1" x14ac:dyDescent="0.25">
      <c r="A41" s="202" t="s">
        <v>47</v>
      </c>
      <c r="B41" s="393">
        <v>941.92200000000003</v>
      </c>
      <c r="C41" s="392">
        <v>9.1950000000000003</v>
      </c>
      <c r="D41" s="459">
        <v>6.2530000000000001</v>
      </c>
      <c r="E41" s="394">
        <v>168.08199999999999</v>
      </c>
      <c r="F41" s="394">
        <v>395.37900000000002</v>
      </c>
      <c r="G41" s="394">
        <v>20.963999999999999</v>
      </c>
      <c r="H41" s="394">
        <v>49.283999999999999</v>
      </c>
      <c r="I41" s="394">
        <v>91.948999999999998</v>
      </c>
      <c r="L41" s="422"/>
      <c r="M41" s="422"/>
      <c r="N41" s="422"/>
      <c r="O41" s="422"/>
      <c r="P41" s="422"/>
      <c r="Q41" s="422"/>
      <c r="R41" s="422"/>
      <c r="S41" s="422"/>
    </row>
    <row r="42" spans="1:19" ht="12.95" customHeight="1" x14ac:dyDescent="0.25">
      <c r="A42" s="202" t="s">
        <v>202</v>
      </c>
      <c r="B42" s="393">
        <v>1401.1990000000001</v>
      </c>
      <c r="C42" s="392">
        <v>30.959</v>
      </c>
      <c r="D42" s="459">
        <v>9.6750000000000007</v>
      </c>
      <c r="E42" s="394">
        <v>219.64</v>
      </c>
      <c r="F42" s="394">
        <v>786.31100000000004</v>
      </c>
      <c r="G42" s="394">
        <v>46.124000000000002</v>
      </c>
      <c r="H42" s="394">
        <v>81.370999999999995</v>
      </c>
      <c r="I42" s="394">
        <v>85.869</v>
      </c>
      <c r="L42" s="422"/>
      <c r="M42" s="422"/>
      <c r="N42" s="422"/>
      <c r="O42" s="422"/>
      <c r="P42" s="422"/>
      <c r="Q42" s="422"/>
      <c r="R42" s="422"/>
      <c r="S42" s="422"/>
    </row>
    <row r="43" spans="1:19" ht="12.95" customHeight="1" x14ac:dyDescent="0.25">
      <c r="A43" s="202" t="s">
        <v>48</v>
      </c>
      <c r="B43" s="393">
        <v>1234.403</v>
      </c>
      <c r="C43" s="392">
        <v>16.266999999999999</v>
      </c>
      <c r="D43" s="459">
        <v>3.6379999999999999</v>
      </c>
      <c r="E43" s="394">
        <v>181.79599999999999</v>
      </c>
      <c r="F43" s="394">
        <v>485.17700000000002</v>
      </c>
      <c r="G43" s="394">
        <v>33.292999999999999</v>
      </c>
      <c r="H43" s="394">
        <v>56.289000000000001</v>
      </c>
      <c r="I43" s="394">
        <v>85.254999999999995</v>
      </c>
      <c r="L43" s="422"/>
      <c r="M43" s="422"/>
      <c r="N43" s="422"/>
      <c r="O43" s="422"/>
      <c r="P43" s="422"/>
      <c r="Q43" s="422"/>
      <c r="R43" s="422"/>
      <c r="S43" s="422"/>
    </row>
    <row r="44" spans="1:19" ht="12.95" customHeight="1" x14ac:dyDescent="0.25">
      <c r="A44" s="202" t="s">
        <v>49</v>
      </c>
      <c r="B44" s="393">
        <v>1131.3720000000001</v>
      </c>
      <c r="C44" s="392">
        <v>21.585999999999999</v>
      </c>
      <c r="D44" s="459">
        <v>12.773</v>
      </c>
      <c r="E44" s="394">
        <v>191.995</v>
      </c>
      <c r="F44" s="394">
        <v>549.15</v>
      </c>
      <c r="G44" s="394">
        <v>40.993000000000002</v>
      </c>
      <c r="H44" s="394">
        <v>65.054000000000002</v>
      </c>
      <c r="I44" s="394">
        <v>77.828000000000003</v>
      </c>
      <c r="L44" s="422"/>
      <c r="M44" s="422"/>
      <c r="N44" s="422"/>
      <c r="O44" s="422"/>
      <c r="P44" s="422"/>
      <c r="Q44" s="422"/>
      <c r="R44" s="422"/>
      <c r="S44" s="422"/>
    </row>
    <row r="45" spans="1:19" ht="12.95" customHeight="1" x14ac:dyDescent="0.25">
      <c r="A45" s="202" t="s">
        <v>50</v>
      </c>
      <c r="B45" s="393">
        <v>1310.902</v>
      </c>
      <c r="C45" s="392">
        <v>20.126000000000001</v>
      </c>
      <c r="D45" s="459">
        <v>7.6820000000000004</v>
      </c>
      <c r="E45" s="394">
        <v>218.14400000000001</v>
      </c>
      <c r="F45" s="394">
        <v>701.20399999999995</v>
      </c>
      <c r="G45" s="394">
        <v>36.210999999999999</v>
      </c>
      <c r="H45" s="394">
        <v>73.501000000000005</v>
      </c>
      <c r="I45" s="394">
        <v>85.745000000000005</v>
      </c>
      <c r="L45" s="422"/>
      <c r="M45" s="422"/>
      <c r="N45" s="422"/>
      <c r="O45" s="422"/>
      <c r="P45" s="422"/>
      <c r="Q45" s="422"/>
      <c r="R45" s="422"/>
      <c r="S45" s="422"/>
    </row>
    <row r="46" spans="1:19" ht="12.95" customHeight="1" x14ac:dyDescent="0.25">
      <c r="A46" s="202" t="s">
        <v>51</v>
      </c>
      <c r="B46" s="393">
        <v>1327.287</v>
      </c>
      <c r="C46" s="392">
        <v>20.213999999999999</v>
      </c>
      <c r="D46" s="459">
        <v>10.381</v>
      </c>
      <c r="E46" s="394">
        <v>188.28299999999999</v>
      </c>
      <c r="F46" s="394">
        <v>609.96600000000001</v>
      </c>
      <c r="G46" s="394">
        <v>34.142000000000003</v>
      </c>
      <c r="H46" s="394">
        <v>67.522999999999996</v>
      </c>
      <c r="I46" s="394">
        <v>64.236999999999995</v>
      </c>
      <c r="L46" s="422"/>
      <c r="M46" s="422"/>
      <c r="N46" s="422"/>
      <c r="O46" s="422"/>
      <c r="P46" s="422"/>
      <c r="Q46" s="422"/>
      <c r="R46" s="422"/>
      <c r="S46" s="422"/>
    </row>
    <row r="47" spans="1:19" ht="12.95" customHeight="1" x14ac:dyDescent="0.25">
      <c r="A47" s="202" t="s">
        <v>204</v>
      </c>
      <c r="B47" s="393">
        <v>1295.232</v>
      </c>
      <c r="C47" s="392">
        <v>35.411999999999999</v>
      </c>
      <c r="D47" s="459">
        <v>5.6029999999999998</v>
      </c>
      <c r="E47" s="394">
        <v>252.816</v>
      </c>
      <c r="F47" s="394">
        <v>725.5</v>
      </c>
      <c r="G47" s="394">
        <v>31.378</v>
      </c>
      <c r="H47" s="394">
        <v>74.186000000000007</v>
      </c>
      <c r="I47" s="394">
        <v>82.703000000000003</v>
      </c>
      <c r="L47" s="422"/>
      <c r="M47" s="422"/>
      <c r="N47" s="422"/>
      <c r="O47" s="422"/>
      <c r="P47" s="422"/>
      <c r="Q47" s="422"/>
      <c r="R47" s="422"/>
      <c r="S47" s="422"/>
    </row>
    <row r="48" spans="1:19" ht="12.95" customHeight="1" x14ac:dyDescent="0.25">
      <c r="A48" s="207" t="s">
        <v>52</v>
      </c>
      <c r="B48" s="398">
        <v>739.05600000000004</v>
      </c>
      <c r="C48" s="389">
        <v>6.88</v>
      </c>
      <c r="D48" s="460">
        <v>2.5960000000000001</v>
      </c>
      <c r="E48" s="390">
        <v>109.649</v>
      </c>
      <c r="F48" s="390">
        <v>359.33499999999998</v>
      </c>
      <c r="G48" s="390">
        <v>27.972999999999999</v>
      </c>
      <c r="H48" s="390">
        <v>36.165999999999997</v>
      </c>
      <c r="I48" s="390">
        <v>40.216999999999999</v>
      </c>
      <c r="L48" s="422"/>
      <c r="M48" s="422"/>
      <c r="N48" s="422"/>
      <c r="O48" s="422"/>
      <c r="P48" s="422"/>
      <c r="Q48" s="422"/>
      <c r="R48" s="422"/>
      <c r="S48" s="422"/>
    </row>
    <row r="49" spans="1:19" ht="12.95" customHeight="1" x14ac:dyDescent="0.25">
      <c r="A49" s="202" t="s">
        <v>53</v>
      </c>
      <c r="B49" s="393">
        <v>482.202</v>
      </c>
      <c r="C49" s="392">
        <v>5.7450000000000001</v>
      </c>
      <c r="D49" s="459">
        <v>2.1619999999999999</v>
      </c>
      <c r="E49" s="394">
        <v>80.522999999999996</v>
      </c>
      <c r="F49" s="394">
        <v>204.90600000000001</v>
      </c>
      <c r="G49" s="394">
        <v>43.957000000000001</v>
      </c>
      <c r="H49" s="394">
        <v>17.943999999999999</v>
      </c>
      <c r="I49" s="394">
        <v>27.82</v>
      </c>
      <c r="L49" s="422"/>
      <c r="M49" s="422"/>
      <c r="N49" s="422"/>
      <c r="O49" s="422"/>
      <c r="P49" s="422"/>
      <c r="Q49" s="422"/>
      <c r="R49" s="422"/>
      <c r="S49" s="422"/>
    </row>
    <row r="50" spans="1:19" ht="12.95" customHeight="1" x14ac:dyDescent="0.25">
      <c r="A50" s="202" t="s">
        <v>54</v>
      </c>
      <c r="B50" s="393">
        <v>304.44400000000002</v>
      </c>
      <c r="C50" s="392">
        <v>4.38</v>
      </c>
      <c r="D50" s="459">
        <v>1.792</v>
      </c>
      <c r="E50" s="394">
        <v>50.972999999999999</v>
      </c>
      <c r="F50" s="394">
        <v>131.21600000000001</v>
      </c>
      <c r="G50" s="394">
        <v>3.5840000000000001</v>
      </c>
      <c r="H50" s="394">
        <v>4.38</v>
      </c>
      <c r="I50" s="394">
        <v>18.119</v>
      </c>
      <c r="L50" s="422"/>
      <c r="M50" s="422"/>
      <c r="N50" s="422"/>
      <c r="O50" s="422"/>
      <c r="P50" s="422"/>
      <c r="Q50" s="422"/>
      <c r="R50" s="422"/>
      <c r="S50" s="422"/>
    </row>
    <row r="51" spans="1:19" ht="12.95" customHeight="1" x14ac:dyDescent="0.25">
      <c r="A51" s="202" t="s">
        <v>55</v>
      </c>
      <c r="B51" s="393">
        <v>833.75099999999998</v>
      </c>
      <c r="C51" s="392">
        <v>12.337</v>
      </c>
      <c r="D51" s="459">
        <v>5.7649999999999997</v>
      </c>
      <c r="E51" s="394">
        <v>129.83000000000001</v>
      </c>
      <c r="F51" s="394">
        <v>384.303</v>
      </c>
      <c r="G51" s="394">
        <v>19.370999999999999</v>
      </c>
      <c r="H51" s="394">
        <v>38.049999999999997</v>
      </c>
      <c r="I51" s="394">
        <v>46.813000000000002</v>
      </c>
      <c r="L51" s="422"/>
      <c r="M51" s="422"/>
      <c r="N51" s="422"/>
      <c r="O51" s="422"/>
      <c r="P51" s="422"/>
      <c r="Q51" s="422"/>
      <c r="R51" s="422"/>
      <c r="S51" s="422"/>
    </row>
    <row r="52" spans="1:19" ht="12.95" customHeight="1" x14ac:dyDescent="0.25">
      <c r="A52" s="202" t="s">
        <v>56</v>
      </c>
      <c r="B52" s="393">
        <v>906.24800000000005</v>
      </c>
      <c r="C52" s="392">
        <v>7.5179999999999998</v>
      </c>
      <c r="D52" s="459">
        <v>1.0740000000000001</v>
      </c>
      <c r="E52" s="394">
        <v>134.251</v>
      </c>
      <c r="F52" s="394">
        <v>333.80200000000002</v>
      </c>
      <c r="G52" s="394">
        <v>18.687999999999999</v>
      </c>
      <c r="H52" s="394">
        <v>35.442</v>
      </c>
      <c r="I52" s="394">
        <v>54.344999999999999</v>
      </c>
      <c r="L52" s="422"/>
      <c r="M52" s="422"/>
      <c r="N52" s="422"/>
      <c r="O52" s="422"/>
      <c r="P52" s="422"/>
      <c r="Q52" s="422"/>
      <c r="R52" s="422"/>
      <c r="S52" s="422"/>
    </row>
    <row r="53" spans="1:19" ht="12.95" customHeight="1" x14ac:dyDescent="0.25">
      <c r="A53" s="202" t="s">
        <v>57</v>
      </c>
      <c r="B53" s="393">
        <v>1033.028</v>
      </c>
      <c r="C53" s="392">
        <v>7.02</v>
      </c>
      <c r="D53" s="459">
        <v>3.2949999999999999</v>
      </c>
      <c r="E53" s="394">
        <v>152.56899999999999</v>
      </c>
      <c r="F53" s="394">
        <v>571.74</v>
      </c>
      <c r="G53" s="394">
        <v>32.948999999999998</v>
      </c>
      <c r="H53" s="394">
        <v>74.350999999999999</v>
      </c>
      <c r="I53" s="394">
        <v>48.134</v>
      </c>
      <c r="L53" s="422"/>
      <c r="M53" s="422"/>
      <c r="N53" s="422"/>
      <c r="O53" s="422"/>
      <c r="P53" s="422"/>
      <c r="Q53" s="422"/>
      <c r="R53" s="422"/>
      <c r="S53" s="422"/>
    </row>
    <row r="54" spans="1:19" ht="12.95" customHeight="1" x14ac:dyDescent="0.25">
      <c r="A54" s="202" t="s">
        <v>58</v>
      </c>
      <c r="B54" s="393">
        <v>434.92500000000001</v>
      </c>
      <c r="C54" s="392">
        <v>4.0880000000000001</v>
      </c>
      <c r="D54" s="459">
        <v>0.54500000000000004</v>
      </c>
      <c r="E54" s="394">
        <v>38.695999999999998</v>
      </c>
      <c r="F54" s="394">
        <v>160.03100000000001</v>
      </c>
      <c r="G54" s="394">
        <v>11.445</v>
      </c>
      <c r="H54" s="394">
        <v>8.3800000000000008</v>
      </c>
      <c r="I54" s="394">
        <v>14.92</v>
      </c>
      <c r="L54" s="422"/>
      <c r="M54" s="422"/>
      <c r="N54" s="422"/>
      <c r="O54" s="422"/>
      <c r="P54" s="422"/>
      <c r="Q54" s="422"/>
      <c r="R54" s="422"/>
      <c r="S54" s="422"/>
    </row>
    <row r="55" spans="1:19" s="8" customFormat="1" ht="12.95" customHeight="1" x14ac:dyDescent="0.25">
      <c r="A55" s="202" t="s">
        <v>59</v>
      </c>
      <c r="B55" s="393">
        <v>1130.346</v>
      </c>
      <c r="C55" s="392">
        <v>8.2159999999999993</v>
      </c>
      <c r="D55" s="459">
        <v>3.3940000000000001</v>
      </c>
      <c r="E55" s="394">
        <v>168.571</v>
      </c>
      <c r="F55" s="394">
        <v>619.23800000000006</v>
      </c>
      <c r="G55" s="394">
        <v>26.291</v>
      </c>
      <c r="H55" s="394">
        <v>66.620999999999995</v>
      </c>
      <c r="I55" s="394">
        <v>64.799000000000007</v>
      </c>
      <c r="L55" s="422"/>
      <c r="M55" s="422"/>
      <c r="N55" s="422"/>
      <c r="O55" s="422"/>
      <c r="P55" s="422"/>
      <c r="Q55" s="422"/>
      <c r="R55" s="422"/>
      <c r="S55" s="422"/>
    </row>
    <row r="56" spans="1:19" ht="12.95" customHeight="1" x14ac:dyDescent="0.25">
      <c r="A56" s="201" t="s">
        <v>60</v>
      </c>
      <c r="B56" s="391">
        <v>1293.3920000000001</v>
      </c>
      <c r="C56" s="389">
        <v>23.369</v>
      </c>
      <c r="D56" s="460">
        <v>3.8610000000000002</v>
      </c>
      <c r="E56" s="390">
        <v>197.35599999999999</v>
      </c>
      <c r="F56" s="390">
        <v>605.06500000000005</v>
      </c>
      <c r="G56" s="390">
        <v>43.749000000000002</v>
      </c>
      <c r="H56" s="390">
        <v>74.834000000000003</v>
      </c>
      <c r="I56" s="390">
        <v>106.607</v>
      </c>
      <c r="L56" s="422"/>
      <c r="M56" s="422"/>
      <c r="N56" s="422"/>
      <c r="O56" s="422"/>
      <c r="P56" s="422"/>
      <c r="Q56" s="422"/>
      <c r="R56" s="422"/>
      <c r="S56" s="422"/>
    </row>
    <row r="57" spans="1:19" ht="12.95" customHeight="1" x14ac:dyDescent="0.25">
      <c r="A57" s="202" t="s">
        <v>61</v>
      </c>
      <c r="B57" s="393">
        <v>1214.3420000000001</v>
      </c>
      <c r="C57" s="392">
        <v>22.152999999999999</v>
      </c>
      <c r="D57" s="459">
        <v>4.45</v>
      </c>
      <c r="E57" s="394">
        <v>179.846</v>
      </c>
      <c r="F57" s="394">
        <v>510.387</v>
      </c>
      <c r="G57" s="394">
        <v>74.668000000000006</v>
      </c>
      <c r="H57" s="394">
        <v>62.652000000000001</v>
      </c>
      <c r="I57" s="394">
        <v>100.554</v>
      </c>
      <c r="L57" s="422"/>
      <c r="M57" s="422"/>
      <c r="N57" s="422"/>
      <c r="O57" s="422"/>
      <c r="P57" s="422"/>
      <c r="Q57" s="422"/>
      <c r="R57" s="422"/>
      <c r="S57" s="422"/>
    </row>
    <row r="58" spans="1:19" ht="12.95" customHeight="1" x14ac:dyDescent="0.25">
      <c r="A58" s="202" t="s">
        <v>62</v>
      </c>
      <c r="B58" s="393">
        <v>1202.6790000000001</v>
      </c>
      <c r="C58" s="392">
        <v>9.1189999999999998</v>
      </c>
      <c r="D58" s="459">
        <v>2.7949999999999999</v>
      </c>
      <c r="E58" s="394">
        <v>177.96799999999999</v>
      </c>
      <c r="F58" s="394">
        <v>491.24900000000002</v>
      </c>
      <c r="G58" s="394">
        <v>85.16</v>
      </c>
      <c r="H58" s="394">
        <v>90.748999999999995</v>
      </c>
      <c r="I58" s="394">
        <v>130.608</v>
      </c>
      <c r="L58" s="422"/>
      <c r="M58" s="422"/>
      <c r="N58" s="422"/>
      <c r="O58" s="422"/>
      <c r="P58" s="422"/>
      <c r="Q58" s="422"/>
      <c r="R58" s="422"/>
      <c r="S58" s="422"/>
    </row>
    <row r="59" spans="1:19" ht="12.95" customHeight="1" x14ac:dyDescent="0.25">
      <c r="A59" s="202" t="s">
        <v>63</v>
      </c>
      <c r="B59" s="393">
        <v>1322.317</v>
      </c>
      <c r="C59" s="392">
        <v>9.2070000000000007</v>
      </c>
      <c r="D59" s="459">
        <v>2.1440000000000001</v>
      </c>
      <c r="E59" s="394">
        <v>173.29900000000001</v>
      </c>
      <c r="F59" s="394">
        <v>393.89499999999998</v>
      </c>
      <c r="G59" s="394">
        <v>30.018000000000001</v>
      </c>
      <c r="H59" s="394">
        <v>55.747999999999998</v>
      </c>
      <c r="I59" s="394">
        <v>100.01900000000001</v>
      </c>
      <c r="L59" s="422"/>
      <c r="M59" s="422"/>
      <c r="N59" s="422"/>
      <c r="O59" s="422"/>
      <c r="P59" s="422"/>
      <c r="Q59" s="422"/>
      <c r="R59" s="422"/>
      <c r="S59" s="422"/>
    </row>
    <row r="60" spans="1:19" ht="12.95" customHeight="1" x14ac:dyDescent="0.25">
      <c r="A60" s="202" t="s">
        <v>64</v>
      </c>
      <c r="B60" s="393">
        <v>1098.453</v>
      </c>
      <c r="C60" s="392">
        <v>11.715999999999999</v>
      </c>
      <c r="D60" s="459">
        <v>2.5379999999999998</v>
      </c>
      <c r="E60" s="394">
        <v>188.45099999999999</v>
      </c>
      <c r="F60" s="394">
        <v>533.71699999999998</v>
      </c>
      <c r="G60" s="394">
        <v>43.555999999999997</v>
      </c>
      <c r="H60" s="394">
        <v>58.322000000000003</v>
      </c>
      <c r="I60" s="394">
        <v>74.856999999999999</v>
      </c>
      <c r="L60" s="422"/>
      <c r="M60" s="422"/>
      <c r="N60" s="422"/>
      <c r="O60" s="422"/>
      <c r="P60" s="422"/>
      <c r="Q60" s="422"/>
      <c r="R60" s="422"/>
      <c r="S60" s="422"/>
    </row>
    <row r="61" spans="1:19" ht="12.95" customHeight="1" x14ac:dyDescent="0.25">
      <c r="A61" s="202" t="s">
        <v>65</v>
      </c>
      <c r="B61" s="393">
        <v>1188.028</v>
      </c>
      <c r="C61" s="392">
        <v>22.138000000000002</v>
      </c>
      <c r="D61" s="459">
        <v>3.7229999999999999</v>
      </c>
      <c r="E61" s="394">
        <v>195.988</v>
      </c>
      <c r="F61" s="394">
        <v>513.23900000000003</v>
      </c>
      <c r="G61" s="394">
        <v>37.695</v>
      </c>
      <c r="H61" s="394">
        <v>77.584000000000003</v>
      </c>
      <c r="I61" s="394">
        <v>116.21</v>
      </c>
      <c r="L61" s="422"/>
      <c r="M61" s="422"/>
      <c r="N61" s="422"/>
      <c r="O61" s="422"/>
      <c r="P61" s="422"/>
      <c r="Q61" s="422"/>
      <c r="R61" s="422"/>
      <c r="S61" s="422"/>
    </row>
    <row r="62" spans="1:19" ht="12.95" customHeight="1" x14ac:dyDescent="0.25">
      <c r="A62" s="202" t="s">
        <v>66</v>
      </c>
      <c r="B62" s="393">
        <v>1244.9549999999999</v>
      </c>
      <c r="C62" s="392">
        <v>11.797000000000001</v>
      </c>
      <c r="D62" s="459">
        <v>3.6869999999999998</v>
      </c>
      <c r="E62" s="394">
        <v>151.154</v>
      </c>
      <c r="F62" s="394">
        <v>488.44600000000003</v>
      </c>
      <c r="G62" s="394">
        <v>65.459000000000003</v>
      </c>
      <c r="H62" s="394">
        <v>80.78</v>
      </c>
      <c r="I62" s="394">
        <v>128.37899999999999</v>
      </c>
      <c r="L62" s="422"/>
      <c r="M62" s="422"/>
      <c r="N62" s="422"/>
      <c r="O62" s="422"/>
      <c r="P62" s="422"/>
      <c r="Q62" s="422"/>
      <c r="R62" s="422"/>
      <c r="S62" s="422"/>
    </row>
    <row r="63" spans="1:19" ht="12.95" customHeight="1" x14ac:dyDescent="0.25">
      <c r="A63" s="202" t="s">
        <v>67</v>
      </c>
      <c r="B63" s="393">
        <v>1320.2919999999999</v>
      </c>
      <c r="C63" s="392">
        <v>45.642000000000003</v>
      </c>
      <c r="D63" s="459">
        <v>6.9859999999999998</v>
      </c>
      <c r="E63" s="394">
        <v>199.345</v>
      </c>
      <c r="F63" s="394">
        <v>665.21299999999997</v>
      </c>
      <c r="G63" s="394">
        <v>34.970999999999997</v>
      </c>
      <c r="H63" s="394">
        <v>83.262</v>
      </c>
      <c r="I63" s="394">
        <v>117.12</v>
      </c>
      <c r="L63" s="422"/>
      <c r="M63" s="422"/>
      <c r="N63" s="422"/>
      <c r="O63" s="422"/>
      <c r="P63" s="422"/>
      <c r="Q63" s="422"/>
      <c r="R63" s="422"/>
      <c r="S63" s="422"/>
    </row>
    <row r="64" spans="1:19" ht="12.95" customHeight="1" x14ac:dyDescent="0.25">
      <c r="A64" s="202" t="s">
        <v>68</v>
      </c>
      <c r="B64" s="393">
        <v>1430.73</v>
      </c>
      <c r="C64" s="392">
        <v>7.6539999999999999</v>
      </c>
      <c r="D64" s="459">
        <v>2.762</v>
      </c>
      <c r="E64" s="394">
        <v>224.738</v>
      </c>
      <c r="F64" s="394">
        <v>697.41300000000001</v>
      </c>
      <c r="G64" s="394">
        <v>42.77</v>
      </c>
      <c r="H64" s="394">
        <v>70.308999999999997</v>
      </c>
      <c r="I64" s="394">
        <v>119.629</v>
      </c>
      <c r="L64" s="422"/>
      <c r="M64" s="422"/>
      <c r="N64" s="422"/>
      <c r="O64" s="422"/>
      <c r="P64" s="422"/>
      <c r="Q64" s="422"/>
      <c r="R64" s="422"/>
      <c r="S64" s="422"/>
    </row>
    <row r="65" spans="1:19" ht="12.95" customHeight="1" x14ac:dyDescent="0.25">
      <c r="A65" s="202" t="s">
        <v>69</v>
      </c>
      <c r="B65" s="393">
        <v>1459.711</v>
      </c>
      <c r="C65" s="392">
        <v>15.738</v>
      </c>
      <c r="D65" s="459">
        <v>1.4650000000000001</v>
      </c>
      <c r="E65" s="394">
        <v>200.41900000000001</v>
      </c>
      <c r="F65" s="394">
        <v>775.80799999999999</v>
      </c>
      <c r="G65" s="394">
        <v>34.624000000000002</v>
      </c>
      <c r="H65" s="394">
        <v>91.405000000000001</v>
      </c>
      <c r="I65" s="394">
        <v>89.534999999999997</v>
      </c>
      <c r="L65" s="422"/>
      <c r="M65" s="422"/>
      <c r="N65" s="422"/>
      <c r="O65" s="422"/>
      <c r="P65" s="422"/>
      <c r="Q65" s="422"/>
      <c r="R65" s="422"/>
      <c r="S65" s="422"/>
    </row>
    <row r="66" spans="1:19" ht="12.95" customHeight="1" x14ac:dyDescent="0.25">
      <c r="A66" s="202" t="s">
        <v>70</v>
      </c>
      <c r="B66" s="393">
        <v>1304.9000000000001</v>
      </c>
      <c r="C66" s="392">
        <v>37.246000000000002</v>
      </c>
      <c r="D66" s="459">
        <v>7.0919999999999996</v>
      </c>
      <c r="E66" s="394">
        <v>227.101</v>
      </c>
      <c r="F66" s="394">
        <v>633.69899999999996</v>
      </c>
      <c r="G66" s="394">
        <v>35.512</v>
      </c>
      <c r="H66" s="394">
        <v>79.748000000000005</v>
      </c>
      <c r="I66" s="394">
        <v>99.29</v>
      </c>
      <c r="L66" s="422"/>
      <c r="M66" s="422"/>
      <c r="N66" s="422"/>
      <c r="O66" s="422"/>
      <c r="P66" s="422"/>
      <c r="Q66" s="422"/>
      <c r="R66" s="422"/>
      <c r="S66" s="422"/>
    </row>
    <row r="67" spans="1:19" ht="12.95" customHeight="1" x14ac:dyDescent="0.25">
      <c r="A67" s="202" t="s">
        <v>71</v>
      </c>
      <c r="B67" s="393">
        <v>1399.492</v>
      </c>
      <c r="C67" s="392">
        <v>10.443</v>
      </c>
      <c r="D67" s="459">
        <v>2.363</v>
      </c>
      <c r="E67" s="394">
        <v>194.15600000000001</v>
      </c>
      <c r="F67" s="394">
        <v>749.02800000000002</v>
      </c>
      <c r="G67" s="394">
        <v>36.284999999999997</v>
      </c>
      <c r="H67" s="394">
        <v>83.319000000000003</v>
      </c>
      <c r="I67" s="394">
        <v>126.083</v>
      </c>
      <c r="L67" s="422"/>
      <c r="M67" s="422"/>
      <c r="N67" s="422"/>
      <c r="O67" s="422"/>
      <c r="P67" s="422"/>
      <c r="Q67" s="422"/>
      <c r="R67" s="422"/>
      <c r="S67" s="422"/>
    </row>
    <row r="68" spans="1:19" ht="12.95" customHeight="1" x14ac:dyDescent="0.25">
      <c r="A68" s="202" t="s">
        <v>72</v>
      </c>
      <c r="B68" s="393">
        <v>1322.17</v>
      </c>
      <c r="C68" s="392">
        <v>41.460999999999999</v>
      </c>
      <c r="D68" s="459">
        <v>4.1180000000000003</v>
      </c>
      <c r="E68" s="394">
        <v>198.22200000000001</v>
      </c>
      <c r="F68" s="394">
        <v>522.55600000000004</v>
      </c>
      <c r="G68" s="394">
        <v>22.411999999999999</v>
      </c>
      <c r="H68" s="394">
        <v>69.783000000000001</v>
      </c>
      <c r="I68" s="394">
        <v>135.983</v>
      </c>
      <c r="L68" s="422"/>
      <c r="M68" s="422"/>
      <c r="N68" s="422"/>
      <c r="O68" s="422"/>
      <c r="P68" s="422"/>
      <c r="Q68" s="422"/>
      <c r="R68" s="422"/>
      <c r="S68" s="422"/>
    </row>
    <row r="69" spans="1:19" ht="12.95" customHeight="1" x14ac:dyDescent="0.25">
      <c r="A69" s="203" t="s">
        <v>73</v>
      </c>
      <c r="B69" s="395">
        <v>1373.02</v>
      </c>
      <c r="C69" s="392">
        <v>25.582000000000001</v>
      </c>
      <c r="D69" s="459">
        <v>2.6320000000000001</v>
      </c>
      <c r="E69" s="394">
        <v>215.435</v>
      </c>
      <c r="F69" s="394">
        <v>707.95899999999995</v>
      </c>
      <c r="G69" s="394">
        <v>42.98</v>
      </c>
      <c r="H69" s="394">
        <v>92.171000000000006</v>
      </c>
      <c r="I69" s="394">
        <v>106.196</v>
      </c>
      <c r="L69" s="422"/>
      <c r="M69" s="422"/>
      <c r="N69" s="422"/>
      <c r="O69" s="422"/>
      <c r="P69" s="422"/>
      <c r="Q69" s="422"/>
      <c r="R69" s="422"/>
      <c r="S69" s="422"/>
    </row>
    <row r="70" spans="1:19" s="8" customFormat="1" ht="12.95" customHeight="1" x14ac:dyDescent="0.25">
      <c r="A70" s="202" t="s">
        <v>74</v>
      </c>
      <c r="B70" s="393">
        <v>1383.982</v>
      </c>
      <c r="C70" s="392">
        <v>23.742000000000001</v>
      </c>
      <c r="D70" s="459">
        <v>7.1310000000000002</v>
      </c>
      <c r="E70" s="394">
        <v>234.41800000000001</v>
      </c>
      <c r="F70" s="394">
        <v>712.24800000000005</v>
      </c>
      <c r="G70" s="394">
        <v>35.734000000000002</v>
      </c>
      <c r="H70" s="394">
        <v>67.010999999999996</v>
      </c>
      <c r="I70" s="394">
        <v>109.39</v>
      </c>
      <c r="L70" s="422"/>
      <c r="M70" s="422"/>
      <c r="N70" s="422"/>
      <c r="O70" s="422"/>
      <c r="P70" s="422"/>
      <c r="Q70" s="422"/>
      <c r="R70" s="422"/>
      <c r="S70" s="422"/>
    </row>
    <row r="71" spans="1:19" ht="12.95" customHeight="1" x14ac:dyDescent="0.25">
      <c r="A71" s="206" t="s">
        <v>75</v>
      </c>
      <c r="B71" s="397">
        <v>1167.203</v>
      </c>
      <c r="C71" s="389">
        <v>40.015000000000001</v>
      </c>
      <c r="D71" s="460">
        <v>6.88</v>
      </c>
      <c r="E71" s="390">
        <v>206.346</v>
      </c>
      <c r="F71" s="390">
        <v>521.94799999999998</v>
      </c>
      <c r="G71" s="390">
        <v>30.245999999999999</v>
      </c>
      <c r="H71" s="390">
        <v>64.765000000000001</v>
      </c>
      <c r="I71" s="390">
        <v>110.292</v>
      </c>
      <c r="L71" s="422"/>
      <c r="M71" s="422"/>
      <c r="N71" s="422"/>
      <c r="O71" s="422"/>
      <c r="P71" s="422"/>
      <c r="Q71" s="422"/>
      <c r="R71" s="422"/>
      <c r="S71" s="422"/>
    </row>
    <row r="72" spans="1:19" ht="12.95" customHeight="1" x14ac:dyDescent="0.25">
      <c r="A72" s="202" t="s">
        <v>76</v>
      </c>
      <c r="B72" s="393">
        <v>1522.5039999999999</v>
      </c>
      <c r="C72" s="392">
        <v>42.481999999999999</v>
      </c>
      <c r="D72" s="459">
        <v>14.321</v>
      </c>
      <c r="E72" s="394">
        <v>255.857</v>
      </c>
      <c r="F72" s="394">
        <v>551.18700000000001</v>
      </c>
      <c r="G72" s="394">
        <v>52.11</v>
      </c>
      <c r="H72" s="394">
        <v>74.373999999999995</v>
      </c>
      <c r="I72" s="394">
        <v>138.63900000000001</v>
      </c>
      <c r="L72" s="422"/>
      <c r="M72" s="422"/>
      <c r="N72" s="422"/>
      <c r="O72" s="422"/>
      <c r="P72" s="422"/>
      <c r="Q72" s="422"/>
      <c r="R72" s="422"/>
      <c r="S72" s="422"/>
    </row>
    <row r="73" spans="1:19" ht="12.95" customHeight="1" x14ac:dyDescent="0.25">
      <c r="A73" s="202" t="s">
        <v>77</v>
      </c>
      <c r="B73" s="393">
        <v>1330.616</v>
      </c>
      <c r="C73" s="392">
        <v>47.274000000000001</v>
      </c>
      <c r="D73" s="459">
        <v>8.5779999999999994</v>
      </c>
      <c r="E73" s="394">
        <v>235.464</v>
      </c>
      <c r="F73" s="394">
        <v>642.33199999999999</v>
      </c>
      <c r="G73" s="394">
        <v>32.551000000000002</v>
      </c>
      <c r="H73" s="394">
        <v>80.960999999999999</v>
      </c>
      <c r="I73" s="394">
        <v>120.88500000000001</v>
      </c>
      <c r="L73" s="422"/>
      <c r="M73" s="422"/>
      <c r="N73" s="422"/>
      <c r="O73" s="422"/>
      <c r="P73" s="422"/>
      <c r="Q73" s="422"/>
      <c r="R73" s="422"/>
      <c r="S73" s="422"/>
    </row>
    <row r="74" spans="1:19" ht="12.95" customHeight="1" x14ac:dyDescent="0.25">
      <c r="A74" s="202" t="s">
        <v>78</v>
      </c>
      <c r="B74" s="393">
        <v>768.66499999999996</v>
      </c>
      <c r="C74" s="392">
        <v>32.939</v>
      </c>
      <c r="D74" s="459">
        <v>3.3690000000000002</v>
      </c>
      <c r="E74" s="394">
        <v>120.95399999999999</v>
      </c>
      <c r="F74" s="394">
        <v>327.70499999999998</v>
      </c>
      <c r="G74" s="394">
        <v>19.623999999999999</v>
      </c>
      <c r="H74" s="394">
        <v>40.183999999999997</v>
      </c>
      <c r="I74" s="394">
        <v>83.497</v>
      </c>
      <c r="L74" s="422"/>
      <c r="M74" s="422"/>
      <c r="N74" s="422"/>
      <c r="O74" s="422"/>
      <c r="P74" s="422"/>
      <c r="Q74" s="422"/>
      <c r="R74" s="422"/>
      <c r="S74" s="422"/>
    </row>
    <row r="75" spans="1:19" ht="12.95" customHeight="1" x14ac:dyDescent="0.25">
      <c r="A75" s="202" t="s">
        <v>79</v>
      </c>
      <c r="B75" s="393">
        <v>603.68899999999996</v>
      </c>
      <c r="C75" s="392">
        <v>27.198</v>
      </c>
      <c r="D75" s="459">
        <v>1.9770000000000001</v>
      </c>
      <c r="E75" s="394">
        <v>109.511</v>
      </c>
      <c r="F75" s="394">
        <v>236.875</v>
      </c>
      <c r="G75" s="394">
        <v>19.53</v>
      </c>
      <c r="H75" s="394">
        <v>38.94</v>
      </c>
      <c r="I75" s="394">
        <v>72.787999999999997</v>
      </c>
      <c r="L75" s="422"/>
      <c r="M75" s="422"/>
      <c r="N75" s="422"/>
      <c r="O75" s="422"/>
      <c r="P75" s="422"/>
      <c r="Q75" s="422"/>
      <c r="R75" s="422"/>
      <c r="S75" s="422"/>
    </row>
    <row r="76" spans="1:19" ht="12.95" customHeight="1" x14ac:dyDescent="0.25">
      <c r="A76" s="202" t="s">
        <v>80</v>
      </c>
      <c r="B76" s="393">
        <v>470.2</v>
      </c>
      <c r="C76" s="392">
        <v>16.943999999999999</v>
      </c>
      <c r="D76" s="459">
        <v>3.4990000000000001</v>
      </c>
      <c r="E76" s="394">
        <v>92.272000000000006</v>
      </c>
      <c r="F76" s="394">
        <v>176.072</v>
      </c>
      <c r="G76" s="394">
        <v>14.55</v>
      </c>
      <c r="H76" s="394">
        <v>37.94</v>
      </c>
      <c r="I76" s="394">
        <v>80.852999999999994</v>
      </c>
      <c r="L76" s="422"/>
      <c r="M76" s="422"/>
      <c r="N76" s="422"/>
      <c r="O76" s="422"/>
      <c r="P76" s="422"/>
      <c r="Q76" s="422"/>
      <c r="R76" s="422"/>
      <c r="S76" s="422"/>
    </row>
    <row r="77" spans="1:19" s="8" customFormat="1" ht="12.95" customHeight="1" x14ac:dyDescent="0.25">
      <c r="A77" s="205" t="s">
        <v>288</v>
      </c>
      <c r="B77" s="387">
        <v>1054.9359999999999</v>
      </c>
      <c r="C77" s="392">
        <v>44.893999999999998</v>
      </c>
      <c r="D77" s="459">
        <v>4.843</v>
      </c>
      <c r="E77" s="394">
        <v>143.64699999999999</v>
      </c>
      <c r="F77" s="394">
        <v>480.80700000000002</v>
      </c>
      <c r="G77" s="394">
        <v>21.530999999999999</v>
      </c>
      <c r="H77" s="394">
        <v>42.341000000000001</v>
      </c>
      <c r="I77" s="394">
        <v>96.135000000000005</v>
      </c>
      <c r="L77" s="422"/>
      <c r="M77" s="422"/>
      <c r="N77" s="422"/>
      <c r="O77" s="422"/>
      <c r="P77" s="422"/>
      <c r="Q77" s="422"/>
      <c r="R77" s="422"/>
      <c r="S77" s="422"/>
    </row>
    <row r="78" spans="1:19" ht="12.95" customHeight="1" x14ac:dyDescent="0.25">
      <c r="A78" s="202" t="s">
        <v>81</v>
      </c>
      <c r="B78" s="393">
        <v>1308.5340000000001</v>
      </c>
      <c r="C78" s="392">
        <v>38.029000000000003</v>
      </c>
      <c r="D78" s="459">
        <v>6.77</v>
      </c>
      <c r="E78" s="394">
        <v>250.327</v>
      </c>
      <c r="F78" s="394">
        <v>574.66600000000005</v>
      </c>
      <c r="G78" s="394">
        <v>33.591999999999999</v>
      </c>
      <c r="H78" s="394">
        <v>68.825999999999993</v>
      </c>
      <c r="I78" s="394">
        <v>119.214</v>
      </c>
      <c r="L78" s="422"/>
      <c r="M78" s="422"/>
      <c r="N78" s="422"/>
      <c r="O78" s="422"/>
      <c r="P78" s="422"/>
      <c r="Q78" s="422"/>
      <c r="R78" s="422"/>
      <c r="S78" s="422"/>
    </row>
    <row r="79" spans="1:19" ht="12.95" customHeight="1" x14ac:dyDescent="0.25">
      <c r="A79" s="201" t="s">
        <v>82</v>
      </c>
      <c r="B79" s="391">
        <v>1288.865</v>
      </c>
      <c r="C79" s="389">
        <v>49.667999999999999</v>
      </c>
      <c r="D79" s="460">
        <v>11.519</v>
      </c>
      <c r="E79" s="390">
        <v>226.60900000000001</v>
      </c>
      <c r="F79" s="390">
        <v>600.58799999999997</v>
      </c>
      <c r="G79" s="390">
        <v>54.73</v>
      </c>
      <c r="H79" s="390">
        <v>68.244</v>
      </c>
      <c r="I79" s="390">
        <v>117.57899999999999</v>
      </c>
      <c r="L79" s="422"/>
      <c r="M79" s="422"/>
      <c r="N79" s="422"/>
      <c r="O79" s="422"/>
      <c r="P79" s="422"/>
      <c r="Q79" s="422"/>
      <c r="R79" s="422"/>
      <c r="S79" s="422"/>
    </row>
    <row r="80" spans="1:19" ht="12.95" customHeight="1" x14ac:dyDescent="0.25">
      <c r="A80" s="202" t="s">
        <v>83</v>
      </c>
      <c r="B80" s="393">
        <v>1014.468</v>
      </c>
      <c r="C80" s="392">
        <v>15.944000000000001</v>
      </c>
      <c r="D80" s="459">
        <v>6.8330000000000002</v>
      </c>
      <c r="E80" s="394">
        <v>174.46799999999999</v>
      </c>
      <c r="F80" s="394">
        <v>410.43299999999999</v>
      </c>
      <c r="G80" s="394">
        <v>40.542000000000002</v>
      </c>
      <c r="H80" s="394">
        <v>54.664000000000001</v>
      </c>
      <c r="I80" s="394">
        <v>141.215</v>
      </c>
      <c r="L80" s="422"/>
      <c r="M80" s="422"/>
      <c r="N80" s="422"/>
      <c r="O80" s="422"/>
      <c r="P80" s="422"/>
      <c r="Q80" s="422"/>
      <c r="R80" s="422"/>
      <c r="S80" s="422"/>
    </row>
    <row r="81" spans="1:19" ht="12.95" customHeight="1" x14ac:dyDescent="0.25">
      <c r="A81" s="202" t="s">
        <v>85</v>
      </c>
      <c r="B81" s="393">
        <v>829.69500000000005</v>
      </c>
      <c r="C81" s="392">
        <v>53.697000000000003</v>
      </c>
      <c r="D81" s="459">
        <v>42.036999999999999</v>
      </c>
      <c r="E81" s="394">
        <v>106.78</v>
      </c>
      <c r="F81" s="394">
        <v>301.93</v>
      </c>
      <c r="G81" s="394">
        <v>44.491999999999997</v>
      </c>
      <c r="H81" s="394">
        <v>53.39</v>
      </c>
      <c r="I81" s="394">
        <v>209.26499999999999</v>
      </c>
      <c r="L81" s="422"/>
      <c r="M81" s="422"/>
      <c r="N81" s="422"/>
      <c r="O81" s="422"/>
      <c r="P81" s="422"/>
      <c r="Q81" s="422"/>
      <c r="R81" s="422"/>
      <c r="S81" s="422"/>
    </row>
    <row r="82" spans="1:19" ht="12.95" customHeight="1" x14ac:dyDescent="0.25">
      <c r="A82" s="202" t="s">
        <v>86</v>
      </c>
      <c r="B82" s="393">
        <v>1251.086</v>
      </c>
      <c r="C82" s="392">
        <v>20.366</v>
      </c>
      <c r="D82" s="459">
        <v>7.1</v>
      </c>
      <c r="E82" s="394">
        <v>230.74799999999999</v>
      </c>
      <c r="F82" s="394">
        <v>626.29</v>
      </c>
      <c r="G82" s="394">
        <v>72.120999999999995</v>
      </c>
      <c r="H82" s="394">
        <v>78.472999999999999</v>
      </c>
      <c r="I82" s="394">
        <v>115.468</v>
      </c>
      <c r="L82" s="422"/>
      <c r="M82" s="422"/>
      <c r="N82" s="422"/>
      <c r="O82" s="422"/>
      <c r="P82" s="422"/>
      <c r="Q82" s="422"/>
      <c r="R82" s="422"/>
      <c r="S82" s="422"/>
    </row>
    <row r="83" spans="1:19" ht="12.95" customHeight="1" x14ac:dyDescent="0.25">
      <c r="A83" s="202" t="s">
        <v>87</v>
      </c>
      <c r="B83" s="393">
        <v>1401.903</v>
      </c>
      <c r="C83" s="392">
        <v>53.204999999999998</v>
      </c>
      <c r="D83" s="459">
        <v>16.687999999999999</v>
      </c>
      <c r="E83" s="394">
        <v>229.98</v>
      </c>
      <c r="F83" s="394">
        <v>599.70299999999997</v>
      </c>
      <c r="G83" s="394">
        <v>57.161999999999999</v>
      </c>
      <c r="H83" s="394">
        <v>59.268999999999998</v>
      </c>
      <c r="I83" s="394">
        <v>103.184</v>
      </c>
      <c r="L83" s="422"/>
      <c r="M83" s="422"/>
      <c r="N83" s="422"/>
      <c r="O83" s="422"/>
      <c r="P83" s="422"/>
      <c r="Q83" s="422"/>
      <c r="R83" s="422"/>
      <c r="S83" s="422"/>
    </row>
    <row r="84" spans="1:19" ht="12.95" customHeight="1" x14ac:dyDescent="0.25">
      <c r="A84" s="202" t="s">
        <v>89</v>
      </c>
      <c r="B84" s="393">
        <v>1224.191</v>
      </c>
      <c r="C84" s="392">
        <v>34.981000000000002</v>
      </c>
      <c r="D84" s="459">
        <v>9.6859999999999999</v>
      </c>
      <c r="E84" s="394">
        <v>235.703</v>
      </c>
      <c r="F84" s="394">
        <v>589.44899999999996</v>
      </c>
      <c r="G84" s="394">
        <v>69.055999999999997</v>
      </c>
      <c r="H84" s="394">
        <v>87.522000000000006</v>
      </c>
      <c r="I84" s="394">
        <v>123.339</v>
      </c>
      <c r="L84" s="422"/>
      <c r="M84" s="422"/>
      <c r="N84" s="422"/>
      <c r="O84" s="422"/>
      <c r="P84" s="422"/>
      <c r="Q84" s="422"/>
      <c r="R84" s="422"/>
      <c r="S84" s="422"/>
    </row>
    <row r="85" spans="1:19" ht="12.95" customHeight="1" x14ac:dyDescent="0.25">
      <c r="A85" s="202" t="s">
        <v>90</v>
      </c>
      <c r="B85" s="393">
        <v>1317.74</v>
      </c>
      <c r="C85" s="392">
        <v>65.441999999999993</v>
      </c>
      <c r="D85" s="459">
        <v>12.654</v>
      </c>
      <c r="E85" s="394">
        <v>221.46799999999999</v>
      </c>
      <c r="F85" s="394">
        <v>665.86500000000001</v>
      </c>
      <c r="G85" s="394">
        <v>41.679000000000002</v>
      </c>
      <c r="H85" s="394">
        <v>58.134</v>
      </c>
      <c r="I85" s="394">
        <v>138.81899999999999</v>
      </c>
      <c r="L85" s="422"/>
      <c r="M85" s="422"/>
      <c r="N85" s="422"/>
      <c r="O85" s="422"/>
      <c r="P85" s="422"/>
      <c r="Q85" s="422"/>
      <c r="R85" s="422"/>
      <c r="S85" s="422"/>
    </row>
    <row r="86" spans="1:19" ht="12.95" customHeight="1" x14ac:dyDescent="0.25">
      <c r="A86" s="202" t="s">
        <v>91</v>
      </c>
      <c r="B86" s="393">
        <v>1420.9010000000001</v>
      </c>
      <c r="C86" s="392">
        <v>76.141999999999996</v>
      </c>
      <c r="D86" s="459">
        <v>11.29</v>
      </c>
      <c r="E86" s="394">
        <v>243.16800000000001</v>
      </c>
      <c r="F86" s="394">
        <v>657.41300000000001</v>
      </c>
      <c r="G86" s="394">
        <v>62.377000000000002</v>
      </c>
      <c r="H86" s="394">
        <v>80.680999999999997</v>
      </c>
      <c r="I86" s="394">
        <v>127.417</v>
      </c>
      <c r="L86" s="422"/>
      <c r="M86" s="422"/>
      <c r="N86" s="422"/>
      <c r="O86" s="422"/>
      <c r="P86" s="422"/>
      <c r="Q86" s="422"/>
      <c r="R86" s="422"/>
      <c r="S86" s="422"/>
    </row>
    <row r="87" spans="1:19" ht="12.95" customHeight="1" x14ac:dyDescent="0.25">
      <c r="A87" s="202" t="s">
        <v>92</v>
      </c>
      <c r="B87" s="393">
        <v>1273.528</v>
      </c>
      <c r="C87" s="392">
        <v>51.506</v>
      </c>
      <c r="D87" s="459">
        <v>12.912000000000001</v>
      </c>
      <c r="E87" s="394">
        <v>243.65299999999999</v>
      </c>
      <c r="F87" s="394">
        <v>634.85</v>
      </c>
      <c r="G87" s="394">
        <v>39.344999999999999</v>
      </c>
      <c r="H87" s="394">
        <v>54.439</v>
      </c>
      <c r="I87" s="394">
        <v>96.896000000000001</v>
      </c>
      <c r="L87" s="422"/>
      <c r="M87" s="422"/>
      <c r="N87" s="422"/>
      <c r="O87" s="422"/>
      <c r="P87" s="422"/>
      <c r="Q87" s="422"/>
      <c r="R87" s="422"/>
      <c r="S87" s="422"/>
    </row>
    <row r="88" spans="1:19" s="8" customFormat="1" ht="12.95" customHeight="1" x14ac:dyDescent="0.25">
      <c r="A88" s="202" t="s">
        <v>93</v>
      </c>
      <c r="B88" s="393">
        <v>1263.3879999999999</v>
      </c>
      <c r="C88" s="392">
        <v>30.638999999999999</v>
      </c>
      <c r="D88" s="459">
        <v>5.9939999999999998</v>
      </c>
      <c r="E88" s="394">
        <v>198.40600000000001</v>
      </c>
      <c r="F88" s="394">
        <v>527.68600000000004</v>
      </c>
      <c r="G88" s="394">
        <v>57.506999999999998</v>
      </c>
      <c r="H88" s="394">
        <v>57.3</v>
      </c>
      <c r="I88" s="394">
        <v>98.944000000000003</v>
      </c>
      <c r="L88" s="422"/>
      <c r="M88" s="422"/>
      <c r="N88" s="422"/>
      <c r="O88" s="422"/>
      <c r="P88" s="422"/>
      <c r="Q88" s="422"/>
      <c r="R88" s="422"/>
      <c r="S88" s="422"/>
    </row>
    <row r="89" spans="1:19" ht="12.95" customHeight="1" x14ac:dyDescent="0.25">
      <c r="A89" s="202" t="s">
        <v>94</v>
      </c>
      <c r="B89" s="393">
        <v>1125.6020000000001</v>
      </c>
      <c r="C89" s="392">
        <v>30.231000000000002</v>
      </c>
      <c r="D89" s="459">
        <v>3.524</v>
      </c>
      <c r="E89" s="394">
        <v>216.81200000000001</v>
      </c>
      <c r="F89" s="394">
        <v>504.935</v>
      </c>
      <c r="G89" s="394">
        <v>53.692999999999998</v>
      </c>
      <c r="H89" s="394">
        <v>85.593000000000004</v>
      </c>
      <c r="I89" s="394">
        <v>117.401</v>
      </c>
      <c r="L89" s="422"/>
      <c r="M89" s="422"/>
      <c r="N89" s="422"/>
      <c r="O89" s="422"/>
      <c r="P89" s="422"/>
      <c r="Q89" s="422"/>
      <c r="R89" s="422"/>
      <c r="S89" s="422"/>
    </row>
    <row r="90" spans="1:19" ht="12.95" customHeight="1" x14ac:dyDescent="0.25">
      <c r="A90" s="206" t="s">
        <v>95</v>
      </c>
      <c r="B90" s="398">
        <v>1221.7639999999999</v>
      </c>
      <c r="C90" s="389">
        <v>21.518999999999998</v>
      </c>
      <c r="D90" s="460">
        <v>10.246</v>
      </c>
      <c r="E90" s="390">
        <v>205.17400000000001</v>
      </c>
      <c r="F90" s="390">
        <v>550.15899999999999</v>
      </c>
      <c r="G90" s="390">
        <v>56.975999999999999</v>
      </c>
      <c r="H90" s="390">
        <v>80.622</v>
      </c>
      <c r="I90" s="390">
        <v>139.49299999999999</v>
      </c>
      <c r="L90" s="422"/>
      <c r="M90" s="422"/>
      <c r="N90" s="422"/>
      <c r="O90" s="422"/>
      <c r="P90" s="422"/>
      <c r="Q90" s="422"/>
      <c r="R90" s="422"/>
      <c r="S90" s="422"/>
    </row>
    <row r="91" spans="1:19" ht="12.95" customHeight="1" x14ac:dyDescent="0.25">
      <c r="A91" s="202" t="s">
        <v>84</v>
      </c>
      <c r="B91" s="393">
        <v>1101.355</v>
      </c>
      <c r="C91" s="392">
        <v>17.977</v>
      </c>
      <c r="D91" s="459">
        <v>4.9770000000000003</v>
      </c>
      <c r="E91" s="394">
        <v>185.76</v>
      </c>
      <c r="F91" s="394">
        <v>462.21600000000001</v>
      </c>
      <c r="G91" s="394">
        <v>54.640999999999998</v>
      </c>
      <c r="H91" s="394">
        <v>69.266000000000005</v>
      </c>
      <c r="I91" s="394">
        <v>146.75899999999999</v>
      </c>
      <c r="L91" s="422"/>
      <c r="M91" s="422"/>
      <c r="N91" s="422"/>
      <c r="O91" s="422"/>
      <c r="P91" s="422"/>
      <c r="Q91" s="422"/>
      <c r="R91" s="422"/>
      <c r="S91" s="422"/>
    </row>
    <row r="92" spans="1:19" ht="12.95" customHeight="1" x14ac:dyDescent="0.25">
      <c r="A92" s="202" t="s">
        <v>96</v>
      </c>
      <c r="B92" s="421">
        <v>784.01</v>
      </c>
      <c r="C92" s="392">
        <v>14.44</v>
      </c>
      <c r="D92" s="459">
        <v>3.8159999999999998</v>
      </c>
      <c r="E92" s="394">
        <v>140.072</v>
      </c>
      <c r="F92" s="394">
        <v>357.09</v>
      </c>
      <c r="G92" s="394">
        <v>33.728999999999999</v>
      </c>
      <c r="H92" s="394">
        <v>40.33</v>
      </c>
      <c r="I92" s="394">
        <v>109.438</v>
      </c>
      <c r="L92" s="422"/>
      <c r="M92" s="422"/>
      <c r="N92" s="422"/>
      <c r="O92" s="422"/>
      <c r="P92" s="422"/>
      <c r="Q92" s="422"/>
      <c r="R92" s="422"/>
      <c r="S92" s="422"/>
    </row>
    <row r="93" spans="1:19" ht="12.95" customHeight="1" x14ac:dyDescent="0.25">
      <c r="A93" s="202" t="s">
        <v>88</v>
      </c>
      <c r="B93" s="393">
        <v>1236.7070000000001</v>
      </c>
      <c r="C93" s="392">
        <v>17.408000000000001</v>
      </c>
      <c r="D93" s="459">
        <v>6.5869999999999997</v>
      </c>
      <c r="E93" s="394">
        <v>183.20500000000001</v>
      </c>
      <c r="F93" s="394">
        <v>528.91499999999996</v>
      </c>
      <c r="G93" s="394">
        <v>93.531999999999996</v>
      </c>
      <c r="H93" s="394">
        <v>68.22</v>
      </c>
      <c r="I93" s="394">
        <v>174.73699999999999</v>
      </c>
      <c r="L93" s="422"/>
      <c r="M93" s="422"/>
      <c r="N93" s="422"/>
      <c r="O93" s="422"/>
      <c r="P93" s="422"/>
      <c r="Q93" s="422"/>
      <c r="R93" s="422"/>
      <c r="S93" s="422"/>
    </row>
    <row r="94" spans="1:19" ht="12.95" customHeight="1" x14ac:dyDescent="0.25">
      <c r="A94" s="202" t="s">
        <v>97</v>
      </c>
      <c r="B94" s="393">
        <v>1098.229</v>
      </c>
      <c r="C94" s="392">
        <v>12.426</v>
      </c>
      <c r="D94" s="459">
        <v>5.7350000000000003</v>
      </c>
      <c r="E94" s="394">
        <v>174.27699999999999</v>
      </c>
      <c r="F94" s="394">
        <v>573.16899999999998</v>
      </c>
      <c r="G94" s="394">
        <v>41.418999999999997</v>
      </c>
      <c r="H94" s="394">
        <v>70.093000000000004</v>
      </c>
      <c r="I94" s="394">
        <v>101.63500000000001</v>
      </c>
      <c r="L94" s="422"/>
      <c r="M94" s="422"/>
      <c r="N94" s="422"/>
      <c r="O94" s="422"/>
      <c r="P94" s="422"/>
      <c r="Q94" s="422"/>
      <c r="R94" s="422"/>
      <c r="S94" s="422"/>
    </row>
    <row r="95" spans="1:19" ht="12.95" customHeight="1" x14ac:dyDescent="0.25">
      <c r="A95" s="202" t="s">
        <v>98</v>
      </c>
      <c r="B95" s="393">
        <v>1356.5050000000001</v>
      </c>
      <c r="C95" s="392">
        <v>31.274999999999999</v>
      </c>
      <c r="D95" s="459">
        <v>16.532</v>
      </c>
      <c r="E95" s="394">
        <v>246.67099999999999</v>
      </c>
      <c r="F95" s="394">
        <v>669.67</v>
      </c>
      <c r="G95" s="394">
        <v>61.023000000000003</v>
      </c>
      <c r="H95" s="394">
        <v>88.191000000000003</v>
      </c>
      <c r="I95" s="394">
        <v>110.041</v>
      </c>
      <c r="L95" s="422"/>
      <c r="M95" s="422"/>
      <c r="N95" s="422"/>
      <c r="O95" s="422"/>
      <c r="P95" s="422"/>
      <c r="Q95" s="422"/>
      <c r="R95" s="422"/>
      <c r="S95" s="422"/>
    </row>
    <row r="96" spans="1:19" ht="12.95" customHeight="1" x14ac:dyDescent="0.25">
      <c r="A96" s="202" t="s">
        <v>99</v>
      </c>
      <c r="B96" s="393">
        <v>1331.075</v>
      </c>
      <c r="C96" s="392">
        <v>22.524999999999999</v>
      </c>
      <c r="D96" s="459">
        <v>10.920999999999999</v>
      </c>
      <c r="E96" s="394">
        <v>202.494</v>
      </c>
      <c r="F96" s="394">
        <v>646.38800000000003</v>
      </c>
      <c r="G96" s="394">
        <v>46.945</v>
      </c>
      <c r="H96" s="394">
        <v>88.353999999999999</v>
      </c>
      <c r="I96" s="394">
        <v>139.471</v>
      </c>
      <c r="L96" s="422"/>
      <c r="M96" s="422"/>
      <c r="N96" s="422"/>
      <c r="O96" s="422"/>
      <c r="P96" s="422"/>
      <c r="Q96" s="422"/>
      <c r="R96" s="422"/>
      <c r="S96" s="422"/>
    </row>
    <row r="97" spans="1:19" ht="12.95" customHeight="1" x14ac:dyDescent="0.25">
      <c r="A97" s="202" t="s">
        <v>100</v>
      </c>
      <c r="B97" s="393">
        <v>1402.569</v>
      </c>
      <c r="C97" s="392">
        <v>20.212</v>
      </c>
      <c r="D97" s="459">
        <v>13.896000000000001</v>
      </c>
      <c r="E97" s="394">
        <v>229.90899999999999</v>
      </c>
      <c r="F97" s="394">
        <v>572.245</v>
      </c>
      <c r="G97" s="394">
        <v>49.898000000000003</v>
      </c>
      <c r="H97" s="394">
        <v>96.510999999999996</v>
      </c>
      <c r="I97" s="394">
        <v>179.506</v>
      </c>
      <c r="L97" s="422"/>
      <c r="M97" s="422"/>
      <c r="N97" s="422"/>
      <c r="O97" s="422"/>
      <c r="P97" s="422"/>
      <c r="Q97" s="422"/>
      <c r="R97" s="422"/>
      <c r="S97" s="422"/>
    </row>
    <row r="98" spans="1:19" ht="12.95" customHeight="1" x14ac:dyDescent="0.25">
      <c r="A98" s="202" t="s">
        <v>101</v>
      </c>
      <c r="B98" s="393">
        <v>1157.848</v>
      </c>
      <c r="C98" s="392">
        <v>7.8179999999999996</v>
      </c>
      <c r="D98" s="459">
        <v>1.4219999999999999</v>
      </c>
      <c r="E98" s="394">
        <v>199.01599999999999</v>
      </c>
      <c r="F98" s="394">
        <v>486.87900000000002</v>
      </c>
      <c r="G98" s="394">
        <v>86.003</v>
      </c>
      <c r="H98" s="394">
        <v>93.822000000000003</v>
      </c>
      <c r="I98" s="394">
        <v>172.00700000000001</v>
      </c>
      <c r="L98" s="422"/>
      <c r="M98" s="422"/>
      <c r="N98" s="422"/>
      <c r="O98" s="422"/>
      <c r="P98" s="422"/>
      <c r="Q98" s="422"/>
      <c r="R98" s="422"/>
      <c r="S98" s="422"/>
    </row>
    <row r="99" spans="1:19" ht="12.95" customHeight="1" x14ac:dyDescent="0.25">
      <c r="A99" s="202" t="s">
        <v>102</v>
      </c>
      <c r="B99" s="393">
        <v>1252.894</v>
      </c>
      <c r="C99" s="392">
        <v>18.611000000000001</v>
      </c>
      <c r="D99" s="459">
        <v>10.84</v>
      </c>
      <c r="E99" s="394">
        <v>248.90199999999999</v>
      </c>
      <c r="F99" s="394">
        <v>332.55099999999999</v>
      </c>
      <c r="G99" s="394">
        <v>49.085000000000001</v>
      </c>
      <c r="H99" s="394">
        <v>140.91499999999999</v>
      </c>
      <c r="I99" s="394">
        <v>161.36699999999999</v>
      </c>
      <c r="L99" s="422"/>
      <c r="M99" s="422"/>
      <c r="N99" s="422"/>
      <c r="O99" s="422"/>
      <c r="P99" s="422"/>
      <c r="Q99" s="422"/>
      <c r="R99" s="422"/>
      <c r="S99" s="422"/>
    </row>
    <row r="100" spans="1:19" ht="12.95" customHeight="1" x14ac:dyDescent="0.25">
      <c r="A100" s="202" t="s">
        <v>103</v>
      </c>
      <c r="B100" s="393">
        <v>1423.5519999999999</v>
      </c>
      <c r="C100" s="392">
        <v>26.396999999999998</v>
      </c>
      <c r="D100" s="459">
        <v>17.597999999999999</v>
      </c>
      <c r="E100" s="394">
        <v>226.88800000000001</v>
      </c>
      <c r="F100" s="394">
        <v>808.87900000000002</v>
      </c>
      <c r="G100" s="394">
        <v>74.790999999999997</v>
      </c>
      <c r="H100" s="394">
        <v>80.447999999999993</v>
      </c>
      <c r="I100" s="394">
        <v>159.01</v>
      </c>
      <c r="L100" s="422"/>
      <c r="M100" s="422"/>
      <c r="N100" s="422"/>
      <c r="O100" s="422"/>
      <c r="P100" s="422"/>
      <c r="Q100" s="422"/>
      <c r="R100" s="422"/>
      <c r="S100" s="422"/>
    </row>
    <row r="101" spans="1:19" ht="12.95" customHeight="1" x14ac:dyDescent="0.25">
      <c r="A101" s="273" t="s">
        <v>104</v>
      </c>
      <c r="B101" s="399">
        <v>908.45399999999995</v>
      </c>
      <c r="C101" s="400">
        <v>48.024000000000001</v>
      </c>
      <c r="D101" s="461">
        <v>26.013000000000002</v>
      </c>
      <c r="E101" s="401">
        <v>134.06700000000001</v>
      </c>
      <c r="F101" s="401">
        <v>388.19400000000002</v>
      </c>
      <c r="G101" s="401">
        <v>36.018000000000001</v>
      </c>
      <c r="H101" s="401">
        <v>46.023000000000003</v>
      </c>
      <c r="I101" s="401">
        <v>186.09299999999999</v>
      </c>
      <c r="L101" s="422"/>
      <c r="M101" s="422"/>
      <c r="N101" s="422"/>
      <c r="O101" s="422"/>
      <c r="P101" s="422"/>
      <c r="Q101" s="422"/>
      <c r="R101" s="422"/>
      <c r="S101" s="422"/>
    </row>
    <row r="104" spans="1:19" ht="12.75" customHeight="1" x14ac:dyDescent="0.2">
      <c r="A104" s="12"/>
      <c r="B104" s="12"/>
      <c r="C104" s="68"/>
      <c r="E104" s="69"/>
      <c r="G104" s="66"/>
      <c r="H104" s="66"/>
      <c r="I104" s="67"/>
    </row>
    <row r="105" spans="1:19" x14ac:dyDescent="0.2">
      <c r="C105" s="68"/>
      <c r="E105" s="69"/>
      <c r="G105" s="66"/>
      <c r="H105" s="66"/>
      <c r="I105" s="67"/>
    </row>
    <row r="106" spans="1:19" x14ac:dyDescent="0.2">
      <c r="C106" s="68"/>
      <c r="E106" s="69"/>
      <c r="G106" s="66"/>
      <c r="H106" s="66"/>
      <c r="I106" s="67"/>
    </row>
    <row r="107" spans="1:19" x14ac:dyDescent="0.2">
      <c r="C107" s="68"/>
      <c r="E107" s="69"/>
      <c r="G107" s="66"/>
      <c r="H107" s="66"/>
      <c r="I107" s="67"/>
    </row>
    <row r="108" spans="1:19" x14ac:dyDescent="0.2">
      <c r="C108" s="68"/>
      <c r="E108" s="69"/>
      <c r="G108" s="66"/>
      <c r="H108" s="66"/>
      <c r="I108" s="67"/>
    </row>
    <row r="109" spans="1:19" x14ac:dyDescent="0.2">
      <c r="C109" s="68"/>
      <c r="E109" s="69"/>
      <c r="G109" s="66"/>
      <c r="H109" s="66"/>
      <c r="I109" s="67"/>
    </row>
    <row r="110" spans="1:19" x14ac:dyDescent="0.2">
      <c r="C110" s="68"/>
      <c r="E110" s="69"/>
      <c r="G110" s="66"/>
      <c r="H110" s="66"/>
      <c r="I110" s="67"/>
    </row>
    <row r="111" spans="1:19" x14ac:dyDescent="0.2">
      <c r="A111" s="9"/>
      <c r="B111" s="9"/>
      <c r="C111" s="68"/>
      <c r="E111" s="69"/>
      <c r="G111" s="66"/>
      <c r="H111" s="66"/>
      <c r="I111" s="67"/>
    </row>
    <row r="112" spans="1:19" x14ac:dyDescent="0.2">
      <c r="A112" s="9"/>
      <c r="B112" s="9"/>
      <c r="C112" s="68"/>
      <c r="E112" s="69"/>
      <c r="G112" s="66"/>
      <c r="H112" s="66"/>
      <c r="I112" s="67"/>
    </row>
    <row r="113" spans="1:9" x14ac:dyDescent="0.2">
      <c r="A113" s="9"/>
      <c r="B113" s="9"/>
      <c r="C113" s="68"/>
      <c r="E113" s="69"/>
      <c r="G113" s="66"/>
      <c r="H113" s="66"/>
      <c r="I113" s="67"/>
    </row>
    <row r="114" spans="1:9" x14ac:dyDescent="0.2">
      <c r="A114" s="9"/>
      <c r="B114" s="9"/>
      <c r="C114" s="68"/>
      <c r="E114" s="69"/>
      <c r="G114" s="66"/>
      <c r="H114" s="66"/>
    </row>
    <row r="115" spans="1:9" x14ac:dyDescent="0.2">
      <c r="A115" s="9"/>
      <c r="B115" s="9"/>
      <c r="C115" s="68"/>
      <c r="E115" s="69"/>
      <c r="G115" s="66"/>
      <c r="H115" s="66"/>
    </row>
    <row r="116" spans="1:9" x14ac:dyDescent="0.2">
      <c r="A116" s="9"/>
      <c r="B116" s="9"/>
      <c r="C116" s="68"/>
      <c r="G116" s="66"/>
      <c r="H116" s="66"/>
    </row>
    <row r="117" spans="1:9" x14ac:dyDescent="0.2">
      <c r="A117" s="9"/>
      <c r="B117" s="9"/>
      <c r="C117" s="68"/>
      <c r="G117" s="66"/>
      <c r="H117" s="66"/>
    </row>
    <row r="118" spans="1:9" x14ac:dyDescent="0.2">
      <c r="A118" s="9"/>
      <c r="B118" s="9"/>
      <c r="C118" s="68"/>
      <c r="G118" s="66"/>
      <c r="H118" s="66"/>
    </row>
    <row r="119" spans="1:9" x14ac:dyDescent="0.2">
      <c r="A119" s="9"/>
      <c r="B119" s="9"/>
      <c r="C119" s="68"/>
      <c r="G119" s="70"/>
      <c r="H119" s="66"/>
    </row>
    <row r="120" spans="1:9" x14ac:dyDescent="0.2">
      <c r="A120" s="9"/>
      <c r="B120" s="9"/>
      <c r="C120" s="68"/>
      <c r="G120" s="70"/>
      <c r="H120" s="66"/>
    </row>
    <row r="121" spans="1:9" x14ac:dyDescent="0.2">
      <c r="A121" s="9"/>
      <c r="B121" s="9"/>
      <c r="C121" s="68"/>
      <c r="G121" s="70"/>
      <c r="H121" s="66"/>
    </row>
    <row r="122" spans="1:9" x14ac:dyDescent="0.2">
      <c r="A122" s="9"/>
      <c r="B122" s="9"/>
      <c r="G122" s="70"/>
      <c r="H122" s="66"/>
    </row>
    <row r="123" spans="1:9" x14ac:dyDescent="0.2">
      <c r="A123" s="9"/>
      <c r="B123" s="9"/>
      <c r="G123" s="70"/>
      <c r="H123" s="66"/>
    </row>
    <row r="124" spans="1:9" x14ac:dyDescent="0.2">
      <c r="A124" s="9"/>
      <c r="B124" s="9"/>
      <c r="G124" s="70"/>
      <c r="H124" s="66"/>
    </row>
    <row r="125" spans="1:9" x14ac:dyDescent="0.2">
      <c r="A125" s="9"/>
      <c r="B125" s="9"/>
      <c r="G125" s="70"/>
      <c r="H125" s="66"/>
    </row>
    <row r="126" spans="1:9" x14ac:dyDescent="0.2">
      <c r="A126" s="9"/>
      <c r="B126" s="9"/>
      <c r="G126" s="70"/>
      <c r="H126" s="66"/>
    </row>
    <row r="127" spans="1:9" x14ac:dyDescent="0.2">
      <c r="A127" s="9"/>
      <c r="B127" s="9"/>
      <c r="G127" s="70"/>
      <c r="H127" s="66"/>
    </row>
    <row r="128" spans="1:9" x14ac:dyDescent="0.2">
      <c r="A128" s="9"/>
      <c r="B128" s="9"/>
      <c r="G128" s="70"/>
      <c r="H128" s="66"/>
    </row>
    <row r="129" spans="1:9" x14ac:dyDescent="0.2">
      <c r="A129" s="9"/>
      <c r="B129" s="9"/>
      <c r="C129" s="9"/>
      <c r="D129" s="9"/>
      <c r="E129" s="9"/>
      <c r="F129" s="9"/>
      <c r="G129" s="70"/>
      <c r="H129" s="9"/>
      <c r="I129" s="9"/>
    </row>
    <row r="130" spans="1:9" x14ac:dyDescent="0.2">
      <c r="C130" s="9"/>
      <c r="D130" s="9"/>
      <c r="E130" s="9"/>
      <c r="F130" s="9"/>
      <c r="G130" s="70"/>
      <c r="H130" s="9"/>
      <c r="I130" s="9"/>
    </row>
    <row r="131" spans="1:9" x14ac:dyDescent="0.2">
      <c r="C131" s="9"/>
      <c r="D131" s="9"/>
      <c r="E131" s="9"/>
      <c r="F131" s="9"/>
      <c r="G131" s="70"/>
      <c r="H131" s="9"/>
      <c r="I131" s="9"/>
    </row>
    <row r="145" spans="1:9" x14ac:dyDescent="0.2">
      <c r="A145" s="9"/>
      <c r="B145" s="9"/>
      <c r="C145" s="9"/>
      <c r="D145" s="9"/>
      <c r="E145" s="9"/>
      <c r="F145" s="9"/>
      <c r="G145" s="9"/>
      <c r="H145" s="9"/>
      <c r="I145" s="9"/>
    </row>
    <row r="146" spans="1:9" x14ac:dyDescent="0.2">
      <c r="A146" s="9"/>
      <c r="B146" s="9"/>
      <c r="C146" s="9"/>
      <c r="D146" s="9"/>
      <c r="E146" s="9"/>
      <c r="F146" s="9"/>
      <c r="G146" s="9"/>
      <c r="H146" s="9"/>
      <c r="I146" s="9"/>
    </row>
    <row r="147" spans="1:9" x14ac:dyDescent="0.2">
      <c r="A147" s="9"/>
      <c r="B147" s="9"/>
      <c r="C147" s="9"/>
      <c r="D147" s="9"/>
      <c r="E147" s="9"/>
      <c r="F147" s="9"/>
      <c r="G147" s="9"/>
      <c r="H147" s="9"/>
      <c r="I147" s="9"/>
    </row>
    <row r="148" spans="1:9" x14ac:dyDescent="0.2">
      <c r="A148" s="9"/>
      <c r="B148" s="9"/>
      <c r="C148" s="9"/>
      <c r="D148" s="9"/>
      <c r="E148" s="9"/>
      <c r="F148" s="9"/>
      <c r="G148" s="9"/>
      <c r="H148" s="9"/>
      <c r="I148" s="9"/>
    </row>
    <row r="149" spans="1:9" x14ac:dyDescent="0.2">
      <c r="A149" s="9"/>
      <c r="B149" s="9"/>
      <c r="C149" s="9"/>
      <c r="D149" s="9"/>
      <c r="E149" s="9"/>
      <c r="F149" s="9"/>
      <c r="G149" s="9"/>
      <c r="H149" s="9"/>
      <c r="I149" s="9"/>
    </row>
    <row r="150" spans="1:9" x14ac:dyDescent="0.2">
      <c r="A150" s="9"/>
      <c r="B150" s="9"/>
      <c r="C150" s="9"/>
      <c r="D150" s="9"/>
      <c r="E150" s="9"/>
      <c r="F150" s="9"/>
      <c r="G150" s="9"/>
      <c r="H150" s="9"/>
      <c r="I150" s="9"/>
    </row>
    <row r="151" spans="1:9" x14ac:dyDescent="0.2">
      <c r="A151" s="9"/>
      <c r="B151" s="9"/>
      <c r="C151" s="9"/>
      <c r="D151" s="9"/>
      <c r="E151" s="9"/>
      <c r="F151" s="9"/>
      <c r="G151" s="9"/>
      <c r="H151" s="9"/>
      <c r="I151" s="9"/>
    </row>
    <row r="152" spans="1:9" x14ac:dyDescent="0.2">
      <c r="A152" s="9"/>
      <c r="B152" s="9"/>
      <c r="C152" s="9"/>
      <c r="D152" s="9"/>
      <c r="E152" s="9"/>
      <c r="F152" s="9"/>
      <c r="G152" s="9"/>
      <c r="H152" s="9"/>
      <c r="I152" s="9"/>
    </row>
    <row r="153" spans="1:9" x14ac:dyDescent="0.2">
      <c r="A153" s="9"/>
      <c r="B153" s="9"/>
      <c r="C153" s="9"/>
      <c r="D153" s="9"/>
      <c r="E153" s="9"/>
      <c r="F153" s="9"/>
      <c r="G153" s="9"/>
      <c r="H153" s="9"/>
      <c r="I153" s="9"/>
    </row>
    <row r="154" spans="1:9" x14ac:dyDescent="0.2">
      <c r="A154" s="9"/>
      <c r="B154" s="9"/>
      <c r="C154" s="9"/>
      <c r="D154" s="9"/>
      <c r="E154" s="9"/>
      <c r="F154" s="9"/>
      <c r="G154" s="9"/>
      <c r="H154" s="9"/>
      <c r="I154" s="9"/>
    </row>
    <row r="155" spans="1:9" x14ac:dyDescent="0.2">
      <c r="A155" s="9"/>
      <c r="B155" s="9"/>
      <c r="C155" s="9"/>
      <c r="D155" s="9"/>
      <c r="E155" s="9"/>
      <c r="F155" s="9"/>
      <c r="G155" s="9"/>
      <c r="H155" s="9"/>
      <c r="I155" s="9"/>
    </row>
    <row r="156" spans="1:9" x14ac:dyDescent="0.2">
      <c r="A156" s="9"/>
      <c r="B156" s="9"/>
      <c r="C156" s="9"/>
      <c r="D156" s="9"/>
      <c r="E156" s="9"/>
      <c r="F156" s="9"/>
      <c r="G156" s="9"/>
      <c r="H156" s="9"/>
      <c r="I156" s="9"/>
    </row>
    <row r="157" spans="1:9" x14ac:dyDescent="0.2">
      <c r="A157" s="9"/>
      <c r="B157" s="9"/>
      <c r="C157" s="9"/>
      <c r="D157" s="9"/>
      <c r="E157" s="9"/>
      <c r="F157" s="9"/>
      <c r="G157" s="9"/>
      <c r="H157" s="9"/>
      <c r="I157" s="9"/>
    </row>
    <row r="158" spans="1:9" x14ac:dyDescent="0.2">
      <c r="A158" s="9"/>
      <c r="B158" s="9"/>
      <c r="C158" s="9"/>
      <c r="D158" s="9"/>
      <c r="E158" s="9"/>
      <c r="F158" s="9"/>
      <c r="G158" s="9"/>
      <c r="H158" s="9"/>
      <c r="I158" s="9"/>
    </row>
    <row r="159" spans="1:9" x14ac:dyDescent="0.2">
      <c r="A159" s="9"/>
      <c r="B159" s="9"/>
      <c r="C159" s="9"/>
      <c r="D159" s="9"/>
      <c r="E159" s="9"/>
      <c r="F159" s="9"/>
      <c r="G159" s="9"/>
      <c r="H159" s="9"/>
      <c r="I159" s="9"/>
    </row>
    <row r="160" spans="1:9" x14ac:dyDescent="0.2">
      <c r="A160" s="9"/>
      <c r="B160" s="9"/>
      <c r="C160" s="9"/>
      <c r="D160" s="9"/>
      <c r="E160" s="9"/>
      <c r="F160" s="9"/>
      <c r="G160" s="9"/>
      <c r="H160" s="9"/>
      <c r="I160" s="9"/>
    </row>
    <row r="161" spans="1:9" x14ac:dyDescent="0.2">
      <c r="A161" s="9"/>
      <c r="B161" s="9"/>
      <c r="C161" s="9"/>
      <c r="D161" s="9"/>
      <c r="E161" s="9"/>
      <c r="F161" s="9"/>
      <c r="G161" s="9"/>
      <c r="H161" s="9"/>
      <c r="I161" s="9"/>
    </row>
    <row r="162" spans="1:9" x14ac:dyDescent="0.2">
      <c r="A162" s="9"/>
      <c r="B162" s="9"/>
      <c r="C162" s="9"/>
      <c r="D162" s="9"/>
      <c r="E162" s="9"/>
      <c r="F162" s="9"/>
      <c r="G162" s="9"/>
      <c r="H162" s="9"/>
      <c r="I162" s="9"/>
    </row>
    <row r="163" spans="1:9" x14ac:dyDescent="0.2">
      <c r="A163" s="9"/>
      <c r="B163" s="9"/>
      <c r="C163" s="9"/>
      <c r="D163" s="9"/>
      <c r="E163" s="9"/>
      <c r="F163" s="9"/>
      <c r="G163" s="9"/>
      <c r="H163" s="9"/>
      <c r="I163" s="9"/>
    </row>
    <row r="164" spans="1:9" x14ac:dyDescent="0.2">
      <c r="A164" s="9"/>
      <c r="B164" s="9"/>
      <c r="C164" s="9"/>
      <c r="D164" s="9"/>
      <c r="E164" s="9"/>
      <c r="F164" s="9"/>
      <c r="G164" s="9"/>
      <c r="H164" s="9"/>
      <c r="I164" s="9"/>
    </row>
    <row r="165" spans="1:9" x14ac:dyDescent="0.2">
      <c r="A165" s="9"/>
      <c r="B165" s="9"/>
      <c r="C165" s="9"/>
      <c r="D165" s="9"/>
      <c r="E165" s="9"/>
      <c r="F165" s="9"/>
      <c r="G165" s="9"/>
      <c r="H165" s="9"/>
      <c r="I165" s="9"/>
    </row>
    <row r="166" spans="1:9" x14ac:dyDescent="0.2">
      <c r="A166" s="9"/>
      <c r="B166" s="9"/>
      <c r="C166" s="9"/>
      <c r="D166" s="9"/>
      <c r="E166" s="9"/>
      <c r="F166" s="9"/>
      <c r="G166" s="9"/>
      <c r="H166" s="9"/>
      <c r="I166" s="9"/>
    </row>
    <row r="167" spans="1:9" x14ac:dyDescent="0.2">
      <c r="A167" s="9"/>
      <c r="B167" s="9"/>
      <c r="C167" s="9"/>
      <c r="D167" s="9"/>
      <c r="E167" s="9"/>
      <c r="F167" s="9"/>
      <c r="G167" s="9"/>
      <c r="H167" s="9"/>
      <c r="I167" s="9"/>
    </row>
    <row r="168" spans="1:9" x14ac:dyDescent="0.2">
      <c r="A168" s="9"/>
      <c r="B168" s="9"/>
      <c r="C168" s="9"/>
      <c r="D168" s="9"/>
      <c r="E168" s="9"/>
      <c r="F168" s="9"/>
      <c r="G168" s="9"/>
      <c r="H168" s="9"/>
      <c r="I168" s="9"/>
    </row>
    <row r="169" spans="1:9" x14ac:dyDescent="0.2">
      <c r="A169" s="9"/>
      <c r="B169" s="9"/>
      <c r="C169" s="9"/>
      <c r="D169" s="9"/>
      <c r="E169" s="9"/>
      <c r="F169" s="9"/>
      <c r="G169" s="9"/>
      <c r="H169" s="9"/>
      <c r="I169" s="9"/>
    </row>
    <row r="170" spans="1:9" x14ac:dyDescent="0.2">
      <c r="A170" s="9"/>
      <c r="B170" s="9"/>
      <c r="C170" s="9"/>
      <c r="D170" s="9"/>
      <c r="E170" s="9"/>
      <c r="F170" s="9"/>
      <c r="G170" s="9"/>
      <c r="H170" s="9"/>
      <c r="I170" s="9"/>
    </row>
    <row r="171" spans="1:9" x14ac:dyDescent="0.2">
      <c r="A171" s="9"/>
      <c r="B171" s="9"/>
      <c r="C171" s="9"/>
      <c r="D171" s="9"/>
      <c r="E171" s="9"/>
      <c r="F171" s="9"/>
      <c r="G171" s="9"/>
      <c r="H171" s="9"/>
      <c r="I171" s="9"/>
    </row>
    <row r="172" spans="1:9" x14ac:dyDescent="0.2">
      <c r="A172" s="9"/>
      <c r="B172" s="9"/>
      <c r="C172" s="9"/>
      <c r="D172" s="9"/>
      <c r="E172" s="9"/>
      <c r="F172" s="9"/>
      <c r="G172" s="9"/>
      <c r="H172" s="9"/>
      <c r="I172" s="9"/>
    </row>
    <row r="173" spans="1:9" x14ac:dyDescent="0.2">
      <c r="A173" s="9"/>
      <c r="B173" s="9"/>
      <c r="C173" s="9"/>
      <c r="D173" s="9"/>
      <c r="E173" s="9"/>
      <c r="F173" s="9"/>
      <c r="G173" s="9"/>
      <c r="H173" s="9"/>
      <c r="I173" s="9"/>
    </row>
    <row r="174" spans="1:9" x14ac:dyDescent="0.2">
      <c r="A174" s="9"/>
      <c r="B174" s="9"/>
      <c r="C174" s="9"/>
      <c r="D174" s="9"/>
      <c r="E174" s="9"/>
      <c r="F174" s="9"/>
      <c r="G174" s="9"/>
      <c r="H174" s="9"/>
      <c r="I174" s="9"/>
    </row>
    <row r="175" spans="1:9" x14ac:dyDescent="0.2">
      <c r="A175" s="9"/>
      <c r="B175" s="9"/>
      <c r="C175" s="9"/>
      <c r="D175" s="9"/>
      <c r="E175" s="9"/>
      <c r="F175" s="9"/>
      <c r="G175" s="9"/>
      <c r="H175" s="9"/>
      <c r="I175" s="9"/>
    </row>
    <row r="176" spans="1:9" x14ac:dyDescent="0.2">
      <c r="A176" s="9"/>
      <c r="B176" s="9"/>
      <c r="C176" s="9"/>
      <c r="D176" s="9"/>
      <c r="E176" s="9"/>
      <c r="F176" s="9"/>
      <c r="G176" s="9"/>
      <c r="H176" s="9"/>
      <c r="I176" s="9"/>
    </row>
    <row r="177" spans="1:9" x14ac:dyDescent="0.2">
      <c r="A177" s="9"/>
      <c r="B177" s="9"/>
      <c r="C177" s="9"/>
      <c r="D177" s="9"/>
      <c r="E177" s="9"/>
      <c r="F177" s="9"/>
      <c r="G177" s="9"/>
      <c r="H177" s="9"/>
      <c r="I177" s="9"/>
    </row>
    <row r="178" spans="1:9" x14ac:dyDescent="0.2">
      <c r="A178" s="9"/>
      <c r="B178" s="9"/>
      <c r="C178" s="9"/>
      <c r="D178" s="9"/>
      <c r="E178" s="9"/>
      <c r="F178" s="9"/>
      <c r="G178" s="9"/>
      <c r="H178" s="9"/>
      <c r="I178" s="9"/>
    </row>
    <row r="179" spans="1:9" x14ac:dyDescent="0.2">
      <c r="A179" s="9"/>
      <c r="B179" s="9"/>
      <c r="C179" s="9"/>
      <c r="D179" s="9"/>
      <c r="E179" s="9"/>
      <c r="F179" s="9"/>
      <c r="G179" s="9"/>
      <c r="H179" s="9"/>
      <c r="I179" s="9"/>
    </row>
    <row r="180" spans="1:9" x14ac:dyDescent="0.2">
      <c r="A180" s="9"/>
      <c r="B180" s="9"/>
      <c r="C180" s="9"/>
      <c r="D180" s="9"/>
      <c r="E180" s="9"/>
      <c r="F180" s="9"/>
      <c r="G180" s="9"/>
      <c r="H180" s="9"/>
      <c r="I180" s="9"/>
    </row>
    <row r="181" spans="1:9" x14ac:dyDescent="0.2">
      <c r="A181" s="9"/>
      <c r="B181" s="9"/>
      <c r="C181" s="9"/>
      <c r="D181" s="9"/>
      <c r="E181" s="9"/>
      <c r="F181" s="9"/>
      <c r="G181" s="9"/>
      <c r="H181" s="9"/>
      <c r="I181" s="9"/>
    </row>
    <row r="182" spans="1:9" x14ac:dyDescent="0.2">
      <c r="A182" s="9"/>
      <c r="B182" s="9"/>
      <c r="C182" s="9"/>
      <c r="D182" s="9"/>
      <c r="E182" s="9"/>
      <c r="F182" s="9"/>
      <c r="G182" s="9"/>
      <c r="H182" s="9"/>
      <c r="I182" s="9"/>
    </row>
    <row r="183" spans="1:9" x14ac:dyDescent="0.2">
      <c r="A183" s="9"/>
      <c r="B183" s="9"/>
      <c r="C183" s="9"/>
      <c r="D183" s="9"/>
      <c r="E183" s="9"/>
      <c r="F183" s="9"/>
      <c r="G183" s="9"/>
      <c r="H183" s="9"/>
      <c r="I183" s="9"/>
    </row>
    <row r="184" spans="1:9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9" x14ac:dyDescent="0.2">
      <c r="A185" s="9"/>
      <c r="B185" s="9"/>
      <c r="C185" s="9"/>
      <c r="D185" s="9"/>
      <c r="E185" s="9"/>
      <c r="F185" s="9"/>
      <c r="G185" s="9"/>
      <c r="H185" s="9"/>
      <c r="I185" s="9"/>
    </row>
    <row r="186" spans="1:9" x14ac:dyDescent="0.2">
      <c r="A186" s="9"/>
      <c r="B186" s="9"/>
      <c r="C186" s="9"/>
      <c r="D186" s="9"/>
      <c r="E186" s="9"/>
      <c r="F186" s="9"/>
      <c r="G186" s="9"/>
      <c r="H186" s="9"/>
      <c r="I186" s="9"/>
    </row>
    <row r="187" spans="1:9" x14ac:dyDescent="0.2">
      <c r="A187" s="9"/>
      <c r="B187" s="9"/>
      <c r="C187" s="9"/>
      <c r="D187" s="9"/>
      <c r="E187" s="9"/>
      <c r="F187" s="9"/>
      <c r="G187" s="9"/>
      <c r="H187" s="9"/>
      <c r="I187" s="9"/>
    </row>
    <row r="188" spans="1:9" x14ac:dyDescent="0.2">
      <c r="A188" s="9"/>
      <c r="B188" s="9"/>
      <c r="C188" s="9"/>
      <c r="D188" s="9"/>
      <c r="E188" s="9"/>
      <c r="F188" s="9"/>
      <c r="G188" s="9"/>
      <c r="H188" s="9"/>
      <c r="I188" s="9"/>
    </row>
    <row r="189" spans="1:9" x14ac:dyDescent="0.2">
      <c r="A189" s="9"/>
      <c r="B189" s="9"/>
      <c r="C189" s="9"/>
      <c r="D189" s="9"/>
      <c r="E189" s="9"/>
      <c r="F189" s="9"/>
      <c r="G189" s="9"/>
      <c r="H189" s="9"/>
      <c r="I189" s="9"/>
    </row>
    <row r="190" spans="1:9" x14ac:dyDescent="0.2">
      <c r="A190" s="9"/>
      <c r="B190" s="9"/>
      <c r="C190" s="9"/>
      <c r="D190" s="9"/>
      <c r="E190" s="9"/>
      <c r="F190" s="9"/>
      <c r="G190" s="9"/>
      <c r="H190" s="9"/>
      <c r="I190" s="9"/>
    </row>
    <row r="191" spans="1:9" x14ac:dyDescent="0.2">
      <c r="A191" s="9"/>
      <c r="B191" s="9"/>
      <c r="C191" s="9"/>
      <c r="D191" s="9"/>
      <c r="E191" s="9"/>
      <c r="F191" s="9"/>
      <c r="G191" s="9"/>
      <c r="H191" s="9"/>
      <c r="I191" s="9"/>
    </row>
    <row r="192" spans="1:9" x14ac:dyDescent="0.2">
      <c r="A192" s="9"/>
      <c r="B192" s="9"/>
      <c r="C192" s="9"/>
      <c r="D192" s="9"/>
      <c r="E192" s="9"/>
      <c r="F192" s="9"/>
      <c r="G192" s="9"/>
      <c r="H192" s="9"/>
      <c r="I192" s="9"/>
    </row>
    <row r="193" spans="1:9" x14ac:dyDescent="0.2">
      <c r="A193" s="9"/>
      <c r="B193" s="9"/>
      <c r="C193" s="9"/>
      <c r="D193" s="9"/>
      <c r="E193" s="9"/>
      <c r="F193" s="9"/>
      <c r="G193" s="9"/>
      <c r="H193" s="9"/>
      <c r="I193" s="9"/>
    </row>
    <row r="194" spans="1:9" x14ac:dyDescent="0.2">
      <c r="A194" s="9"/>
      <c r="B194" s="9"/>
      <c r="C194" s="9"/>
      <c r="D194" s="9"/>
      <c r="E194" s="9"/>
      <c r="F194" s="9"/>
      <c r="G194" s="9"/>
      <c r="H194" s="9"/>
      <c r="I194" s="9"/>
    </row>
    <row r="195" spans="1:9" x14ac:dyDescent="0.2">
      <c r="A195" s="9"/>
      <c r="B195" s="9"/>
      <c r="C195" s="9"/>
      <c r="D195" s="9"/>
      <c r="E195" s="9"/>
      <c r="F195" s="9"/>
      <c r="G195" s="9"/>
      <c r="H195" s="9"/>
      <c r="I195" s="9"/>
    </row>
    <row r="196" spans="1:9" x14ac:dyDescent="0.2">
      <c r="A196" s="9"/>
      <c r="B196" s="9"/>
      <c r="C196" s="9"/>
      <c r="D196" s="9"/>
      <c r="E196" s="9"/>
      <c r="F196" s="9"/>
      <c r="G196" s="9"/>
      <c r="H196" s="9"/>
      <c r="I196" s="9"/>
    </row>
    <row r="197" spans="1:9" x14ac:dyDescent="0.2">
      <c r="A197" s="9"/>
      <c r="B197" s="9"/>
      <c r="C197" s="9"/>
      <c r="D197" s="9"/>
      <c r="E197" s="9"/>
      <c r="F197" s="9"/>
      <c r="G197" s="9"/>
      <c r="H197" s="9"/>
      <c r="I197" s="9"/>
    </row>
    <row r="198" spans="1:9" x14ac:dyDescent="0.2">
      <c r="A198" s="9"/>
      <c r="B198" s="9"/>
      <c r="C198" s="9"/>
      <c r="D198" s="9"/>
      <c r="E198" s="9"/>
      <c r="F198" s="9"/>
      <c r="G198" s="9"/>
      <c r="H198" s="9"/>
      <c r="I198" s="9"/>
    </row>
    <row r="199" spans="1:9" x14ac:dyDescent="0.2">
      <c r="A199" s="9"/>
      <c r="B199" s="9"/>
      <c r="C199" s="9"/>
      <c r="D199" s="9"/>
      <c r="E199" s="9"/>
      <c r="F199" s="9"/>
      <c r="G199" s="9"/>
      <c r="H199" s="9"/>
      <c r="I199" s="9"/>
    </row>
    <row r="200" spans="1:9" x14ac:dyDescent="0.2">
      <c r="A200" s="9"/>
      <c r="B200" s="9"/>
      <c r="C200" s="9"/>
      <c r="D200" s="9"/>
      <c r="E200" s="9"/>
      <c r="F200" s="9"/>
      <c r="G200" s="9"/>
      <c r="H200" s="9"/>
      <c r="I200" s="9"/>
    </row>
    <row r="201" spans="1:9" x14ac:dyDescent="0.2">
      <c r="A201" s="9"/>
      <c r="B201" s="9"/>
      <c r="C201" s="9"/>
      <c r="D201" s="9"/>
      <c r="E201" s="9"/>
      <c r="F201" s="9"/>
      <c r="G201" s="9"/>
      <c r="H201" s="9"/>
      <c r="I201" s="9"/>
    </row>
    <row r="202" spans="1:9" x14ac:dyDescent="0.2">
      <c r="A202" s="9"/>
      <c r="B202" s="9"/>
      <c r="C202" s="9"/>
      <c r="D202" s="9"/>
      <c r="E202" s="9"/>
      <c r="F202" s="9"/>
      <c r="G202" s="9"/>
      <c r="H202" s="9"/>
      <c r="I202" s="9"/>
    </row>
    <row r="203" spans="1:9" x14ac:dyDescent="0.2">
      <c r="A203" s="9"/>
      <c r="B203" s="9"/>
      <c r="C203" s="9"/>
      <c r="D203" s="9"/>
      <c r="E203" s="9"/>
      <c r="F203" s="9"/>
      <c r="G203" s="9"/>
      <c r="H203" s="9"/>
      <c r="I203" s="9"/>
    </row>
    <row r="204" spans="1:9" x14ac:dyDescent="0.2">
      <c r="A204" s="9"/>
      <c r="B204" s="9"/>
      <c r="C204" s="9"/>
      <c r="D204" s="9"/>
      <c r="E204" s="9"/>
      <c r="F204" s="9"/>
      <c r="G204" s="9"/>
      <c r="H204" s="9"/>
      <c r="I204" s="9"/>
    </row>
    <row r="205" spans="1:9" x14ac:dyDescent="0.2">
      <c r="A205" s="9"/>
      <c r="B205" s="9"/>
      <c r="C205" s="9"/>
      <c r="D205" s="9"/>
      <c r="E205" s="9"/>
      <c r="F205" s="9"/>
      <c r="G205" s="9"/>
      <c r="H205" s="9"/>
      <c r="I205" s="9"/>
    </row>
    <row r="206" spans="1:9" x14ac:dyDescent="0.2">
      <c r="A206" s="9"/>
      <c r="B206" s="9"/>
      <c r="C206" s="9"/>
      <c r="D206" s="9"/>
      <c r="E206" s="9"/>
      <c r="F206" s="9"/>
      <c r="G206" s="9"/>
      <c r="H206" s="9"/>
      <c r="I206" s="9"/>
    </row>
    <row r="207" spans="1:9" x14ac:dyDescent="0.2">
      <c r="A207" s="9"/>
      <c r="B207" s="9"/>
      <c r="C207" s="9"/>
      <c r="D207" s="9"/>
      <c r="E207" s="9"/>
      <c r="F207" s="9"/>
      <c r="G207" s="9"/>
      <c r="H207" s="9"/>
      <c r="I207" s="9"/>
    </row>
    <row r="208" spans="1:9" x14ac:dyDescent="0.2">
      <c r="A208" s="9"/>
      <c r="B208" s="9"/>
      <c r="C208" s="9"/>
      <c r="D208" s="9"/>
      <c r="E208" s="9"/>
      <c r="F208" s="9"/>
      <c r="G208" s="9"/>
      <c r="H208" s="9"/>
      <c r="I208" s="9"/>
    </row>
    <row r="209" spans="1:9" x14ac:dyDescent="0.2">
      <c r="A209" s="9"/>
      <c r="B209" s="9"/>
      <c r="C209" s="9"/>
      <c r="D209" s="9"/>
      <c r="E209" s="9"/>
      <c r="F209" s="9"/>
      <c r="G209" s="9"/>
      <c r="H209" s="9"/>
      <c r="I209" s="9"/>
    </row>
    <row r="210" spans="1:9" x14ac:dyDescent="0.2">
      <c r="A210" s="9"/>
      <c r="B210" s="9"/>
      <c r="C210" s="9"/>
      <c r="D210" s="9"/>
      <c r="E210" s="9"/>
      <c r="F210" s="9"/>
      <c r="G210" s="9"/>
      <c r="H210" s="9"/>
      <c r="I210" s="9"/>
    </row>
    <row r="211" spans="1:9" x14ac:dyDescent="0.2">
      <c r="A211" s="9"/>
      <c r="B211" s="9"/>
      <c r="C211" s="9"/>
      <c r="D211" s="9"/>
      <c r="E211" s="9"/>
      <c r="F211" s="9"/>
      <c r="G211" s="9"/>
      <c r="H211" s="9"/>
      <c r="I211" s="9"/>
    </row>
    <row r="212" spans="1:9" x14ac:dyDescent="0.2">
      <c r="A212" s="9"/>
      <c r="B212" s="9"/>
      <c r="C212" s="9"/>
      <c r="D212" s="9"/>
      <c r="E212" s="9"/>
      <c r="F212" s="9"/>
      <c r="G212" s="9"/>
      <c r="H212" s="9"/>
      <c r="I212" s="9"/>
    </row>
    <row r="213" spans="1:9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x14ac:dyDescent="0.2">
      <c r="A215" s="9"/>
      <c r="B215" s="9"/>
      <c r="C215" s="9"/>
      <c r="D215" s="9"/>
      <c r="E215" s="9"/>
      <c r="F215" s="9"/>
      <c r="G215" s="9"/>
      <c r="H215" s="9"/>
      <c r="I215" s="9"/>
    </row>
    <row r="216" spans="1:9" x14ac:dyDescent="0.2">
      <c r="A216" s="9"/>
      <c r="B216" s="9"/>
      <c r="C216" s="9"/>
      <c r="D216" s="9"/>
      <c r="E216" s="9"/>
      <c r="F216" s="9"/>
      <c r="G216" s="9"/>
      <c r="H216" s="9"/>
      <c r="I216" s="9"/>
    </row>
    <row r="217" spans="1:9" x14ac:dyDescent="0.2">
      <c r="A217" s="9"/>
      <c r="B217" s="9"/>
      <c r="C217" s="9"/>
      <c r="D217" s="9"/>
      <c r="E217" s="9"/>
      <c r="F217" s="9"/>
      <c r="G217" s="9"/>
      <c r="H217" s="9"/>
      <c r="I217" s="9"/>
    </row>
    <row r="218" spans="1:9" x14ac:dyDescent="0.2">
      <c r="A218" s="9"/>
      <c r="B218" s="9"/>
      <c r="C218" s="9"/>
      <c r="D218" s="9"/>
      <c r="E218" s="9"/>
      <c r="F218" s="9"/>
      <c r="G218" s="9"/>
      <c r="H218" s="9"/>
      <c r="I218" s="9"/>
    </row>
    <row r="219" spans="1:9" x14ac:dyDescent="0.2">
      <c r="A219" s="9"/>
      <c r="B219" s="9"/>
      <c r="C219" s="9"/>
      <c r="D219" s="9"/>
      <c r="E219" s="9"/>
      <c r="F219" s="9"/>
      <c r="G219" s="9"/>
      <c r="H219" s="9"/>
      <c r="I219" s="9"/>
    </row>
    <row r="220" spans="1:9" x14ac:dyDescent="0.2">
      <c r="A220" s="9"/>
      <c r="B220" s="9"/>
      <c r="C220" s="9"/>
      <c r="D220" s="9"/>
      <c r="E220" s="9"/>
      <c r="F220" s="9"/>
      <c r="G220" s="9"/>
      <c r="H220" s="9"/>
      <c r="I220" s="9"/>
    </row>
    <row r="221" spans="1:9" x14ac:dyDescent="0.2">
      <c r="A221" s="9"/>
      <c r="B221" s="9"/>
      <c r="C221" s="9"/>
      <c r="D221" s="9"/>
      <c r="E221" s="9"/>
      <c r="F221" s="9"/>
      <c r="G221" s="9"/>
      <c r="H221" s="9"/>
      <c r="I221" s="9"/>
    </row>
    <row r="222" spans="1:9" x14ac:dyDescent="0.2">
      <c r="A222" s="9"/>
      <c r="B222" s="9"/>
      <c r="C222" s="9"/>
      <c r="D222" s="9"/>
      <c r="E222" s="9"/>
      <c r="F222" s="9"/>
      <c r="G222" s="9"/>
      <c r="H222" s="9"/>
      <c r="I222" s="9"/>
    </row>
    <row r="223" spans="1:9" x14ac:dyDescent="0.2">
      <c r="A223" s="9"/>
      <c r="B223" s="9"/>
      <c r="C223" s="9"/>
      <c r="D223" s="9"/>
      <c r="E223" s="9"/>
      <c r="F223" s="9"/>
      <c r="G223" s="9"/>
      <c r="H223" s="9"/>
      <c r="I223" s="9"/>
    </row>
    <row r="224" spans="1:9" x14ac:dyDescent="0.2">
      <c r="A224" s="9"/>
      <c r="B224" s="9"/>
      <c r="C224" s="9"/>
      <c r="D224" s="9"/>
      <c r="E224" s="9"/>
      <c r="F224" s="9"/>
      <c r="G224" s="9"/>
      <c r="H224" s="9"/>
      <c r="I224" s="9"/>
    </row>
    <row r="225" spans="1:9" x14ac:dyDescent="0.2">
      <c r="A225" s="9"/>
      <c r="B225" s="9"/>
      <c r="C225" s="9"/>
      <c r="D225" s="9"/>
      <c r="E225" s="9"/>
      <c r="F225" s="9"/>
      <c r="G225" s="9"/>
      <c r="H225" s="9"/>
      <c r="I225" s="9"/>
    </row>
    <row r="226" spans="1:9" x14ac:dyDescent="0.2">
      <c r="A226" s="9"/>
      <c r="B226" s="9"/>
      <c r="C226" s="9"/>
      <c r="D226" s="9"/>
      <c r="E226" s="9"/>
      <c r="F226" s="9"/>
      <c r="G226" s="9"/>
      <c r="H226" s="9"/>
      <c r="I226" s="9"/>
    </row>
    <row r="227" spans="1:9" x14ac:dyDescent="0.2">
      <c r="A227" s="9"/>
      <c r="B227" s="9"/>
      <c r="C227" s="9"/>
      <c r="D227" s="9"/>
      <c r="E227" s="9"/>
      <c r="F227" s="9"/>
      <c r="G227" s="9"/>
      <c r="H227" s="9"/>
      <c r="I227" s="9"/>
    </row>
    <row r="228" spans="1:9" x14ac:dyDescent="0.2">
      <c r="A228" s="9"/>
      <c r="B228" s="9"/>
      <c r="C228" s="9"/>
      <c r="D228" s="9"/>
      <c r="E228" s="9"/>
      <c r="F228" s="9"/>
      <c r="G228" s="9"/>
      <c r="H228" s="9"/>
      <c r="I228" s="9"/>
    </row>
    <row r="229" spans="1:9" x14ac:dyDescent="0.2">
      <c r="A229" s="9"/>
      <c r="B229" s="9"/>
      <c r="C229" s="9"/>
      <c r="D229" s="9"/>
      <c r="E229" s="9"/>
      <c r="F229" s="9"/>
      <c r="G229" s="9"/>
      <c r="H229" s="9"/>
      <c r="I229" s="9"/>
    </row>
    <row r="230" spans="1:9" x14ac:dyDescent="0.2">
      <c r="A230" s="9"/>
      <c r="B230" s="9"/>
      <c r="C230" s="9"/>
      <c r="D230" s="9"/>
      <c r="E230" s="9"/>
      <c r="F230" s="9"/>
      <c r="G230" s="9"/>
      <c r="H230" s="9"/>
      <c r="I230" s="9"/>
    </row>
    <row r="231" spans="1:9" x14ac:dyDescent="0.2">
      <c r="A231" s="9"/>
      <c r="B231" s="9"/>
      <c r="C231" s="9"/>
      <c r="D231" s="9"/>
      <c r="E231" s="9"/>
      <c r="F231" s="9"/>
      <c r="G231" s="9"/>
      <c r="H231" s="9"/>
      <c r="I231" s="9"/>
    </row>
    <row r="232" spans="1:9" x14ac:dyDescent="0.2">
      <c r="A232" s="9"/>
      <c r="B232" s="9"/>
      <c r="C232" s="9"/>
      <c r="D232" s="9"/>
      <c r="E232" s="9"/>
      <c r="F232" s="9"/>
      <c r="G232" s="9"/>
      <c r="H232" s="9"/>
      <c r="I232" s="9"/>
    </row>
    <row r="233" spans="1:9" x14ac:dyDescent="0.2">
      <c r="A233" s="9"/>
      <c r="B233" s="9"/>
      <c r="C233" s="9"/>
      <c r="D233" s="9"/>
      <c r="E233" s="9"/>
      <c r="F233" s="9"/>
      <c r="G233" s="9"/>
      <c r="H233" s="9"/>
      <c r="I233" s="9"/>
    </row>
    <row r="234" spans="1:9" x14ac:dyDescent="0.2">
      <c r="A234" s="9"/>
      <c r="B234" s="9"/>
      <c r="C234" s="9"/>
      <c r="D234" s="9"/>
      <c r="E234" s="9"/>
      <c r="F234" s="9"/>
      <c r="G234" s="9"/>
      <c r="H234" s="9"/>
      <c r="I234" s="9"/>
    </row>
    <row r="235" spans="1:9" x14ac:dyDescent="0.2">
      <c r="A235" s="9"/>
      <c r="B235" s="9"/>
      <c r="C235" s="9"/>
      <c r="D235" s="9"/>
      <c r="E235" s="9"/>
      <c r="F235" s="9"/>
      <c r="G235" s="9"/>
      <c r="H235" s="9"/>
      <c r="I235" s="9"/>
    </row>
    <row r="236" spans="1:9" x14ac:dyDescent="0.2">
      <c r="A236" s="9"/>
      <c r="B236" s="9"/>
      <c r="C236" s="9"/>
      <c r="D236" s="9"/>
      <c r="E236" s="9"/>
      <c r="F236" s="9"/>
      <c r="G236" s="9"/>
      <c r="H236" s="9"/>
      <c r="I236" s="9"/>
    </row>
    <row r="237" spans="1:9" x14ac:dyDescent="0.2">
      <c r="A237" s="9"/>
      <c r="B237" s="9"/>
      <c r="C237" s="9"/>
      <c r="D237" s="9"/>
      <c r="E237" s="9"/>
      <c r="F237" s="9"/>
      <c r="G237" s="9"/>
      <c r="H237" s="9"/>
      <c r="I237" s="9"/>
    </row>
    <row r="238" spans="1:9" x14ac:dyDescent="0.2">
      <c r="A238" s="9"/>
      <c r="B238" s="9"/>
      <c r="C238" s="9"/>
      <c r="D238" s="9"/>
      <c r="E238" s="9"/>
      <c r="F238" s="9"/>
      <c r="G238" s="9"/>
      <c r="H238" s="9"/>
      <c r="I238" s="9"/>
    </row>
    <row r="239" spans="1:9" x14ac:dyDescent="0.2">
      <c r="A239" s="9"/>
      <c r="B239" s="9"/>
      <c r="C239" s="9"/>
      <c r="D239" s="9"/>
      <c r="E239" s="9"/>
      <c r="F239" s="9"/>
      <c r="G239" s="9"/>
      <c r="H239" s="9"/>
      <c r="I239" s="9"/>
    </row>
    <row r="240" spans="1:9" x14ac:dyDescent="0.2">
      <c r="A240" s="9"/>
      <c r="B240" s="9"/>
      <c r="C240" s="9"/>
      <c r="D240" s="9"/>
      <c r="E240" s="9"/>
      <c r="F240" s="9"/>
      <c r="G240" s="9"/>
      <c r="H240" s="9"/>
      <c r="I240" s="9"/>
    </row>
    <row r="241" spans="1:9" x14ac:dyDescent="0.2">
      <c r="A241" s="9"/>
      <c r="B241" s="9"/>
      <c r="C241" s="9"/>
      <c r="D241" s="9"/>
      <c r="E241" s="9"/>
      <c r="F241" s="9"/>
      <c r="G241" s="9"/>
      <c r="H241" s="9"/>
      <c r="I241" s="9"/>
    </row>
    <row r="242" spans="1:9" x14ac:dyDescent="0.2">
      <c r="A242" s="9"/>
      <c r="B242" s="9"/>
      <c r="C242" s="9"/>
      <c r="D242" s="9"/>
      <c r="E242" s="9"/>
      <c r="F242" s="9"/>
      <c r="G242" s="9"/>
      <c r="H242" s="9"/>
      <c r="I242" s="9"/>
    </row>
    <row r="243" spans="1:9" x14ac:dyDescent="0.2">
      <c r="A243" s="9"/>
      <c r="B243" s="9"/>
      <c r="C243" s="9"/>
      <c r="D243" s="9"/>
      <c r="E243" s="9"/>
      <c r="F243" s="9"/>
      <c r="G243" s="9"/>
      <c r="H243" s="9"/>
      <c r="I243" s="9"/>
    </row>
    <row r="244" spans="1:9" x14ac:dyDescent="0.2">
      <c r="A244" s="9"/>
      <c r="B244" s="9"/>
      <c r="C244" s="9"/>
      <c r="D244" s="9"/>
      <c r="E244" s="9"/>
      <c r="F244" s="9"/>
      <c r="G244" s="9"/>
      <c r="H244" s="9"/>
      <c r="I244" s="9"/>
    </row>
    <row r="245" spans="1:9" x14ac:dyDescent="0.2">
      <c r="A245" s="9"/>
      <c r="B245" s="9"/>
      <c r="C245" s="9"/>
      <c r="D245" s="9"/>
      <c r="E245" s="9"/>
      <c r="F245" s="9"/>
      <c r="G245" s="9"/>
      <c r="H245" s="9"/>
      <c r="I245" s="9"/>
    </row>
    <row r="246" spans="1:9" x14ac:dyDescent="0.2">
      <c r="A246" s="9"/>
      <c r="B246" s="9"/>
      <c r="C246" s="9"/>
      <c r="D246" s="9"/>
      <c r="E246" s="9"/>
      <c r="F246" s="9"/>
      <c r="G246" s="9"/>
      <c r="H246" s="9"/>
      <c r="I246" s="9"/>
    </row>
    <row r="247" spans="1:9" x14ac:dyDescent="0.2">
      <c r="A247" s="9"/>
      <c r="B247" s="9"/>
      <c r="C247" s="9"/>
      <c r="D247" s="9"/>
      <c r="E247" s="9"/>
      <c r="F247" s="9"/>
      <c r="G247" s="9"/>
      <c r="H247" s="9"/>
      <c r="I247" s="9"/>
    </row>
    <row r="248" spans="1:9" x14ac:dyDescent="0.2">
      <c r="A248" s="9"/>
      <c r="B248" s="9"/>
      <c r="C248" s="9"/>
      <c r="D248" s="9"/>
      <c r="E248" s="9"/>
      <c r="F248" s="9"/>
      <c r="G248" s="9"/>
      <c r="H248" s="9"/>
      <c r="I248" s="9"/>
    </row>
    <row r="249" spans="1:9" x14ac:dyDescent="0.2">
      <c r="A249" s="9"/>
      <c r="B249" s="9"/>
      <c r="C249" s="9"/>
      <c r="D249" s="9"/>
      <c r="E249" s="9"/>
      <c r="F249" s="9"/>
      <c r="G249" s="9"/>
      <c r="H249" s="9"/>
      <c r="I249" s="9"/>
    </row>
    <row r="250" spans="1:9" x14ac:dyDescent="0.2">
      <c r="A250" s="9"/>
      <c r="B250" s="9"/>
      <c r="C250" s="9"/>
      <c r="D250" s="9"/>
      <c r="E250" s="9"/>
      <c r="F250" s="9"/>
      <c r="G250" s="9"/>
      <c r="H250" s="9"/>
      <c r="I250" s="9"/>
    </row>
    <row r="251" spans="1:9" x14ac:dyDescent="0.2">
      <c r="A251" s="9"/>
      <c r="B251" s="9"/>
      <c r="C251" s="9"/>
      <c r="D251" s="9"/>
      <c r="E251" s="9"/>
      <c r="F251" s="9"/>
      <c r="G251" s="9"/>
      <c r="H251" s="9"/>
      <c r="I251" s="9"/>
    </row>
    <row r="252" spans="1:9" x14ac:dyDescent="0.2">
      <c r="A252" s="9"/>
      <c r="B252" s="9"/>
      <c r="C252" s="9"/>
      <c r="D252" s="9"/>
      <c r="E252" s="9"/>
      <c r="F252" s="9"/>
      <c r="G252" s="9"/>
      <c r="H252" s="9"/>
      <c r="I252" s="9"/>
    </row>
    <row r="253" spans="1:9" x14ac:dyDescent="0.2">
      <c r="A253" s="9"/>
      <c r="B253" s="9"/>
      <c r="C253" s="9"/>
      <c r="D253" s="9"/>
      <c r="E253" s="9"/>
      <c r="F253" s="9"/>
      <c r="G253" s="9"/>
      <c r="H253" s="9"/>
      <c r="I253" s="9"/>
    </row>
    <row r="254" spans="1:9" x14ac:dyDescent="0.2">
      <c r="A254" s="9"/>
      <c r="B254" s="9"/>
      <c r="C254" s="9"/>
      <c r="D254" s="9"/>
      <c r="E254" s="9"/>
      <c r="F254" s="9"/>
      <c r="G254" s="9"/>
      <c r="H254" s="9"/>
      <c r="I254" s="9"/>
    </row>
    <row r="255" spans="1:9" x14ac:dyDescent="0.2">
      <c r="A255" s="9"/>
      <c r="B255" s="9"/>
      <c r="C255" s="9"/>
      <c r="D255" s="9"/>
      <c r="E255" s="9"/>
      <c r="F255" s="9"/>
      <c r="G255" s="9"/>
      <c r="H255" s="9"/>
      <c r="I255" s="9"/>
    </row>
    <row r="256" spans="1:9" x14ac:dyDescent="0.2">
      <c r="A256" s="9"/>
      <c r="B256" s="9"/>
      <c r="C256" s="9"/>
      <c r="D256" s="9"/>
      <c r="E256" s="9"/>
      <c r="F256" s="9"/>
      <c r="G256" s="9"/>
      <c r="H256" s="9"/>
      <c r="I256" s="9"/>
    </row>
    <row r="257" spans="1:9" x14ac:dyDescent="0.2">
      <c r="A257" s="9"/>
      <c r="B257" s="9"/>
      <c r="C257" s="9"/>
      <c r="D257" s="9"/>
      <c r="E257" s="9"/>
      <c r="F257" s="9"/>
      <c r="G257" s="9"/>
      <c r="H257" s="9"/>
      <c r="I257" s="9"/>
    </row>
    <row r="258" spans="1:9" x14ac:dyDescent="0.2">
      <c r="A258" s="9"/>
      <c r="B258" s="9"/>
      <c r="C258" s="9"/>
      <c r="D258" s="9"/>
      <c r="E258" s="9"/>
      <c r="F258" s="9"/>
      <c r="G258" s="9"/>
      <c r="H258" s="9"/>
      <c r="I258" s="9"/>
    </row>
    <row r="259" spans="1:9" x14ac:dyDescent="0.2">
      <c r="A259" s="9"/>
      <c r="B259" s="9"/>
      <c r="C259" s="9"/>
      <c r="D259" s="9"/>
      <c r="E259" s="9"/>
      <c r="F259" s="9"/>
      <c r="G259" s="9"/>
      <c r="H259" s="9"/>
      <c r="I259" s="9"/>
    </row>
    <row r="260" spans="1:9" x14ac:dyDescent="0.2">
      <c r="A260" s="9"/>
      <c r="B260" s="9"/>
      <c r="C260" s="9"/>
      <c r="D260" s="9"/>
      <c r="E260" s="9"/>
      <c r="F260" s="9"/>
      <c r="G260" s="9"/>
      <c r="H260" s="9"/>
      <c r="I260" s="9"/>
    </row>
    <row r="261" spans="1:9" x14ac:dyDescent="0.2">
      <c r="A261" s="9"/>
      <c r="B261" s="9"/>
      <c r="C261" s="9"/>
      <c r="D261" s="9"/>
      <c r="E261" s="9"/>
      <c r="F261" s="9"/>
      <c r="G261" s="9"/>
      <c r="H261" s="9"/>
      <c r="I261" s="9"/>
    </row>
    <row r="262" spans="1:9" x14ac:dyDescent="0.2">
      <c r="A262" s="9"/>
      <c r="B262" s="9"/>
      <c r="C262" s="9"/>
      <c r="D262" s="9"/>
      <c r="E262" s="9"/>
      <c r="F262" s="9"/>
      <c r="G262" s="9"/>
      <c r="H262" s="9"/>
      <c r="I262" s="9"/>
    </row>
    <row r="263" spans="1:9" x14ac:dyDescent="0.2">
      <c r="A263" s="9"/>
      <c r="B263" s="9"/>
      <c r="C263" s="9"/>
      <c r="D263" s="9"/>
      <c r="E263" s="9"/>
      <c r="F263" s="9"/>
      <c r="G263" s="9"/>
      <c r="H263" s="9"/>
      <c r="I263" s="9"/>
    </row>
    <row r="264" spans="1:9" x14ac:dyDescent="0.2">
      <c r="A264" s="9"/>
      <c r="B264" s="9"/>
      <c r="C264" s="9"/>
      <c r="D264" s="9"/>
      <c r="E264" s="9"/>
      <c r="F264" s="9"/>
      <c r="G264" s="9"/>
      <c r="H264" s="9"/>
      <c r="I264" s="9"/>
    </row>
    <row r="265" spans="1:9" x14ac:dyDescent="0.2">
      <c r="A265" s="9"/>
      <c r="B265" s="9"/>
      <c r="C265" s="9"/>
      <c r="D265" s="9"/>
      <c r="E265" s="9"/>
      <c r="F265" s="9"/>
      <c r="G265" s="9"/>
      <c r="H265" s="9"/>
      <c r="I265" s="9"/>
    </row>
    <row r="266" spans="1:9" x14ac:dyDescent="0.2">
      <c r="A266" s="9"/>
      <c r="B266" s="9"/>
      <c r="C266" s="9"/>
      <c r="D266" s="9"/>
      <c r="E266" s="9"/>
      <c r="F266" s="9"/>
      <c r="G266" s="9"/>
      <c r="H266" s="9"/>
      <c r="I266" s="9"/>
    </row>
    <row r="267" spans="1:9" x14ac:dyDescent="0.2">
      <c r="A267" s="9"/>
      <c r="B267" s="9"/>
      <c r="C267" s="9"/>
      <c r="D267" s="9"/>
      <c r="E267" s="9"/>
      <c r="F267" s="9"/>
      <c r="G267" s="9"/>
      <c r="H267" s="9"/>
      <c r="I267" s="9"/>
    </row>
    <row r="268" spans="1:9" x14ac:dyDescent="0.2">
      <c r="A268" s="9"/>
      <c r="B268" s="9"/>
      <c r="C268" s="9"/>
      <c r="D268" s="9"/>
      <c r="E268" s="9"/>
      <c r="F268" s="9"/>
      <c r="G268" s="9"/>
      <c r="H268" s="9"/>
      <c r="I268" s="9"/>
    </row>
    <row r="269" spans="1:9" x14ac:dyDescent="0.2">
      <c r="A269" s="9"/>
      <c r="B269" s="9"/>
      <c r="C269" s="9"/>
      <c r="D269" s="9"/>
      <c r="E269" s="9"/>
      <c r="F269" s="9"/>
      <c r="G269" s="9"/>
      <c r="H269" s="9"/>
      <c r="I269" s="9"/>
    </row>
    <row r="270" spans="1:9" x14ac:dyDescent="0.2">
      <c r="A270" s="9"/>
      <c r="B270" s="9"/>
      <c r="C270" s="9"/>
      <c r="D270" s="9"/>
      <c r="E270" s="9"/>
      <c r="F270" s="9"/>
      <c r="G270" s="9"/>
      <c r="H270" s="9"/>
      <c r="I270" s="9"/>
    </row>
    <row r="271" spans="1:9" x14ac:dyDescent="0.2">
      <c r="A271" s="9"/>
      <c r="B271" s="9"/>
      <c r="C271" s="9"/>
      <c r="D271" s="9"/>
      <c r="E271" s="9"/>
      <c r="F271" s="9"/>
      <c r="G271" s="9"/>
      <c r="H271" s="9"/>
      <c r="I271" s="9"/>
    </row>
    <row r="272" spans="1:9" x14ac:dyDescent="0.2">
      <c r="A272" s="9"/>
      <c r="B272" s="9"/>
      <c r="C272" s="9"/>
      <c r="D272" s="9"/>
      <c r="E272" s="9"/>
      <c r="F272" s="9"/>
      <c r="G272" s="9"/>
      <c r="H272" s="9"/>
      <c r="I272" s="9"/>
    </row>
    <row r="273" spans="1:9" x14ac:dyDescent="0.2">
      <c r="A273" s="9"/>
      <c r="B273" s="9"/>
      <c r="C273" s="9"/>
      <c r="D273" s="9"/>
      <c r="E273" s="9"/>
      <c r="F273" s="9"/>
      <c r="G273" s="9"/>
      <c r="H273" s="9"/>
      <c r="I273" s="9"/>
    </row>
    <row r="274" spans="1:9" x14ac:dyDescent="0.2">
      <c r="A274" s="9"/>
      <c r="B274" s="9"/>
      <c r="C274" s="9"/>
      <c r="D274" s="9"/>
      <c r="E274" s="9"/>
      <c r="F274" s="9"/>
      <c r="G274" s="9"/>
      <c r="H274" s="9"/>
      <c r="I274" s="9"/>
    </row>
    <row r="275" spans="1:9" x14ac:dyDescent="0.2">
      <c r="A275" s="9"/>
      <c r="B275" s="9"/>
      <c r="C275" s="9"/>
      <c r="D275" s="9"/>
      <c r="E275" s="9"/>
      <c r="F275" s="9"/>
      <c r="G275" s="9"/>
      <c r="H275" s="9"/>
      <c r="I275" s="9"/>
    </row>
    <row r="276" spans="1:9" x14ac:dyDescent="0.2">
      <c r="A276" s="9"/>
      <c r="B276" s="9"/>
      <c r="C276" s="9"/>
      <c r="D276" s="9"/>
      <c r="E276" s="9"/>
      <c r="F276" s="9"/>
      <c r="G276" s="9"/>
      <c r="H276" s="9"/>
      <c r="I276" s="9"/>
    </row>
    <row r="277" spans="1:9" x14ac:dyDescent="0.2">
      <c r="A277" s="9"/>
      <c r="B277" s="9"/>
      <c r="C277" s="9"/>
      <c r="D277" s="9"/>
      <c r="E277" s="9"/>
      <c r="F277" s="9"/>
      <c r="G277" s="9"/>
      <c r="H277" s="9"/>
      <c r="I277" s="9"/>
    </row>
    <row r="278" spans="1:9" x14ac:dyDescent="0.2">
      <c r="A278" s="9"/>
      <c r="B278" s="9"/>
      <c r="C278" s="9"/>
      <c r="D278" s="9"/>
      <c r="E278" s="9"/>
      <c r="F278" s="9"/>
      <c r="G278" s="9"/>
      <c r="H278" s="9"/>
      <c r="I278" s="9"/>
    </row>
    <row r="279" spans="1:9" x14ac:dyDescent="0.2">
      <c r="A279" s="9"/>
      <c r="B279" s="9"/>
      <c r="C279" s="9"/>
      <c r="D279" s="9"/>
      <c r="E279" s="9"/>
      <c r="F279" s="9"/>
      <c r="G279" s="9"/>
      <c r="H279" s="9"/>
      <c r="I279" s="9"/>
    </row>
    <row r="280" spans="1:9" x14ac:dyDescent="0.2">
      <c r="A280" s="9"/>
      <c r="B280" s="9"/>
      <c r="C280" s="9"/>
      <c r="D280" s="9"/>
      <c r="E280" s="9"/>
      <c r="F280" s="9"/>
      <c r="G280" s="9"/>
      <c r="H280" s="9"/>
      <c r="I280" s="9"/>
    </row>
    <row r="281" spans="1:9" x14ac:dyDescent="0.2">
      <c r="A281" s="9"/>
      <c r="B281" s="9"/>
      <c r="C281" s="9"/>
      <c r="D281" s="9"/>
      <c r="E281" s="9"/>
      <c r="F281" s="9"/>
      <c r="G281" s="9"/>
      <c r="H281" s="9"/>
      <c r="I281" s="9"/>
    </row>
    <row r="282" spans="1:9" x14ac:dyDescent="0.2">
      <c r="A282" s="9"/>
      <c r="B282" s="9"/>
      <c r="C282" s="9"/>
      <c r="D282" s="9"/>
      <c r="E282" s="9"/>
      <c r="F282" s="9"/>
      <c r="G282" s="9"/>
      <c r="H282" s="9"/>
      <c r="I282" s="9"/>
    </row>
    <row r="283" spans="1:9" x14ac:dyDescent="0.2">
      <c r="A283" s="9"/>
      <c r="B283" s="9"/>
      <c r="C283" s="9"/>
      <c r="D283" s="9"/>
      <c r="E283" s="9"/>
      <c r="F283" s="9"/>
      <c r="G283" s="9"/>
      <c r="H283" s="9"/>
      <c r="I283" s="9"/>
    </row>
    <row r="284" spans="1:9" x14ac:dyDescent="0.2">
      <c r="A284" s="9"/>
      <c r="B284" s="9"/>
      <c r="C284" s="9"/>
      <c r="D284" s="9"/>
      <c r="E284" s="9"/>
      <c r="F284" s="9"/>
      <c r="G284" s="9"/>
      <c r="H284" s="9"/>
      <c r="I284" s="9"/>
    </row>
    <row r="285" spans="1:9" x14ac:dyDescent="0.2">
      <c r="A285" s="9"/>
      <c r="B285" s="9"/>
      <c r="C285" s="9"/>
      <c r="D285" s="9"/>
      <c r="E285" s="9"/>
      <c r="F285" s="9"/>
      <c r="G285" s="9"/>
      <c r="H285" s="9"/>
      <c r="I285" s="9"/>
    </row>
    <row r="286" spans="1:9" x14ac:dyDescent="0.2">
      <c r="A286" s="9"/>
      <c r="B286" s="9"/>
      <c r="C286" s="9"/>
      <c r="D286" s="9"/>
      <c r="E286" s="9"/>
      <c r="F286" s="9"/>
      <c r="G286" s="9"/>
      <c r="H286" s="9"/>
      <c r="I286" s="9"/>
    </row>
    <row r="287" spans="1:9" x14ac:dyDescent="0.2">
      <c r="A287" s="9"/>
      <c r="B287" s="9"/>
      <c r="C287" s="9"/>
      <c r="D287" s="9"/>
      <c r="E287" s="9"/>
      <c r="F287" s="9"/>
      <c r="G287" s="9"/>
      <c r="H287" s="9"/>
      <c r="I287" s="9"/>
    </row>
    <row r="288" spans="1:9" x14ac:dyDescent="0.2">
      <c r="A288" s="9"/>
      <c r="B288" s="9"/>
      <c r="C288" s="9"/>
      <c r="D288" s="9"/>
      <c r="E288" s="9"/>
      <c r="F288" s="9"/>
      <c r="G288" s="9"/>
      <c r="H288" s="9"/>
      <c r="I288" s="9"/>
    </row>
    <row r="289" spans="1:9" x14ac:dyDescent="0.2">
      <c r="A289" s="9"/>
      <c r="B289" s="9"/>
      <c r="C289" s="9"/>
      <c r="D289" s="9"/>
      <c r="E289" s="9"/>
      <c r="F289" s="9"/>
      <c r="G289" s="9"/>
      <c r="H289" s="9"/>
      <c r="I289" s="9"/>
    </row>
    <row r="290" spans="1:9" x14ac:dyDescent="0.2">
      <c r="A290" s="9"/>
      <c r="B290" s="9"/>
      <c r="C290" s="9"/>
      <c r="D290" s="9"/>
      <c r="E290" s="9"/>
      <c r="F290" s="9"/>
      <c r="G290" s="9"/>
      <c r="H290" s="9"/>
      <c r="I290" s="9"/>
    </row>
    <row r="291" spans="1:9" x14ac:dyDescent="0.2">
      <c r="A291" s="9"/>
      <c r="B291" s="9"/>
      <c r="C291" s="9"/>
      <c r="D291" s="9"/>
      <c r="E291" s="9"/>
      <c r="F291" s="9"/>
      <c r="G291" s="9"/>
      <c r="H291" s="9"/>
      <c r="I291" s="9"/>
    </row>
    <row r="292" spans="1:9" x14ac:dyDescent="0.2">
      <c r="A292" s="9"/>
      <c r="B292" s="9"/>
      <c r="C292" s="9"/>
      <c r="D292" s="9"/>
      <c r="E292" s="9"/>
      <c r="F292" s="9"/>
      <c r="G292" s="9"/>
      <c r="H292" s="9"/>
      <c r="I292" s="9"/>
    </row>
    <row r="293" spans="1:9" x14ac:dyDescent="0.2">
      <c r="A293" s="9"/>
      <c r="B293" s="9"/>
      <c r="C293" s="9"/>
      <c r="D293" s="9"/>
      <c r="E293" s="9"/>
      <c r="F293" s="9"/>
      <c r="G293" s="9"/>
      <c r="H293" s="9"/>
      <c r="I293" s="9"/>
    </row>
    <row r="294" spans="1:9" x14ac:dyDescent="0.2">
      <c r="A294" s="9"/>
      <c r="B294" s="9"/>
      <c r="C294" s="9"/>
      <c r="D294" s="9"/>
      <c r="E294" s="9"/>
      <c r="F294" s="9"/>
      <c r="G294" s="9"/>
      <c r="H294" s="9"/>
      <c r="I294" s="9"/>
    </row>
    <row r="295" spans="1:9" x14ac:dyDescent="0.2">
      <c r="A295" s="9"/>
      <c r="B295" s="9"/>
      <c r="C295" s="9"/>
      <c r="D295" s="9"/>
      <c r="E295" s="9"/>
      <c r="F295" s="9"/>
      <c r="G295" s="9"/>
      <c r="H295" s="9"/>
      <c r="I295" s="9"/>
    </row>
    <row r="296" spans="1:9" x14ac:dyDescent="0.2">
      <c r="A296" s="9"/>
      <c r="B296" s="9"/>
      <c r="C296" s="9"/>
      <c r="D296" s="9"/>
      <c r="E296" s="9"/>
      <c r="F296" s="9"/>
      <c r="G296" s="9"/>
      <c r="H296" s="9"/>
      <c r="I296" s="9"/>
    </row>
    <row r="297" spans="1:9" x14ac:dyDescent="0.2">
      <c r="A297" s="9"/>
      <c r="B297" s="9"/>
      <c r="C297" s="9"/>
      <c r="D297" s="9"/>
      <c r="E297" s="9"/>
      <c r="F297" s="9"/>
      <c r="G297" s="9"/>
      <c r="H297" s="9"/>
      <c r="I297" s="9"/>
    </row>
    <row r="298" spans="1:9" x14ac:dyDescent="0.2">
      <c r="A298" s="9"/>
      <c r="B298" s="9"/>
      <c r="C298" s="9"/>
      <c r="D298" s="9"/>
      <c r="E298" s="9"/>
      <c r="F298" s="9"/>
      <c r="G298" s="9"/>
      <c r="H298" s="9"/>
      <c r="I298" s="9"/>
    </row>
    <row r="299" spans="1:9" x14ac:dyDescent="0.2">
      <c r="A299" s="9"/>
      <c r="B299" s="9"/>
      <c r="C299" s="9"/>
      <c r="D299" s="9"/>
      <c r="E299" s="9"/>
      <c r="F299" s="9"/>
      <c r="G299" s="9"/>
      <c r="H299" s="9"/>
      <c r="I299" s="9"/>
    </row>
    <row r="300" spans="1:9" x14ac:dyDescent="0.2">
      <c r="A300" s="9"/>
      <c r="B300" s="9"/>
      <c r="C300" s="9"/>
      <c r="D300" s="9"/>
      <c r="E300" s="9"/>
      <c r="F300" s="9"/>
      <c r="G300" s="9"/>
      <c r="H300" s="9"/>
      <c r="I300" s="9"/>
    </row>
    <row r="301" spans="1:9" x14ac:dyDescent="0.2">
      <c r="A301" s="9"/>
      <c r="B301" s="9"/>
      <c r="C301" s="9"/>
      <c r="D301" s="9"/>
      <c r="E301" s="9"/>
      <c r="F301" s="9"/>
      <c r="G301" s="9"/>
      <c r="H301" s="9"/>
      <c r="I301" s="9"/>
    </row>
    <row r="302" spans="1:9" x14ac:dyDescent="0.2">
      <c r="A302" s="9"/>
      <c r="B302" s="9"/>
      <c r="C302" s="9"/>
      <c r="D302" s="9"/>
      <c r="E302" s="9"/>
      <c r="F302" s="9"/>
      <c r="G302" s="9"/>
      <c r="H302" s="9"/>
      <c r="I302" s="9"/>
    </row>
  </sheetData>
  <mergeCells count="6">
    <mergeCell ref="A1:I1"/>
    <mergeCell ref="A2:I2"/>
    <mergeCell ref="A4:A5"/>
    <mergeCell ref="C4:I4"/>
    <mergeCell ref="B4:B5"/>
    <mergeCell ref="A3:I3"/>
  </mergeCells>
  <conditionalFormatting sqref="L6:S101">
    <cfRule type="cellIs" dxfId="3" priority="2" operator="notEqual">
      <formula>#REF!</formula>
    </cfRule>
  </conditionalFormatting>
  <printOptions horizontalCentered="1"/>
  <pageMargins left="0.19685039370078741" right="0.19685039370078741" top="0.70866141732283472" bottom="0.19685039370078741" header="0.31496062992125984" footer="0.31496062992125984"/>
  <pageSetup paperSize="9" firstPageNumber="25" orientation="landscape" useFirstPageNumber="1" r:id="rId1"/>
  <headerFooter alignWithMargins="0">
    <oddHeader>&amp;C&amp;"Arial,обычный"&amp;10&amp;P</oddHeader>
  </headerFooter>
  <rowBreaks count="2" manualBreakCount="2">
    <brk id="38" max="16383" man="1"/>
    <brk id="70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I110"/>
  <sheetViews>
    <sheetView zoomScaleNormal="100" workbookViewId="0">
      <selection sqref="A1:H1"/>
    </sheetView>
  </sheetViews>
  <sheetFormatPr defaultRowHeight="15" x14ac:dyDescent="0.25"/>
  <cols>
    <col min="1" max="1" width="41.7109375" customWidth="1"/>
    <col min="2" max="2" width="15.5703125" customWidth="1"/>
    <col min="3" max="3" width="16.140625" customWidth="1"/>
    <col min="4" max="4" width="11.85546875" customWidth="1"/>
    <col min="5" max="5" width="16" customWidth="1"/>
    <col min="6" max="6" width="13.7109375" customWidth="1"/>
    <col min="7" max="7" width="14.5703125" customWidth="1"/>
    <col min="8" max="8" width="13.28515625" customWidth="1"/>
  </cols>
  <sheetData>
    <row r="1" spans="1:9" ht="18" customHeight="1" x14ac:dyDescent="0.25">
      <c r="A1" s="533" t="s">
        <v>266</v>
      </c>
      <c r="B1" s="533"/>
      <c r="C1" s="534"/>
      <c r="D1" s="534"/>
      <c r="E1" s="534"/>
      <c r="F1" s="534"/>
      <c r="G1" s="534"/>
      <c r="H1" s="534"/>
    </row>
    <row r="2" spans="1:9" ht="15" customHeight="1" x14ac:dyDescent="0.25">
      <c r="A2" s="533" t="s">
        <v>351</v>
      </c>
      <c r="B2" s="533"/>
      <c r="C2" s="534"/>
      <c r="D2" s="534"/>
      <c r="E2" s="534"/>
      <c r="F2" s="534"/>
      <c r="G2" s="534"/>
      <c r="H2" s="534"/>
    </row>
    <row r="3" spans="1:9" ht="14.25" customHeight="1" x14ac:dyDescent="0.25">
      <c r="A3" s="175"/>
      <c r="B3" s="376"/>
      <c r="C3" s="176"/>
      <c r="D3" s="453"/>
      <c r="E3" s="176"/>
      <c r="F3" s="176"/>
      <c r="G3" s="176"/>
      <c r="H3" s="380"/>
    </row>
    <row r="4" spans="1:9" ht="12.75" customHeight="1" x14ac:dyDescent="0.25">
      <c r="A4" s="535"/>
      <c r="B4" s="538" t="s">
        <v>323</v>
      </c>
      <c r="C4" s="536" t="s">
        <v>326</v>
      </c>
      <c r="D4" s="536"/>
      <c r="E4" s="537"/>
      <c r="F4" s="537"/>
      <c r="G4" s="537"/>
      <c r="H4" s="537"/>
    </row>
    <row r="5" spans="1:9" ht="51.75" customHeight="1" x14ac:dyDescent="0.25">
      <c r="A5" s="535"/>
      <c r="B5" s="539"/>
      <c r="C5" s="237" t="s">
        <v>201</v>
      </c>
      <c r="D5" s="237" t="s">
        <v>363</v>
      </c>
      <c r="E5" s="238" t="s">
        <v>362</v>
      </c>
      <c r="F5" s="238" t="s">
        <v>150</v>
      </c>
      <c r="G5" s="239" t="s">
        <v>151</v>
      </c>
      <c r="H5" s="239" t="s">
        <v>152</v>
      </c>
    </row>
    <row r="6" spans="1:9" ht="14.1" customHeight="1" x14ac:dyDescent="0.25">
      <c r="A6" s="234" t="s">
        <v>13</v>
      </c>
      <c r="B6" s="71">
        <v>137633</v>
      </c>
      <c r="C6" s="71">
        <v>17787</v>
      </c>
      <c r="D6" s="456">
        <v>13565</v>
      </c>
      <c r="E6" s="71">
        <v>47427</v>
      </c>
      <c r="F6" s="71">
        <v>4068</v>
      </c>
      <c r="G6" s="71">
        <v>17192</v>
      </c>
      <c r="H6" s="71">
        <v>7302</v>
      </c>
      <c r="I6" s="154"/>
    </row>
    <row r="7" spans="1:9" ht="14.1" customHeight="1" x14ac:dyDescent="0.25">
      <c r="A7" s="201" t="s">
        <v>14</v>
      </c>
      <c r="B7" s="71">
        <v>31393</v>
      </c>
      <c r="C7" s="71">
        <v>4731</v>
      </c>
      <c r="D7" s="456">
        <v>3249</v>
      </c>
      <c r="E7" s="71">
        <v>15785</v>
      </c>
      <c r="F7" s="71">
        <v>770</v>
      </c>
      <c r="G7" s="71">
        <v>3221</v>
      </c>
      <c r="H7" s="71">
        <v>1524</v>
      </c>
    </row>
    <row r="8" spans="1:9" ht="14.1" customHeight="1" x14ac:dyDescent="0.25">
      <c r="A8" s="202" t="s">
        <v>15</v>
      </c>
      <c r="B8" s="72">
        <v>1163</v>
      </c>
      <c r="C8" s="72">
        <v>201</v>
      </c>
      <c r="D8" s="457">
        <v>170</v>
      </c>
      <c r="E8" s="72">
        <v>226</v>
      </c>
      <c r="F8" s="72">
        <v>37</v>
      </c>
      <c r="G8" s="72">
        <v>171</v>
      </c>
      <c r="H8" s="72">
        <v>53</v>
      </c>
    </row>
    <row r="9" spans="1:9" ht="14.1" customHeight="1" x14ac:dyDescent="0.25">
      <c r="A9" s="202" t="s">
        <v>16</v>
      </c>
      <c r="B9" s="72">
        <v>1226</v>
      </c>
      <c r="C9" s="72">
        <v>152</v>
      </c>
      <c r="D9" s="457">
        <v>121</v>
      </c>
      <c r="E9" s="72">
        <v>468</v>
      </c>
      <c r="F9" s="72">
        <v>45</v>
      </c>
      <c r="G9" s="72">
        <v>135</v>
      </c>
      <c r="H9" s="72">
        <v>79</v>
      </c>
    </row>
    <row r="10" spans="1:9" ht="14.1" customHeight="1" x14ac:dyDescent="0.25">
      <c r="A10" s="202" t="s">
        <v>17</v>
      </c>
      <c r="B10" s="72">
        <v>1400</v>
      </c>
      <c r="C10" s="72">
        <v>259</v>
      </c>
      <c r="D10" s="457">
        <v>206</v>
      </c>
      <c r="E10" s="72">
        <v>701</v>
      </c>
      <c r="F10" s="72">
        <v>26</v>
      </c>
      <c r="G10" s="72">
        <v>195</v>
      </c>
      <c r="H10" s="72">
        <v>92</v>
      </c>
    </row>
    <row r="11" spans="1:9" ht="14.1" customHeight="1" x14ac:dyDescent="0.25">
      <c r="A11" s="202" t="s">
        <v>18</v>
      </c>
      <c r="B11" s="72">
        <v>1875</v>
      </c>
      <c r="C11" s="72">
        <v>376</v>
      </c>
      <c r="D11" s="457">
        <v>316</v>
      </c>
      <c r="E11" s="72">
        <v>1067</v>
      </c>
      <c r="F11" s="72">
        <v>66</v>
      </c>
      <c r="G11" s="72">
        <v>258</v>
      </c>
      <c r="H11" s="72">
        <v>69</v>
      </c>
    </row>
    <row r="12" spans="1:9" ht="14.1" customHeight="1" x14ac:dyDescent="0.25">
      <c r="A12" s="202" t="s">
        <v>19</v>
      </c>
      <c r="B12" s="72">
        <v>883</v>
      </c>
      <c r="C12" s="72">
        <v>104</v>
      </c>
      <c r="D12" s="457">
        <v>95</v>
      </c>
      <c r="E12" s="72">
        <v>718</v>
      </c>
      <c r="F12" s="72">
        <v>28</v>
      </c>
      <c r="G12" s="72">
        <v>172</v>
      </c>
      <c r="H12" s="72">
        <v>68</v>
      </c>
    </row>
    <row r="13" spans="1:9" ht="14.1" customHeight="1" x14ac:dyDescent="0.25">
      <c r="A13" s="202" t="s">
        <v>20</v>
      </c>
      <c r="B13" s="72">
        <v>1021</v>
      </c>
      <c r="C13" s="72">
        <v>163</v>
      </c>
      <c r="D13" s="457">
        <v>116</v>
      </c>
      <c r="E13" s="72">
        <v>604</v>
      </c>
      <c r="F13" s="72">
        <v>31</v>
      </c>
      <c r="G13" s="72">
        <v>120</v>
      </c>
      <c r="H13" s="72">
        <v>48</v>
      </c>
    </row>
    <row r="14" spans="1:9" ht="14.1" customHeight="1" x14ac:dyDescent="0.25">
      <c r="A14" s="203" t="s">
        <v>21</v>
      </c>
      <c r="B14" s="72">
        <v>587</v>
      </c>
      <c r="C14" s="72">
        <v>77</v>
      </c>
      <c r="D14" s="457">
        <v>67</v>
      </c>
      <c r="E14" s="72">
        <v>153</v>
      </c>
      <c r="F14" s="72">
        <v>18</v>
      </c>
      <c r="G14" s="72">
        <v>117</v>
      </c>
      <c r="H14" s="72">
        <v>32</v>
      </c>
    </row>
    <row r="15" spans="1:9" ht="14.1" customHeight="1" x14ac:dyDescent="0.25">
      <c r="A15" s="202" t="s">
        <v>22</v>
      </c>
      <c r="B15" s="72">
        <v>993</v>
      </c>
      <c r="C15" s="72">
        <v>200</v>
      </c>
      <c r="D15" s="457">
        <v>167</v>
      </c>
      <c r="E15" s="72">
        <v>333</v>
      </c>
      <c r="F15" s="72">
        <v>41</v>
      </c>
      <c r="G15" s="72">
        <v>121</v>
      </c>
      <c r="H15" s="72">
        <v>43</v>
      </c>
    </row>
    <row r="16" spans="1:9" ht="14.1" customHeight="1" x14ac:dyDescent="0.25">
      <c r="A16" s="202" t="s">
        <v>23</v>
      </c>
      <c r="B16" s="72">
        <v>1117</v>
      </c>
      <c r="C16" s="72">
        <v>158</v>
      </c>
      <c r="D16" s="457">
        <v>83</v>
      </c>
      <c r="E16" s="72">
        <v>720</v>
      </c>
      <c r="F16" s="72">
        <v>5</v>
      </c>
      <c r="G16" s="72">
        <v>27</v>
      </c>
      <c r="H16" s="72">
        <v>35</v>
      </c>
    </row>
    <row r="17" spans="1:8" ht="14.1" customHeight="1" x14ac:dyDescent="0.25">
      <c r="A17" s="202" t="s">
        <v>24</v>
      </c>
      <c r="B17" s="72">
        <v>6951</v>
      </c>
      <c r="C17" s="72">
        <v>988</v>
      </c>
      <c r="D17" s="457">
        <v>588</v>
      </c>
      <c r="E17" s="72">
        <v>4359</v>
      </c>
      <c r="F17" s="72">
        <v>174</v>
      </c>
      <c r="G17" s="72">
        <v>879</v>
      </c>
      <c r="H17" s="72">
        <v>450</v>
      </c>
    </row>
    <row r="18" spans="1:8" ht="14.1" customHeight="1" x14ac:dyDescent="0.25">
      <c r="A18" s="202" t="s">
        <v>25</v>
      </c>
      <c r="B18" s="72">
        <v>617</v>
      </c>
      <c r="C18" s="72">
        <v>110</v>
      </c>
      <c r="D18" s="457">
        <v>69</v>
      </c>
      <c r="E18" s="72">
        <v>232</v>
      </c>
      <c r="F18" s="72">
        <v>7</v>
      </c>
      <c r="G18" s="72">
        <v>76</v>
      </c>
      <c r="H18" s="72">
        <v>30</v>
      </c>
    </row>
    <row r="19" spans="1:8" ht="14.1" customHeight="1" x14ac:dyDescent="0.25">
      <c r="A19" s="203" t="s">
        <v>26</v>
      </c>
      <c r="B19" s="72">
        <v>1067</v>
      </c>
      <c r="C19" s="72">
        <v>189</v>
      </c>
      <c r="D19" s="457">
        <v>155</v>
      </c>
      <c r="E19" s="72">
        <v>231</v>
      </c>
      <c r="F19" s="72">
        <v>9</v>
      </c>
      <c r="G19" s="72">
        <v>41</v>
      </c>
      <c r="H19" s="72">
        <v>19</v>
      </c>
    </row>
    <row r="20" spans="1:8" ht="14.1" customHeight="1" x14ac:dyDescent="0.25">
      <c r="A20" s="202" t="s">
        <v>27</v>
      </c>
      <c r="B20" s="72">
        <v>1051</v>
      </c>
      <c r="C20" s="72">
        <v>136</v>
      </c>
      <c r="D20" s="457">
        <v>81</v>
      </c>
      <c r="E20" s="72">
        <v>389</v>
      </c>
      <c r="F20" s="72">
        <v>18</v>
      </c>
      <c r="G20" s="72">
        <v>84</v>
      </c>
      <c r="H20" s="72">
        <v>43</v>
      </c>
    </row>
    <row r="21" spans="1:8" ht="14.1" customHeight="1" x14ac:dyDescent="0.25">
      <c r="A21" s="202" t="s">
        <v>28</v>
      </c>
      <c r="B21" s="72">
        <v>925</v>
      </c>
      <c r="C21" s="72">
        <v>157</v>
      </c>
      <c r="D21" s="457">
        <v>140</v>
      </c>
      <c r="E21" s="72">
        <v>458</v>
      </c>
      <c r="F21" s="72">
        <v>34</v>
      </c>
      <c r="G21" s="72">
        <v>99</v>
      </c>
      <c r="H21" s="72">
        <v>43</v>
      </c>
    </row>
    <row r="22" spans="1:8" ht="14.1" customHeight="1" x14ac:dyDescent="0.25">
      <c r="A22" s="202" t="s">
        <v>29</v>
      </c>
      <c r="B22" s="72">
        <v>1405</v>
      </c>
      <c r="C22" s="72">
        <v>176</v>
      </c>
      <c r="D22" s="457">
        <v>128</v>
      </c>
      <c r="E22" s="72">
        <v>898</v>
      </c>
      <c r="F22" s="72">
        <v>86</v>
      </c>
      <c r="G22" s="72">
        <v>212</v>
      </c>
      <c r="H22" s="72">
        <v>75</v>
      </c>
    </row>
    <row r="23" spans="1:8" ht="14.1" customHeight="1" x14ac:dyDescent="0.25">
      <c r="A23" s="202" t="s">
        <v>30</v>
      </c>
      <c r="B23" s="72">
        <v>1442</v>
      </c>
      <c r="C23" s="72">
        <v>246</v>
      </c>
      <c r="D23" s="457">
        <v>215</v>
      </c>
      <c r="E23" s="72">
        <v>994</v>
      </c>
      <c r="F23" s="72">
        <v>38</v>
      </c>
      <c r="G23" s="72">
        <v>157</v>
      </c>
      <c r="H23" s="72">
        <v>64</v>
      </c>
    </row>
    <row r="24" spans="1:8" ht="14.1" customHeight="1" x14ac:dyDescent="0.25">
      <c r="A24" s="202" t="s">
        <v>31</v>
      </c>
      <c r="B24" s="72">
        <v>1300</v>
      </c>
      <c r="C24" s="72">
        <v>163</v>
      </c>
      <c r="D24" s="457">
        <v>150</v>
      </c>
      <c r="E24" s="72">
        <v>783</v>
      </c>
      <c r="F24" s="72">
        <v>26</v>
      </c>
      <c r="G24" s="72">
        <v>64</v>
      </c>
      <c r="H24" s="72">
        <v>54</v>
      </c>
    </row>
    <row r="25" spans="1:8" ht="14.1" customHeight="1" x14ac:dyDescent="0.25">
      <c r="A25" s="202" t="s">
        <v>32</v>
      </c>
      <c r="B25" s="72">
        <v>6370</v>
      </c>
      <c r="C25" s="72">
        <v>876</v>
      </c>
      <c r="D25" s="457">
        <v>382</v>
      </c>
      <c r="E25" s="72">
        <v>2451</v>
      </c>
      <c r="F25" s="72">
        <v>81</v>
      </c>
      <c r="G25" s="72">
        <v>293</v>
      </c>
      <c r="H25" s="72">
        <v>227</v>
      </c>
    </row>
    <row r="26" spans="1:8" ht="14.1" customHeight="1" x14ac:dyDescent="0.25">
      <c r="A26" s="204" t="s">
        <v>33</v>
      </c>
      <c r="B26" s="71">
        <v>12713</v>
      </c>
      <c r="C26" s="71">
        <v>1488</v>
      </c>
      <c r="D26" s="456">
        <v>1123</v>
      </c>
      <c r="E26" s="71">
        <v>5144</v>
      </c>
      <c r="F26" s="71">
        <v>532</v>
      </c>
      <c r="G26" s="71">
        <v>1760</v>
      </c>
      <c r="H26" s="71">
        <v>644</v>
      </c>
    </row>
    <row r="27" spans="1:8" ht="14.1" customHeight="1" x14ac:dyDescent="0.25">
      <c r="A27" s="202" t="s">
        <v>34</v>
      </c>
      <c r="B27" s="72">
        <v>648</v>
      </c>
      <c r="C27" s="72">
        <v>96</v>
      </c>
      <c r="D27" s="457">
        <v>71</v>
      </c>
      <c r="E27" s="72">
        <v>282</v>
      </c>
      <c r="F27" s="72">
        <v>23</v>
      </c>
      <c r="G27" s="72">
        <v>93</v>
      </c>
      <c r="H27" s="72">
        <v>42</v>
      </c>
    </row>
    <row r="28" spans="1:8" ht="14.1" customHeight="1" x14ac:dyDescent="0.25">
      <c r="A28" s="202" t="s">
        <v>35</v>
      </c>
      <c r="B28" s="72">
        <v>1104</v>
      </c>
      <c r="C28" s="72">
        <v>67</v>
      </c>
      <c r="D28" s="457">
        <v>58</v>
      </c>
      <c r="E28" s="72">
        <v>508</v>
      </c>
      <c r="F28" s="72">
        <v>52</v>
      </c>
      <c r="G28" s="72">
        <v>207</v>
      </c>
      <c r="H28" s="72">
        <v>97</v>
      </c>
    </row>
    <row r="29" spans="1:8" ht="14.1" customHeight="1" x14ac:dyDescent="0.25">
      <c r="A29" s="202" t="s">
        <v>36</v>
      </c>
      <c r="B29" s="72">
        <v>1375</v>
      </c>
      <c r="C29" s="72">
        <v>143</v>
      </c>
      <c r="D29" s="457">
        <v>123</v>
      </c>
      <c r="E29" s="72">
        <v>668</v>
      </c>
      <c r="F29" s="72">
        <v>56</v>
      </c>
      <c r="G29" s="72">
        <v>296</v>
      </c>
      <c r="H29" s="72">
        <v>88</v>
      </c>
    </row>
    <row r="30" spans="1:8" ht="14.1" customHeight="1" x14ac:dyDescent="0.25">
      <c r="A30" s="202" t="s">
        <v>37</v>
      </c>
      <c r="B30" s="72">
        <v>54</v>
      </c>
      <c r="C30" s="72">
        <v>2</v>
      </c>
      <c r="D30" s="457">
        <v>0</v>
      </c>
      <c r="E30" s="72">
        <v>9</v>
      </c>
      <c r="F30" s="72">
        <v>6</v>
      </c>
      <c r="G30" s="72">
        <v>13</v>
      </c>
      <c r="H30" s="72">
        <v>5</v>
      </c>
    </row>
    <row r="31" spans="1:8" ht="14.1" customHeight="1" x14ac:dyDescent="0.25">
      <c r="A31" s="205" t="s">
        <v>287</v>
      </c>
      <c r="B31" s="72">
        <v>1321</v>
      </c>
      <c r="C31" s="72">
        <v>141</v>
      </c>
      <c r="D31" s="457">
        <v>123</v>
      </c>
      <c r="E31" s="72">
        <v>659</v>
      </c>
      <c r="F31" s="72">
        <v>50</v>
      </c>
      <c r="G31" s="72">
        <v>283</v>
      </c>
      <c r="H31" s="72">
        <v>83</v>
      </c>
    </row>
    <row r="32" spans="1:8" ht="14.1" customHeight="1" x14ac:dyDescent="0.25">
      <c r="A32" s="202" t="s">
        <v>38</v>
      </c>
      <c r="B32" s="72">
        <v>1113</v>
      </c>
      <c r="C32" s="72">
        <v>155</v>
      </c>
      <c r="D32" s="457">
        <v>99</v>
      </c>
      <c r="E32" s="72">
        <v>284</v>
      </c>
      <c r="F32" s="72">
        <v>62</v>
      </c>
      <c r="G32" s="72">
        <v>132</v>
      </c>
      <c r="H32" s="72">
        <v>47</v>
      </c>
    </row>
    <row r="33" spans="1:8" ht="14.1" customHeight="1" x14ac:dyDescent="0.25">
      <c r="A33" s="202" t="s">
        <v>39</v>
      </c>
      <c r="B33" s="72">
        <v>856</v>
      </c>
      <c r="C33" s="72">
        <v>117</v>
      </c>
      <c r="D33" s="457">
        <v>81</v>
      </c>
      <c r="E33" s="72">
        <v>425</v>
      </c>
      <c r="F33" s="72">
        <v>53</v>
      </c>
      <c r="G33" s="72">
        <v>153</v>
      </c>
      <c r="H33" s="72">
        <v>56</v>
      </c>
    </row>
    <row r="34" spans="1:8" ht="14.1" customHeight="1" x14ac:dyDescent="0.25">
      <c r="A34" s="202" t="s">
        <v>40</v>
      </c>
      <c r="B34" s="72">
        <v>2160</v>
      </c>
      <c r="C34" s="72">
        <v>292</v>
      </c>
      <c r="D34" s="457">
        <v>228</v>
      </c>
      <c r="E34" s="72">
        <v>1086</v>
      </c>
      <c r="F34" s="72">
        <v>89</v>
      </c>
      <c r="G34" s="72">
        <v>286</v>
      </c>
      <c r="H34" s="72">
        <v>81</v>
      </c>
    </row>
    <row r="35" spans="1:8" ht="14.1" customHeight="1" x14ac:dyDescent="0.25">
      <c r="A35" s="202" t="s">
        <v>41</v>
      </c>
      <c r="B35" s="72">
        <v>836</v>
      </c>
      <c r="C35" s="72">
        <v>70</v>
      </c>
      <c r="D35" s="457">
        <v>41</v>
      </c>
      <c r="E35" s="72">
        <v>359</v>
      </c>
      <c r="F35" s="72">
        <v>16</v>
      </c>
      <c r="G35" s="72">
        <v>42</v>
      </c>
      <c r="H35" s="72">
        <v>26</v>
      </c>
    </row>
    <row r="36" spans="1:8" ht="14.1" customHeight="1" x14ac:dyDescent="0.25">
      <c r="A36" s="202" t="s">
        <v>42</v>
      </c>
      <c r="B36" s="72">
        <v>694</v>
      </c>
      <c r="C36" s="72">
        <v>86</v>
      </c>
      <c r="D36" s="457">
        <v>67</v>
      </c>
      <c r="E36" s="72">
        <v>437</v>
      </c>
      <c r="F36" s="72">
        <v>61</v>
      </c>
      <c r="G36" s="72">
        <v>103</v>
      </c>
      <c r="H36" s="72">
        <v>51</v>
      </c>
    </row>
    <row r="37" spans="1:8" ht="14.1" customHeight="1" x14ac:dyDescent="0.25">
      <c r="A37" s="202" t="s">
        <v>43</v>
      </c>
      <c r="B37" s="72">
        <v>729</v>
      </c>
      <c r="C37" s="72">
        <v>96</v>
      </c>
      <c r="D37" s="457">
        <v>69</v>
      </c>
      <c r="E37" s="72">
        <v>235</v>
      </c>
      <c r="F37" s="72">
        <v>46</v>
      </c>
      <c r="G37" s="72">
        <v>91</v>
      </c>
      <c r="H37" s="72">
        <v>29</v>
      </c>
    </row>
    <row r="38" spans="1:8" ht="14.1" customHeight="1" x14ac:dyDescent="0.25">
      <c r="A38" s="202" t="s">
        <v>44</v>
      </c>
      <c r="B38" s="72">
        <v>3198</v>
      </c>
      <c r="C38" s="72">
        <v>366</v>
      </c>
      <c r="D38" s="457">
        <v>286</v>
      </c>
      <c r="E38" s="72">
        <v>860</v>
      </c>
      <c r="F38" s="72">
        <v>74</v>
      </c>
      <c r="G38" s="72">
        <v>357</v>
      </c>
      <c r="H38" s="72">
        <v>127</v>
      </c>
    </row>
    <row r="39" spans="1:8" ht="14.1" customHeight="1" x14ac:dyDescent="0.25">
      <c r="A39" s="206" t="s">
        <v>45</v>
      </c>
      <c r="B39" s="71">
        <v>13069</v>
      </c>
      <c r="C39" s="71">
        <v>2060</v>
      </c>
      <c r="D39" s="456">
        <v>1639</v>
      </c>
      <c r="E39" s="71">
        <v>2520</v>
      </c>
      <c r="F39" s="71">
        <v>437</v>
      </c>
      <c r="G39" s="71">
        <v>1260</v>
      </c>
      <c r="H39" s="71">
        <v>490</v>
      </c>
    </row>
    <row r="40" spans="1:8" ht="14.1" customHeight="1" x14ac:dyDescent="0.25">
      <c r="A40" s="202" t="s">
        <v>46</v>
      </c>
      <c r="B40" s="72">
        <v>354</v>
      </c>
      <c r="C40" s="72">
        <v>79</v>
      </c>
      <c r="D40" s="457">
        <v>65</v>
      </c>
      <c r="E40" s="72">
        <v>144</v>
      </c>
      <c r="F40" s="72">
        <v>24</v>
      </c>
      <c r="G40" s="72">
        <v>69</v>
      </c>
      <c r="H40" s="72">
        <v>17</v>
      </c>
    </row>
    <row r="41" spans="1:8" ht="14.1" customHeight="1" x14ac:dyDescent="0.25">
      <c r="A41" s="202" t="s">
        <v>47</v>
      </c>
      <c r="B41" s="72">
        <v>250</v>
      </c>
      <c r="C41" s="72">
        <v>58</v>
      </c>
      <c r="D41" s="457">
        <v>55</v>
      </c>
      <c r="E41" s="72">
        <v>86</v>
      </c>
      <c r="F41" s="72">
        <v>5</v>
      </c>
      <c r="G41" s="72">
        <v>58</v>
      </c>
      <c r="H41" s="72">
        <v>13</v>
      </c>
    </row>
    <row r="42" spans="1:8" ht="14.1" customHeight="1" x14ac:dyDescent="0.25">
      <c r="A42" s="202" t="s">
        <v>202</v>
      </c>
      <c r="B42" s="72">
        <v>1642</v>
      </c>
      <c r="C42" s="72">
        <v>268</v>
      </c>
      <c r="D42" s="457">
        <v>235</v>
      </c>
      <c r="E42" s="72">
        <v>741</v>
      </c>
      <c r="F42" s="72">
        <v>80</v>
      </c>
      <c r="G42" s="72">
        <v>312</v>
      </c>
      <c r="H42" s="72">
        <v>94</v>
      </c>
    </row>
    <row r="43" spans="1:8" ht="14.1" customHeight="1" x14ac:dyDescent="0.25">
      <c r="A43" s="202" t="s">
        <v>48</v>
      </c>
      <c r="B43" s="72">
        <v>4827</v>
      </c>
      <c r="C43" s="72">
        <v>914</v>
      </c>
      <c r="D43" s="457">
        <v>774</v>
      </c>
      <c r="E43" s="72">
        <v>755</v>
      </c>
      <c r="F43" s="72">
        <v>176</v>
      </c>
      <c r="G43" s="72">
        <v>510</v>
      </c>
      <c r="H43" s="72">
        <v>201</v>
      </c>
    </row>
    <row r="44" spans="1:8" ht="14.1" customHeight="1" x14ac:dyDescent="0.25">
      <c r="A44" s="202" t="s">
        <v>49</v>
      </c>
      <c r="B44" s="72">
        <v>786</v>
      </c>
      <c r="C44" s="72">
        <v>78</v>
      </c>
      <c r="D44" s="457">
        <v>54</v>
      </c>
      <c r="E44" s="72">
        <v>143</v>
      </c>
      <c r="F44" s="72">
        <v>42</v>
      </c>
      <c r="G44" s="72">
        <v>11</v>
      </c>
      <c r="H44" s="72">
        <v>6</v>
      </c>
    </row>
    <row r="45" spans="1:8" ht="14.1" customHeight="1" x14ac:dyDescent="0.25">
      <c r="A45" s="202" t="s">
        <v>50</v>
      </c>
      <c r="B45" s="72">
        <v>2143</v>
      </c>
      <c r="C45" s="72">
        <v>247</v>
      </c>
      <c r="D45" s="457">
        <v>203</v>
      </c>
      <c r="E45" s="72">
        <v>266</v>
      </c>
      <c r="F45" s="72">
        <v>34</v>
      </c>
      <c r="G45" s="72">
        <v>99</v>
      </c>
      <c r="H45" s="72">
        <v>49</v>
      </c>
    </row>
    <row r="46" spans="1:8" ht="14.1" customHeight="1" x14ac:dyDescent="0.25">
      <c r="A46" s="202" t="s">
        <v>51</v>
      </c>
      <c r="B46" s="72">
        <v>2698</v>
      </c>
      <c r="C46" s="72">
        <v>394</v>
      </c>
      <c r="D46" s="457">
        <v>232</v>
      </c>
      <c r="E46" s="72">
        <v>269</v>
      </c>
      <c r="F46" s="72">
        <v>49</v>
      </c>
      <c r="G46" s="72">
        <v>138</v>
      </c>
      <c r="H46" s="72">
        <v>99</v>
      </c>
    </row>
    <row r="47" spans="1:8" ht="14.1" customHeight="1" x14ac:dyDescent="0.25">
      <c r="A47" s="202" t="s">
        <v>204</v>
      </c>
      <c r="B47" s="72">
        <v>369</v>
      </c>
      <c r="C47" s="72">
        <v>22</v>
      </c>
      <c r="D47" s="457">
        <v>21</v>
      </c>
      <c r="E47" s="72">
        <v>116</v>
      </c>
      <c r="F47" s="72">
        <v>27</v>
      </c>
      <c r="G47" s="72">
        <v>63</v>
      </c>
      <c r="H47" s="72">
        <v>11</v>
      </c>
    </row>
    <row r="48" spans="1:8" ht="14.1" customHeight="1" x14ac:dyDescent="0.25">
      <c r="A48" s="207" t="s">
        <v>52</v>
      </c>
      <c r="B48" s="71">
        <v>3981</v>
      </c>
      <c r="C48" s="71">
        <v>1105</v>
      </c>
      <c r="D48" s="456">
        <v>936</v>
      </c>
      <c r="E48" s="71">
        <v>926</v>
      </c>
      <c r="F48" s="71">
        <v>110</v>
      </c>
      <c r="G48" s="71">
        <v>381</v>
      </c>
      <c r="H48" s="71">
        <v>236</v>
      </c>
    </row>
    <row r="49" spans="1:8" ht="14.1" customHeight="1" x14ac:dyDescent="0.25">
      <c r="A49" s="202" t="s">
        <v>53</v>
      </c>
      <c r="B49" s="72">
        <v>862</v>
      </c>
      <c r="C49" s="72">
        <v>365</v>
      </c>
      <c r="D49" s="457">
        <v>341</v>
      </c>
      <c r="E49" s="72">
        <v>83</v>
      </c>
      <c r="F49" s="72">
        <v>29</v>
      </c>
      <c r="G49" s="72">
        <v>62</v>
      </c>
      <c r="H49" s="72">
        <v>48</v>
      </c>
    </row>
    <row r="50" spans="1:8" ht="14.1" customHeight="1" x14ac:dyDescent="0.25">
      <c r="A50" s="202" t="s">
        <v>54</v>
      </c>
      <c r="B50" s="72">
        <v>91</v>
      </c>
      <c r="C50" s="72">
        <v>49</v>
      </c>
      <c r="D50" s="457">
        <v>27</v>
      </c>
      <c r="E50" s="72">
        <v>1</v>
      </c>
      <c r="F50" s="72">
        <v>4</v>
      </c>
      <c r="G50" s="72">
        <v>1</v>
      </c>
      <c r="H50" s="72">
        <v>14</v>
      </c>
    </row>
    <row r="51" spans="1:8" ht="14.1" customHeight="1" x14ac:dyDescent="0.25">
      <c r="A51" s="202" t="s">
        <v>55</v>
      </c>
      <c r="B51" s="72">
        <v>406</v>
      </c>
      <c r="C51" s="72">
        <v>60</v>
      </c>
      <c r="D51" s="457">
        <v>45</v>
      </c>
      <c r="E51" s="72">
        <v>74</v>
      </c>
      <c r="F51" s="72">
        <v>14</v>
      </c>
      <c r="G51" s="72">
        <v>52</v>
      </c>
      <c r="H51" s="72">
        <v>11</v>
      </c>
    </row>
    <row r="52" spans="1:8" ht="14.1" customHeight="1" x14ac:dyDescent="0.25">
      <c r="A52" s="202" t="s">
        <v>56</v>
      </c>
      <c r="B52" s="72">
        <v>253</v>
      </c>
      <c r="C52" s="72">
        <v>88</v>
      </c>
      <c r="D52" s="457">
        <v>70</v>
      </c>
      <c r="E52" s="72">
        <v>24</v>
      </c>
      <c r="F52" s="72">
        <v>10</v>
      </c>
      <c r="G52" s="72">
        <v>23</v>
      </c>
      <c r="H52" s="72">
        <v>12</v>
      </c>
    </row>
    <row r="53" spans="1:8" ht="14.1" customHeight="1" x14ac:dyDescent="0.25">
      <c r="A53" s="202" t="s">
        <v>57</v>
      </c>
      <c r="B53" s="72">
        <v>336</v>
      </c>
      <c r="C53" s="72">
        <v>75</v>
      </c>
      <c r="D53" s="457">
        <v>66</v>
      </c>
      <c r="E53" s="72">
        <v>59</v>
      </c>
      <c r="F53" s="72">
        <v>3</v>
      </c>
      <c r="G53" s="72">
        <v>9</v>
      </c>
      <c r="H53" s="72">
        <v>13</v>
      </c>
    </row>
    <row r="54" spans="1:8" ht="14.1" customHeight="1" x14ac:dyDescent="0.25">
      <c r="A54" s="202" t="s">
        <v>58</v>
      </c>
      <c r="B54" s="72">
        <v>219</v>
      </c>
      <c r="C54" s="72">
        <v>86</v>
      </c>
      <c r="D54" s="457">
        <v>43</v>
      </c>
      <c r="E54" s="72">
        <v>2</v>
      </c>
      <c r="F54" s="72">
        <v>6</v>
      </c>
      <c r="G54" s="72">
        <v>4</v>
      </c>
      <c r="H54" s="72">
        <v>6</v>
      </c>
    </row>
    <row r="55" spans="1:8" ht="14.1" customHeight="1" x14ac:dyDescent="0.25">
      <c r="A55" s="202" t="s">
        <v>59</v>
      </c>
      <c r="B55" s="72">
        <v>1814</v>
      </c>
      <c r="C55" s="72">
        <v>382</v>
      </c>
      <c r="D55" s="457">
        <v>344</v>
      </c>
      <c r="E55" s="72">
        <v>683</v>
      </c>
      <c r="F55" s="72">
        <v>44</v>
      </c>
      <c r="G55" s="72">
        <v>230</v>
      </c>
      <c r="H55" s="72">
        <v>132</v>
      </c>
    </row>
    <row r="56" spans="1:8" ht="14.1" customHeight="1" x14ac:dyDescent="0.25">
      <c r="A56" s="201" t="s">
        <v>60</v>
      </c>
      <c r="B56" s="71">
        <v>31281</v>
      </c>
      <c r="C56" s="71">
        <v>3586</v>
      </c>
      <c r="D56" s="456">
        <v>2907</v>
      </c>
      <c r="E56" s="71">
        <v>8724</v>
      </c>
      <c r="F56" s="71">
        <v>887</v>
      </c>
      <c r="G56" s="71">
        <v>4090</v>
      </c>
      <c r="H56" s="71">
        <v>1373</v>
      </c>
    </row>
    <row r="57" spans="1:8" ht="14.1" customHeight="1" x14ac:dyDescent="0.25">
      <c r="A57" s="202" t="s">
        <v>61</v>
      </c>
      <c r="B57" s="72">
        <v>4067</v>
      </c>
      <c r="C57" s="72">
        <v>512</v>
      </c>
      <c r="D57" s="457">
        <v>428</v>
      </c>
      <c r="E57" s="72">
        <v>744</v>
      </c>
      <c r="F57" s="72">
        <v>135</v>
      </c>
      <c r="G57" s="72">
        <v>735</v>
      </c>
      <c r="H57" s="72">
        <v>150</v>
      </c>
    </row>
    <row r="58" spans="1:8" ht="14.1" customHeight="1" x14ac:dyDescent="0.25">
      <c r="A58" s="202" t="s">
        <v>62</v>
      </c>
      <c r="B58" s="72">
        <v>888</v>
      </c>
      <c r="C58" s="72">
        <v>85</v>
      </c>
      <c r="D58" s="457">
        <v>75</v>
      </c>
      <c r="E58" s="72">
        <v>200</v>
      </c>
      <c r="F58" s="72">
        <v>27</v>
      </c>
      <c r="G58" s="72">
        <v>101</v>
      </c>
      <c r="H58" s="72">
        <v>33</v>
      </c>
    </row>
    <row r="59" spans="1:8" ht="14.1" customHeight="1" x14ac:dyDescent="0.25">
      <c r="A59" s="202" t="s">
        <v>63</v>
      </c>
      <c r="B59" s="72">
        <v>793</v>
      </c>
      <c r="C59" s="72">
        <v>124</v>
      </c>
      <c r="D59" s="457">
        <v>99</v>
      </c>
      <c r="E59" s="72">
        <v>337</v>
      </c>
      <c r="F59" s="72">
        <v>31</v>
      </c>
      <c r="G59" s="72">
        <v>117</v>
      </c>
      <c r="H59" s="72">
        <v>31</v>
      </c>
    </row>
    <row r="60" spans="1:8" ht="14.1" customHeight="1" x14ac:dyDescent="0.25">
      <c r="A60" s="202" t="s">
        <v>64</v>
      </c>
      <c r="B60" s="72">
        <v>2920</v>
      </c>
      <c r="C60" s="72">
        <v>423</v>
      </c>
      <c r="D60" s="457">
        <v>361</v>
      </c>
      <c r="E60" s="72">
        <v>500</v>
      </c>
      <c r="F60" s="72">
        <v>73</v>
      </c>
      <c r="G60" s="72">
        <v>259</v>
      </c>
      <c r="H60" s="72">
        <v>106</v>
      </c>
    </row>
    <row r="61" spans="1:8" ht="14.1" customHeight="1" x14ac:dyDescent="0.25">
      <c r="A61" s="202" t="s">
        <v>65</v>
      </c>
      <c r="B61" s="72">
        <v>1748</v>
      </c>
      <c r="C61" s="72">
        <v>208</v>
      </c>
      <c r="D61" s="457">
        <v>166</v>
      </c>
      <c r="E61" s="72">
        <v>1046</v>
      </c>
      <c r="F61" s="72">
        <v>66</v>
      </c>
      <c r="G61" s="72">
        <v>409</v>
      </c>
      <c r="H61" s="72">
        <v>96</v>
      </c>
    </row>
    <row r="62" spans="1:8" ht="14.1" customHeight="1" x14ac:dyDescent="0.25">
      <c r="A62" s="202" t="s">
        <v>66</v>
      </c>
      <c r="B62" s="72">
        <v>1567</v>
      </c>
      <c r="C62" s="72">
        <v>158</v>
      </c>
      <c r="D62" s="457">
        <v>137</v>
      </c>
      <c r="E62" s="72">
        <v>609</v>
      </c>
      <c r="F62" s="72">
        <v>38</v>
      </c>
      <c r="G62" s="72">
        <v>88</v>
      </c>
      <c r="H62" s="72">
        <v>35</v>
      </c>
    </row>
    <row r="63" spans="1:8" ht="14.1" customHeight="1" x14ac:dyDescent="0.25">
      <c r="A63" s="202" t="s">
        <v>67</v>
      </c>
      <c r="B63" s="72">
        <v>3051</v>
      </c>
      <c r="C63" s="72">
        <v>325</v>
      </c>
      <c r="D63" s="457">
        <v>250</v>
      </c>
      <c r="E63" s="72">
        <v>1170</v>
      </c>
      <c r="F63" s="72">
        <v>119</v>
      </c>
      <c r="G63" s="72">
        <v>634</v>
      </c>
      <c r="H63" s="72">
        <v>249</v>
      </c>
    </row>
    <row r="64" spans="1:8" ht="14.1" customHeight="1" x14ac:dyDescent="0.25">
      <c r="A64" s="202" t="s">
        <v>68</v>
      </c>
      <c r="B64" s="72">
        <v>1516</v>
      </c>
      <c r="C64" s="72">
        <v>174</v>
      </c>
      <c r="D64" s="457">
        <v>154</v>
      </c>
      <c r="E64" s="72">
        <v>444</v>
      </c>
      <c r="F64" s="72">
        <v>64</v>
      </c>
      <c r="G64" s="72">
        <v>332</v>
      </c>
      <c r="H64" s="72">
        <v>73</v>
      </c>
    </row>
    <row r="65" spans="1:8" ht="14.1" customHeight="1" x14ac:dyDescent="0.25">
      <c r="A65" s="202" t="s">
        <v>69</v>
      </c>
      <c r="B65" s="72">
        <v>2873</v>
      </c>
      <c r="C65" s="72">
        <v>342</v>
      </c>
      <c r="D65" s="457">
        <v>259</v>
      </c>
      <c r="E65" s="72">
        <v>1354</v>
      </c>
      <c r="F65" s="72">
        <v>93</v>
      </c>
      <c r="G65" s="72">
        <v>241</v>
      </c>
      <c r="H65" s="72">
        <v>122</v>
      </c>
    </row>
    <row r="66" spans="1:8" ht="14.1" customHeight="1" x14ac:dyDescent="0.25">
      <c r="A66" s="202" t="s">
        <v>70</v>
      </c>
      <c r="B66" s="72">
        <v>1946</v>
      </c>
      <c r="C66" s="72">
        <v>269</v>
      </c>
      <c r="D66" s="457">
        <v>215</v>
      </c>
      <c r="E66" s="72">
        <v>933</v>
      </c>
      <c r="F66" s="72">
        <v>71</v>
      </c>
      <c r="G66" s="72">
        <v>470</v>
      </c>
      <c r="H66" s="72">
        <v>132</v>
      </c>
    </row>
    <row r="67" spans="1:8" ht="14.1" customHeight="1" x14ac:dyDescent="0.25">
      <c r="A67" s="202" t="s">
        <v>71</v>
      </c>
      <c r="B67" s="72">
        <v>1654</v>
      </c>
      <c r="C67" s="72">
        <v>198</v>
      </c>
      <c r="D67" s="457">
        <v>171</v>
      </c>
      <c r="E67" s="72">
        <v>305</v>
      </c>
      <c r="F67" s="72">
        <v>26</v>
      </c>
      <c r="G67" s="72">
        <v>212</v>
      </c>
      <c r="H67" s="72">
        <v>53</v>
      </c>
    </row>
    <row r="68" spans="1:8" ht="14.1" customHeight="1" x14ac:dyDescent="0.25">
      <c r="A68" s="202" t="s">
        <v>72</v>
      </c>
      <c r="B68" s="72">
        <v>4326</v>
      </c>
      <c r="C68" s="72">
        <v>313</v>
      </c>
      <c r="D68" s="457">
        <v>187</v>
      </c>
      <c r="E68" s="72">
        <v>242</v>
      </c>
      <c r="F68" s="72">
        <v>35</v>
      </c>
      <c r="G68" s="72">
        <v>93</v>
      </c>
      <c r="H68" s="72">
        <v>85</v>
      </c>
    </row>
    <row r="69" spans="1:8" ht="14.1" customHeight="1" x14ac:dyDescent="0.25">
      <c r="A69" s="203" t="s">
        <v>73</v>
      </c>
      <c r="B69" s="72">
        <v>2582</v>
      </c>
      <c r="C69" s="72">
        <v>288</v>
      </c>
      <c r="D69" s="457">
        <v>263</v>
      </c>
      <c r="E69" s="72">
        <v>653</v>
      </c>
      <c r="F69" s="72">
        <v>86</v>
      </c>
      <c r="G69" s="72">
        <v>299</v>
      </c>
      <c r="H69" s="72">
        <v>138</v>
      </c>
    </row>
    <row r="70" spans="1:8" ht="14.1" customHeight="1" x14ac:dyDescent="0.25">
      <c r="A70" s="202" t="s">
        <v>74</v>
      </c>
      <c r="B70" s="72">
        <v>1350</v>
      </c>
      <c r="C70" s="72">
        <v>167</v>
      </c>
      <c r="D70" s="457">
        <v>142</v>
      </c>
      <c r="E70" s="72">
        <v>187</v>
      </c>
      <c r="F70" s="72">
        <v>23</v>
      </c>
      <c r="G70" s="72">
        <v>100</v>
      </c>
      <c r="H70" s="72">
        <v>70</v>
      </c>
    </row>
    <row r="71" spans="1:8" ht="14.1" customHeight="1" x14ac:dyDescent="0.25">
      <c r="A71" s="206" t="s">
        <v>75</v>
      </c>
      <c r="B71" s="71">
        <v>13627</v>
      </c>
      <c r="C71" s="71">
        <v>1364</v>
      </c>
      <c r="D71" s="456">
        <v>1124</v>
      </c>
      <c r="E71" s="71">
        <v>5229</v>
      </c>
      <c r="F71" s="71">
        <v>271</v>
      </c>
      <c r="G71" s="71">
        <v>1640</v>
      </c>
      <c r="H71" s="71">
        <v>781</v>
      </c>
    </row>
    <row r="72" spans="1:8" ht="14.1" customHeight="1" x14ac:dyDescent="0.25">
      <c r="A72" s="202" t="s">
        <v>76</v>
      </c>
      <c r="B72" s="72">
        <v>1152</v>
      </c>
      <c r="C72" s="72">
        <v>169</v>
      </c>
      <c r="D72" s="457">
        <v>154</v>
      </c>
      <c r="E72" s="72">
        <v>466</v>
      </c>
      <c r="F72" s="72">
        <v>36</v>
      </c>
      <c r="G72" s="72">
        <v>237</v>
      </c>
      <c r="H72" s="72">
        <v>81</v>
      </c>
    </row>
    <row r="73" spans="1:8" ht="14.1" customHeight="1" x14ac:dyDescent="0.25">
      <c r="A73" s="202" t="s">
        <v>77</v>
      </c>
      <c r="B73" s="72">
        <v>5214</v>
      </c>
      <c r="C73" s="72">
        <v>387</v>
      </c>
      <c r="D73" s="457">
        <v>287</v>
      </c>
      <c r="E73" s="72">
        <v>1661</v>
      </c>
      <c r="F73" s="72">
        <v>74</v>
      </c>
      <c r="G73" s="72">
        <v>464</v>
      </c>
      <c r="H73" s="72">
        <v>272</v>
      </c>
    </row>
    <row r="74" spans="1:8" ht="14.1" customHeight="1" x14ac:dyDescent="0.25">
      <c r="A74" s="202" t="s">
        <v>78</v>
      </c>
      <c r="B74" s="72">
        <v>3123</v>
      </c>
      <c r="C74" s="72">
        <v>386</v>
      </c>
      <c r="D74" s="457">
        <v>326</v>
      </c>
      <c r="E74" s="72">
        <v>785</v>
      </c>
      <c r="F74" s="72">
        <v>91</v>
      </c>
      <c r="G74" s="72">
        <v>404</v>
      </c>
      <c r="H74" s="72">
        <v>194</v>
      </c>
    </row>
    <row r="75" spans="1:8" ht="14.1" customHeight="1" x14ac:dyDescent="0.25">
      <c r="A75" s="202" t="s">
        <v>79</v>
      </c>
      <c r="B75" s="72">
        <v>1215</v>
      </c>
      <c r="C75" s="72">
        <v>178</v>
      </c>
      <c r="D75" s="457">
        <v>155</v>
      </c>
      <c r="E75" s="72">
        <v>426</v>
      </c>
      <c r="F75" s="72">
        <v>32</v>
      </c>
      <c r="G75" s="72">
        <v>107</v>
      </c>
      <c r="H75" s="72">
        <v>56</v>
      </c>
    </row>
    <row r="76" spans="1:8" ht="14.1" customHeight="1" x14ac:dyDescent="0.25">
      <c r="A76" s="202" t="s">
        <v>80</v>
      </c>
      <c r="B76" s="72">
        <v>439</v>
      </c>
      <c r="C76" s="72">
        <v>35</v>
      </c>
      <c r="D76" s="457">
        <v>28</v>
      </c>
      <c r="E76" s="72">
        <v>105</v>
      </c>
      <c r="F76" s="72">
        <v>33</v>
      </c>
      <c r="G76" s="72">
        <v>66</v>
      </c>
      <c r="H76" s="72">
        <v>44</v>
      </c>
    </row>
    <row r="77" spans="1:8" ht="14.1" customHeight="1" x14ac:dyDescent="0.25">
      <c r="A77" s="205" t="s">
        <v>288</v>
      </c>
      <c r="B77" s="72">
        <v>1469</v>
      </c>
      <c r="C77" s="72">
        <v>173</v>
      </c>
      <c r="D77" s="457">
        <v>143</v>
      </c>
      <c r="E77" s="72">
        <v>254</v>
      </c>
      <c r="F77" s="72">
        <v>26</v>
      </c>
      <c r="G77" s="72">
        <v>231</v>
      </c>
      <c r="H77" s="72">
        <v>94</v>
      </c>
    </row>
    <row r="78" spans="1:8" ht="14.1" customHeight="1" x14ac:dyDescent="0.25">
      <c r="A78" s="202" t="s">
        <v>81</v>
      </c>
      <c r="B78" s="72">
        <v>4138</v>
      </c>
      <c r="C78" s="72">
        <v>422</v>
      </c>
      <c r="D78" s="457">
        <v>357</v>
      </c>
      <c r="E78" s="72">
        <v>2317</v>
      </c>
      <c r="F78" s="72">
        <v>70</v>
      </c>
      <c r="G78" s="72">
        <v>535</v>
      </c>
      <c r="H78" s="72">
        <v>234</v>
      </c>
    </row>
    <row r="79" spans="1:8" ht="14.1" customHeight="1" x14ac:dyDescent="0.25">
      <c r="A79" s="201" t="s">
        <v>82</v>
      </c>
      <c r="B79" s="71">
        <v>20160</v>
      </c>
      <c r="C79" s="71">
        <v>2201</v>
      </c>
      <c r="D79" s="456">
        <v>1607</v>
      </c>
      <c r="E79" s="71">
        <v>5845</v>
      </c>
      <c r="F79" s="71">
        <v>651</v>
      </c>
      <c r="G79" s="71">
        <v>3304</v>
      </c>
      <c r="H79" s="71">
        <v>1334</v>
      </c>
    </row>
    <row r="80" spans="1:8" ht="14.1" customHeight="1" x14ac:dyDescent="0.25">
      <c r="A80" s="202" t="s">
        <v>83</v>
      </c>
      <c r="B80" s="72">
        <v>310</v>
      </c>
      <c r="C80" s="72">
        <v>42</v>
      </c>
      <c r="D80" s="457">
        <v>34</v>
      </c>
      <c r="E80" s="72">
        <v>99</v>
      </c>
      <c r="F80" s="72">
        <v>19</v>
      </c>
      <c r="G80" s="72">
        <v>77</v>
      </c>
      <c r="H80" s="72">
        <v>27</v>
      </c>
    </row>
    <row r="81" spans="1:8" ht="14.1" customHeight="1" x14ac:dyDescent="0.25">
      <c r="A81" s="202" t="s">
        <v>85</v>
      </c>
      <c r="B81" s="72">
        <v>682</v>
      </c>
      <c r="C81" s="72">
        <v>123</v>
      </c>
      <c r="D81" s="457">
        <v>81</v>
      </c>
      <c r="E81" s="72">
        <v>88</v>
      </c>
      <c r="F81" s="72">
        <v>21</v>
      </c>
      <c r="G81" s="72">
        <v>87</v>
      </c>
      <c r="H81" s="72">
        <v>119</v>
      </c>
    </row>
    <row r="82" spans="1:8" ht="14.1" customHeight="1" x14ac:dyDescent="0.25">
      <c r="A82" s="202" t="s">
        <v>86</v>
      </c>
      <c r="B82" s="72">
        <v>618</v>
      </c>
      <c r="C82" s="72">
        <v>57</v>
      </c>
      <c r="D82" s="457">
        <v>47</v>
      </c>
      <c r="E82" s="72">
        <v>165</v>
      </c>
      <c r="F82" s="72">
        <v>27</v>
      </c>
      <c r="G82" s="72">
        <v>165</v>
      </c>
      <c r="H82" s="72">
        <v>33</v>
      </c>
    </row>
    <row r="83" spans="1:8" ht="14.1" customHeight="1" x14ac:dyDescent="0.25">
      <c r="A83" s="202" t="s">
        <v>87</v>
      </c>
      <c r="B83" s="72">
        <v>2399</v>
      </c>
      <c r="C83" s="72">
        <v>277</v>
      </c>
      <c r="D83" s="457">
        <v>226</v>
      </c>
      <c r="E83" s="72">
        <v>313</v>
      </c>
      <c r="F83" s="72">
        <v>79</v>
      </c>
      <c r="G83" s="72">
        <v>585</v>
      </c>
      <c r="H83" s="72">
        <v>178</v>
      </c>
    </row>
    <row r="84" spans="1:8" ht="14.1" customHeight="1" x14ac:dyDescent="0.25">
      <c r="A84" s="202" t="s">
        <v>89</v>
      </c>
      <c r="B84" s="72">
        <v>3540</v>
      </c>
      <c r="C84" s="72">
        <v>412</v>
      </c>
      <c r="D84" s="457">
        <v>313</v>
      </c>
      <c r="E84" s="72">
        <v>718</v>
      </c>
      <c r="F84" s="72">
        <v>80</v>
      </c>
      <c r="G84" s="72">
        <v>385</v>
      </c>
      <c r="H84" s="72">
        <v>222</v>
      </c>
    </row>
    <row r="85" spans="1:8" ht="14.1" customHeight="1" x14ac:dyDescent="0.25">
      <c r="A85" s="202" t="s">
        <v>90</v>
      </c>
      <c r="B85" s="72">
        <v>3324</v>
      </c>
      <c r="C85" s="72">
        <v>400</v>
      </c>
      <c r="D85" s="457">
        <v>280</v>
      </c>
      <c r="E85" s="72">
        <v>1018</v>
      </c>
      <c r="F85" s="72">
        <v>103</v>
      </c>
      <c r="G85" s="72">
        <v>424</v>
      </c>
      <c r="H85" s="72">
        <v>204</v>
      </c>
    </row>
    <row r="86" spans="1:8" ht="14.1" customHeight="1" x14ac:dyDescent="0.25">
      <c r="A86" s="202" t="s">
        <v>91</v>
      </c>
      <c r="B86" s="72">
        <v>3397</v>
      </c>
      <c r="C86" s="72">
        <v>302</v>
      </c>
      <c r="D86" s="457">
        <v>239</v>
      </c>
      <c r="E86" s="72">
        <v>1423</v>
      </c>
      <c r="F86" s="72">
        <v>108</v>
      </c>
      <c r="G86" s="72">
        <v>605</v>
      </c>
      <c r="H86" s="72">
        <v>239</v>
      </c>
    </row>
    <row r="87" spans="1:8" ht="14.1" customHeight="1" x14ac:dyDescent="0.25">
      <c r="A87" s="202" t="s">
        <v>92</v>
      </c>
      <c r="B87" s="72">
        <v>2709</v>
      </c>
      <c r="C87" s="72">
        <v>293</v>
      </c>
      <c r="D87" s="457">
        <v>166</v>
      </c>
      <c r="E87" s="72">
        <v>523</v>
      </c>
      <c r="F87" s="72">
        <v>123</v>
      </c>
      <c r="G87" s="72">
        <v>493</v>
      </c>
      <c r="H87" s="72">
        <v>182</v>
      </c>
    </row>
    <row r="88" spans="1:8" ht="14.1" customHeight="1" x14ac:dyDescent="0.25">
      <c r="A88" s="202" t="s">
        <v>93</v>
      </c>
      <c r="B88" s="72">
        <v>1915</v>
      </c>
      <c r="C88" s="72">
        <v>186</v>
      </c>
      <c r="D88" s="457">
        <v>146</v>
      </c>
      <c r="E88" s="72">
        <v>1119</v>
      </c>
      <c r="F88" s="72">
        <v>48</v>
      </c>
      <c r="G88" s="72">
        <v>362</v>
      </c>
      <c r="H88" s="72">
        <v>101</v>
      </c>
    </row>
    <row r="89" spans="1:8" ht="14.1" customHeight="1" x14ac:dyDescent="0.25">
      <c r="A89" s="202" t="s">
        <v>94</v>
      </c>
      <c r="B89" s="72">
        <v>1266</v>
      </c>
      <c r="C89" s="72">
        <v>109</v>
      </c>
      <c r="D89" s="457">
        <v>75</v>
      </c>
      <c r="E89" s="72">
        <v>379</v>
      </c>
      <c r="F89" s="72">
        <v>43</v>
      </c>
      <c r="G89" s="72">
        <v>121</v>
      </c>
      <c r="H89" s="72">
        <v>29</v>
      </c>
    </row>
    <row r="90" spans="1:8" ht="14.1" customHeight="1" x14ac:dyDescent="0.25">
      <c r="A90" s="206" t="s">
        <v>95</v>
      </c>
      <c r="B90" s="71">
        <v>11409</v>
      </c>
      <c r="C90" s="71">
        <v>1252</v>
      </c>
      <c r="D90" s="456">
        <v>980</v>
      </c>
      <c r="E90" s="71">
        <v>3254</v>
      </c>
      <c r="F90" s="71">
        <v>410</v>
      </c>
      <c r="G90" s="71">
        <v>1536</v>
      </c>
      <c r="H90" s="71">
        <v>920</v>
      </c>
    </row>
    <row r="91" spans="1:8" ht="14.1" customHeight="1" x14ac:dyDescent="0.25">
      <c r="A91" s="202" t="s">
        <v>84</v>
      </c>
      <c r="B91" s="72">
        <v>1445</v>
      </c>
      <c r="C91" s="72">
        <v>159</v>
      </c>
      <c r="D91" s="457">
        <v>119</v>
      </c>
      <c r="E91" s="72">
        <v>479</v>
      </c>
      <c r="F91" s="72">
        <v>67</v>
      </c>
      <c r="G91" s="72">
        <v>358</v>
      </c>
      <c r="H91" s="72">
        <v>140</v>
      </c>
    </row>
    <row r="92" spans="1:8" ht="14.1" customHeight="1" x14ac:dyDescent="0.25">
      <c r="A92" s="202" t="s">
        <v>96</v>
      </c>
      <c r="B92" s="72">
        <v>1061</v>
      </c>
      <c r="C92" s="72">
        <v>84</v>
      </c>
      <c r="D92" s="457">
        <v>52</v>
      </c>
      <c r="E92" s="72">
        <v>408</v>
      </c>
      <c r="F92" s="72">
        <v>100</v>
      </c>
      <c r="G92" s="72">
        <v>222</v>
      </c>
      <c r="H92" s="72">
        <v>130</v>
      </c>
    </row>
    <row r="93" spans="1:8" ht="14.1" customHeight="1" x14ac:dyDescent="0.25">
      <c r="A93" s="202" t="s">
        <v>88</v>
      </c>
      <c r="B93" s="72">
        <v>1857</v>
      </c>
      <c r="C93" s="72">
        <v>237</v>
      </c>
      <c r="D93" s="457">
        <v>194</v>
      </c>
      <c r="E93" s="72">
        <v>699</v>
      </c>
      <c r="F93" s="72">
        <v>52</v>
      </c>
      <c r="G93" s="72">
        <v>308</v>
      </c>
      <c r="H93" s="72">
        <v>158</v>
      </c>
    </row>
    <row r="94" spans="1:8" ht="14.1" customHeight="1" x14ac:dyDescent="0.25">
      <c r="A94" s="202" t="s">
        <v>97</v>
      </c>
      <c r="B94" s="72">
        <v>319</v>
      </c>
      <c r="C94" s="72">
        <v>52</v>
      </c>
      <c r="D94" s="457">
        <v>47</v>
      </c>
      <c r="E94" s="72">
        <v>167</v>
      </c>
      <c r="F94" s="72">
        <v>7</v>
      </c>
      <c r="G94" s="72">
        <v>17</v>
      </c>
      <c r="H94" s="72">
        <v>18</v>
      </c>
    </row>
    <row r="95" spans="1:8" ht="14.1" customHeight="1" x14ac:dyDescent="0.25">
      <c r="A95" s="202" t="s">
        <v>98</v>
      </c>
      <c r="B95" s="72">
        <v>2090</v>
      </c>
      <c r="C95" s="72">
        <v>310</v>
      </c>
      <c r="D95" s="457">
        <v>263</v>
      </c>
      <c r="E95" s="72">
        <v>327</v>
      </c>
      <c r="F95" s="72">
        <v>55</v>
      </c>
      <c r="G95" s="72">
        <v>299</v>
      </c>
      <c r="H95" s="72">
        <v>205</v>
      </c>
    </row>
    <row r="96" spans="1:8" ht="14.1" customHeight="1" x14ac:dyDescent="0.25">
      <c r="A96" s="202" t="s">
        <v>99</v>
      </c>
      <c r="B96" s="72">
        <v>1839</v>
      </c>
      <c r="C96" s="72">
        <v>162</v>
      </c>
      <c r="D96" s="457">
        <v>126</v>
      </c>
      <c r="E96" s="72">
        <v>275</v>
      </c>
      <c r="F96" s="72">
        <v>52</v>
      </c>
      <c r="G96" s="72">
        <v>7</v>
      </c>
      <c r="H96" s="72">
        <v>35</v>
      </c>
    </row>
    <row r="97" spans="1:9" ht="14.1" customHeight="1" x14ac:dyDescent="0.25">
      <c r="A97" s="202" t="s">
        <v>100</v>
      </c>
      <c r="B97" s="72">
        <v>1421</v>
      </c>
      <c r="C97" s="72">
        <v>154</v>
      </c>
      <c r="D97" s="457">
        <v>121</v>
      </c>
      <c r="E97" s="72">
        <v>457</v>
      </c>
      <c r="F97" s="72">
        <v>38</v>
      </c>
      <c r="G97" s="72">
        <v>239</v>
      </c>
      <c r="H97" s="72">
        <v>141</v>
      </c>
    </row>
    <row r="98" spans="1:9" ht="14.1" customHeight="1" x14ac:dyDescent="0.25">
      <c r="A98" s="202" t="s">
        <v>101</v>
      </c>
      <c r="B98" s="72">
        <v>242</v>
      </c>
      <c r="C98" s="72">
        <v>35</v>
      </c>
      <c r="D98" s="457">
        <v>31</v>
      </c>
      <c r="E98" s="72">
        <v>121</v>
      </c>
      <c r="F98" s="72">
        <v>5</v>
      </c>
      <c r="G98" s="72">
        <v>23</v>
      </c>
      <c r="H98" s="72">
        <v>22</v>
      </c>
    </row>
    <row r="99" spans="1:9" ht="14.1" customHeight="1" x14ac:dyDescent="0.25">
      <c r="A99" s="202" t="s">
        <v>102</v>
      </c>
      <c r="B99" s="72">
        <v>789</v>
      </c>
      <c r="C99" s="72">
        <v>24</v>
      </c>
      <c r="D99" s="457">
        <v>4</v>
      </c>
      <c r="E99" s="72">
        <v>231</v>
      </c>
      <c r="F99" s="72">
        <v>5</v>
      </c>
      <c r="G99" s="72">
        <v>2</v>
      </c>
      <c r="H99" s="72">
        <v>29</v>
      </c>
    </row>
    <row r="100" spans="1:9" ht="14.1" customHeight="1" x14ac:dyDescent="0.25">
      <c r="A100" s="202" t="s">
        <v>103</v>
      </c>
      <c r="B100" s="72">
        <v>253</v>
      </c>
      <c r="C100" s="72">
        <v>33</v>
      </c>
      <c r="D100" s="457">
        <v>23</v>
      </c>
      <c r="E100" s="72">
        <v>52</v>
      </c>
      <c r="F100" s="72">
        <v>22</v>
      </c>
      <c r="G100" s="72">
        <v>52</v>
      </c>
      <c r="H100" s="72">
        <v>27</v>
      </c>
    </row>
    <row r="101" spans="1:9" ht="14.1" customHeight="1" x14ac:dyDescent="0.25">
      <c r="A101" s="273" t="s">
        <v>104</v>
      </c>
      <c r="B101" s="282">
        <v>93</v>
      </c>
      <c r="C101" s="282">
        <v>2</v>
      </c>
      <c r="D101" s="458">
        <v>0</v>
      </c>
      <c r="E101" s="282">
        <v>38</v>
      </c>
      <c r="F101" s="282">
        <v>7</v>
      </c>
      <c r="G101" s="282">
        <v>9</v>
      </c>
      <c r="H101" s="282">
        <v>15</v>
      </c>
      <c r="I101" s="36"/>
    </row>
    <row r="104" spans="1:9" x14ac:dyDescent="0.25">
      <c r="F104" s="45"/>
      <c r="G104" s="73"/>
      <c r="H104" s="73"/>
    </row>
    <row r="105" spans="1:9" x14ac:dyDescent="0.25">
      <c r="F105" s="45"/>
    </row>
    <row r="106" spans="1:9" x14ac:dyDescent="0.25">
      <c r="F106" s="45"/>
    </row>
    <row r="107" spans="1:9" x14ac:dyDescent="0.25">
      <c r="F107" s="45"/>
    </row>
    <row r="108" spans="1:9" x14ac:dyDescent="0.25">
      <c r="F108" s="45"/>
    </row>
    <row r="109" spans="1:9" x14ac:dyDescent="0.25">
      <c r="F109" s="45"/>
    </row>
    <row r="110" spans="1:9" x14ac:dyDescent="0.25">
      <c r="F110" s="45"/>
    </row>
  </sheetData>
  <mergeCells count="5">
    <mergeCell ref="A1:H1"/>
    <mergeCell ref="A2:H2"/>
    <mergeCell ref="A4:A5"/>
    <mergeCell ref="C4:H4"/>
    <mergeCell ref="B4:B5"/>
  </mergeCells>
  <printOptions horizontalCentered="1"/>
  <pageMargins left="0.19685039370078741" right="0.19685039370078741" top="0.31496062992125984" bottom="0.19685039370078741" header="0.11811023622047245" footer="0.11811023622047245"/>
  <pageSetup paperSize="9" firstPageNumber="28" orientation="landscape" useFirstPageNumber="1" r:id="rId1"/>
  <headerFooter>
    <oddHeader>&amp;C&amp;"Arial,обычный"&amp;10&amp;P</oddHeader>
  </headerFooter>
  <rowBreaks count="2" manualBreakCount="2">
    <brk id="38" max="16383" man="1"/>
    <brk id="70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P103"/>
  <sheetViews>
    <sheetView tabSelected="1" zoomScaleNormal="100" workbookViewId="0">
      <pane xSplit="1" ySplit="5" topLeftCell="B75" activePane="bottomRight" state="frozen"/>
      <selection pane="topRight" activeCell="B1" sqref="B1"/>
      <selection pane="bottomLeft" activeCell="A6" sqref="A6"/>
      <selection pane="bottomRight" activeCell="M87" sqref="M87"/>
    </sheetView>
  </sheetViews>
  <sheetFormatPr defaultRowHeight="15" x14ac:dyDescent="0.25"/>
  <cols>
    <col min="1" max="1" width="41.7109375" customWidth="1"/>
    <col min="2" max="2" width="15.7109375" customWidth="1"/>
    <col min="3" max="3" width="16.42578125" customWidth="1"/>
    <col min="4" max="4" width="11.5703125" customWidth="1"/>
    <col min="5" max="5" width="15.7109375" customWidth="1"/>
    <col min="6" max="6" width="14.85546875" customWidth="1"/>
    <col min="7" max="7" width="13.42578125" customWidth="1"/>
    <col min="8" max="8" width="11.5703125" customWidth="1"/>
  </cols>
  <sheetData>
    <row r="1" spans="1:16" ht="15" customHeight="1" x14ac:dyDescent="0.25">
      <c r="A1" s="533" t="s">
        <v>267</v>
      </c>
      <c r="B1" s="533"/>
      <c r="C1" s="533"/>
      <c r="D1" s="533"/>
      <c r="E1" s="533"/>
      <c r="F1" s="533"/>
      <c r="G1" s="533"/>
      <c r="H1" s="533"/>
    </row>
    <row r="2" spans="1:16" x14ac:dyDescent="0.25">
      <c r="A2" s="540" t="s">
        <v>351</v>
      </c>
      <c r="B2" s="540"/>
      <c r="C2" s="540"/>
      <c r="D2" s="540"/>
      <c r="E2" s="540"/>
      <c r="F2" s="540"/>
      <c r="G2" s="540"/>
      <c r="H2" s="540"/>
    </row>
    <row r="3" spans="1:16" ht="13.5" customHeight="1" x14ac:dyDescent="0.25">
      <c r="A3" s="532" t="s">
        <v>327</v>
      </c>
      <c r="B3" s="532"/>
      <c r="C3" s="532"/>
      <c r="D3" s="532"/>
      <c r="E3" s="532"/>
      <c r="F3" s="532"/>
      <c r="G3" s="532"/>
      <c r="H3" s="532"/>
    </row>
    <row r="4" spans="1:16" x14ac:dyDescent="0.25">
      <c r="A4" s="535"/>
      <c r="B4" s="538" t="s">
        <v>323</v>
      </c>
      <c r="C4" s="536" t="s">
        <v>326</v>
      </c>
      <c r="D4" s="536"/>
      <c r="E4" s="537"/>
      <c r="F4" s="537"/>
      <c r="G4" s="537"/>
      <c r="H4" s="537"/>
    </row>
    <row r="5" spans="1:16" ht="54" customHeight="1" x14ac:dyDescent="0.25">
      <c r="A5" s="535"/>
      <c r="B5" s="539"/>
      <c r="C5" s="237" t="s">
        <v>201</v>
      </c>
      <c r="D5" s="237" t="s">
        <v>363</v>
      </c>
      <c r="E5" s="455" t="s">
        <v>362</v>
      </c>
      <c r="F5" s="455" t="s">
        <v>150</v>
      </c>
      <c r="G5" s="454" t="s">
        <v>151</v>
      </c>
      <c r="H5" s="454" t="s">
        <v>152</v>
      </c>
    </row>
    <row r="6" spans="1:16" ht="14.1" customHeight="1" x14ac:dyDescent="0.25">
      <c r="A6" s="234" t="s">
        <v>13</v>
      </c>
      <c r="B6" s="402">
        <v>93.778000000000006</v>
      </c>
      <c r="C6" s="402">
        <v>12.119</v>
      </c>
      <c r="D6" s="460">
        <v>9.2430000000000003</v>
      </c>
      <c r="E6" s="402">
        <v>32.314999999999998</v>
      </c>
      <c r="F6" s="402">
        <v>2.7719999999999998</v>
      </c>
      <c r="G6" s="402">
        <v>11.714</v>
      </c>
      <c r="H6" s="402">
        <v>4.9749999999999996</v>
      </c>
      <c r="J6" s="473"/>
      <c r="K6" s="473"/>
      <c r="L6" s="473"/>
      <c r="M6" s="473"/>
      <c r="N6" s="473"/>
      <c r="O6" s="473"/>
      <c r="P6" s="473"/>
    </row>
    <row r="7" spans="1:16" ht="14.1" customHeight="1" x14ac:dyDescent="0.25">
      <c r="A7" s="201" t="s">
        <v>14</v>
      </c>
      <c r="B7" s="402">
        <v>79.665999999999997</v>
      </c>
      <c r="C7" s="402">
        <v>12.006</v>
      </c>
      <c r="D7" s="460">
        <v>8.2449999999999992</v>
      </c>
      <c r="E7" s="402">
        <v>40.058</v>
      </c>
      <c r="F7" s="402">
        <v>1.954</v>
      </c>
      <c r="G7" s="402">
        <v>8.1739999999999995</v>
      </c>
      <c r="H7" s="402">
        <v>3.867</v>
      </c>
    </row>
    <row r="8" spans="1:16" ht="14.1" customHeight="1" x14ac:dyDescent="0.25">
      <c r="A8" s="202" t="s">
        <v>15</v>
      </c>
      <c r="B8" s="403">
        <v>75.114999999999995</v>
      </c>
      <c r="C8" s="403">
        <v>12.981999999999999</v>
      </c>
      <c r="D8" s="459">
        <v>10.98</v>
      </c>
      <c r="E8" s="403">
        <v>14.597</v>
      </c>
      <c r="F8" s="403">
        <v>2.39</v>
      </c>
      <c r="G8" s="403">
        <v>11.044</v>
      </c>
      <c r="H8" s="403">
        <v>3.423</v>
      </c>
    </row>
    <row r="9" spans="1:16" ht="14.1" customHeight="1" x14ac:dyDescent="0.25">
      <c r="A9" s="202" t="s">
        <v>16</v>
      </c>
      <c r="B9" s="403">
        <v>102.479</v>
      </c>
      <c r="C9" s="403">
        <v>12.705</v>
      </c>
      <c r="D9" s="459">
        <v>10.114000000000001</v>
      </c>
      <c r="E9" s="403">
        <v>39.119</v>
      </c>
      <c r="F9" s="403">
        <v>3.7610000000000001</v>
      </c>
      <c r="G9" s="403">
        <v>11.284000000000001</v>
      </c>
      <c r="H9" s="403">
        <v>6.6029999999999998</v>
      </c>
    </row>
    <row r="10" spans="1:16" ht="14.1" customHeight="1" x14ac:dyDescent="0.25">
      <c r="A10" s="202" t="s">
        <v>17</v>
      </c>
      <c r="B10" s="403">
        <v>102.782</v>
      </c>
      <c r="C10" s="403">
        <v>19.015000000000001</v>
      </c>
      <c r="D10" s="459">
        <v>15.124000000000001</v>
      </c>
      <c r="E10" s="403">
        <v>51.463999999999999</v>
      </c>
      <c r="F10" s="403">
        <v>1.909</v>
      </c>
      <c r="G10" s="403">
        <v>14.316000000000001</v>
      </c>
      <c r="H10" s="403">
        <v>6.7539999999999996</v>
      </c>
    </row>
    <row r="11" spans="1:16" ht="14.1" customHeight="1" x14ac:dyDescent="0.25">
      <c r="A11" s="202" t="s">
        <v>18</v>
      </c>
      <c r="B11" s="403">
        <v>80.61</v>
      </c>
      <c r="C11" s="403">
        <v>16.164999999999999</v>
      </c>
      <c r="D11" s="459">
        <v>13.585000000000001</v>
      </c>
      <c r="E11" s="403">
        <v>45.872</v>
      </c>
      <c r="F11" s="403">
        <v>2.8370000000000002</v>
      </c>
      <c r="G11" s="403">
        <v>11.092000000000001</v>
      </c>
      <c r="H11" s="403">
        <v>2.9660000000000002</v>
      </c>
    </row>
    <row r="12" spans="1:16" ht="14.1" customHeight="1" x14ac:dyDescent="0.25">
      <c r="A12" s="202" t="s">
        <v>19</v>
      </c>
      <c r="B12" s="403">
        <v>88.242000000000004</v>
      </c>
      <c r="C12" s="403">
        <v>10.393000000000001</v>
      </c>
      <c r="D12" s="459">
        <v>9.4939999999999998</v>
      </c>
      <c r="E12" s="403">
        <v>71.753</v>
      </c>
      <c r="F12" s="403">
        <v>2.798</v>
      </c>
      <c r="G12" s="403">
        <v>17.189</v>
      </c>
      <c r="H12" s="403">
        <v>6.7960000000000003</v>
      </c>
    </row>
    <row r="13" spans="1:16" ht="14.1" customHeight="1" x14ac:dyDescent="0.25">
      <c r="A13" s="202" t="s">
        <v>20</v>
      </c>
      <c r="B13" s="403">
        <v>101.49299999999999</v>
      </c>
      <c r="C13" s="403">
        <v>16.202999999999999</v>
      </c>
      <c r="D13" s="459">
        <v>11.531000000000001</v>
      </c>
      <c r="E13" s="403">
        <v>60.040999999999997</v>
      </c>
      <c r="F13" s="403">
        <v>3.0819999999999999</v>
      </c>
      <c r="G13" s="403">
        <v>11.929</v>
      </c>
      <c r="H13" s="403">
        <v>4.7709999999999999</v>
      </c>
    </row>
    <row r="14" spans="1:16" ht="14.1" customHeight="1" x14ac:dyDescent="0.25">
      <c r="A14" s="203" t="s">
        <v>21</v>
      </c>
      <c r="B14" s="403">
        <v>92.394000000000005</v>
      </c>
      <c r="C14" s="403">
        <v>12.12</v>
      </c>
      <c r="D14" s="459">
        <v>10.545999999999999</v>
      </c>
      <c r="E14" s="403">
        <v>24.082000000000001</v>
      </c>
      <c r="F14" s="403">
        <v>2.8330000000000002</v>
      </c>
      <c r="G14" s="403">
        <v>18.416</v>
      </c>
      <c r="H14" s="403">
        <v>5.0369999999999999</v>
      </c>
    </row>
    <row r="15" spans="1:16" ht="14.1" customHeight="1" x14ac:dyDescent="0.25">
      <c r="A15" s="202" t="s">
        <v>22</v>
      </c>
      <c r="B15" s="403">
        <v>89.822000000000003</v>
      </c>
      <c r="C15" s="403">
        <v>18.091000000000001</v>
      </c>
      <c r="D15" s="459">
        <v>15.106</v>
      </c>
      <c r="E15" s="403">
        <v>30.120999999999999</v>
      </c>
      <c r="F15" s="403">
        <v>3.7090000000000001</v>
      </c>
      <c r="G15" s="403">
        <v>10.945</v>
      </c>
      <c r="H15" s="403">
        <v>3.89</v>
      </c>
    </row>
    <row r="16" spans="1:16" ht="14.1" customHeight="1" x14ac:dyDescent="0.25">
      <c r="A16" s="202" t="s">
        <v>23</v>
      </c>
      <c r="B16" s="403">
        <v>97.835999999999999</v>
      </c>
      <c r="C16" s="403">
        <v>13.839</v>
      </c>
      <c r="D16" s="459">
        <v>7.27</v>
      </c>
      <c r="E16" s="403">
        <v>63.064</v>
      </c>
      <c r="F16" s="403">
        <v>0.438</v>
      </c>
      <c r="G16" s="403">
        <v>2.3650000000000002</v>
      </c>
      <c r="H16" s="403">
        <v>3.0659999999999998</v>
      </c>
    </row>
    <row r="17" spans="1:8" ht="14.1" customHeight="1" x14ac:dyDescent="0.25">
      <c r="A17" s="202" t="s">
        <v>24</v>
      </c>
      <c r="B17" s="403">
        <v>90.918999999999997</v>
      </c>
      <c r="C17" s="403">
        <v>12.923</v>
      </c>
      <c r="D17" s="459">
        <v>7.6909999999999998</v>
      </c>
      <c r="E17" s="403">
        <v>57.015999999999998</v>
      </c>
      <c r="F17" s="403">
        <v>2.2759999999999998</v>
      </c>
      <c r="G17" s="403">
        <v>11.497</v>
      </c>
      <c r="H17" s="403">
        <v>5.8860000000000001</v>
      </c>
    </row>
    <row r="18" spans="1:8" ht="14.1" customHeight="1" x14ac:dyDescent="0.25">
      <c r="A18" s="202" t="s">
        <v>25</v>
      </c>
      <c r="B18" s="403">
        <v>83.777000000000001</v>
      </c>
      <c r="C18" s="403">
        <v>14.936</v>
      </c>
      <c r="D18" s="459">
        <v>9.3689999999999998</v>
      </c>
      <c r="E18" s="403">
        <v>31.501000000000001</v>
      </c>
      <c r="F18" s="403">
        <v>0.95</v>
      </c>
      <c r="G18" s="403">
        <v>10.319000000000001</v>
      </c>
      <c r="H18" s="403">
        <v>4.0730000000000004</v>
      </c>
    </row>
    <row r="19" spans="1:8" ht="14.1" customHeight="1" x14ac:dyDescent="0.25">
      <c r="A19" s="203" t="s">
        <v>26</v>
      </c>
      <c r="B19" s="403">
        <v>95.997</v>
      </c>
      <c r="C19" s="403">
        <v>17.004000000000001</v>
      </c>
      <c r="D19" s="459">
        <v>13.945</v>
      </c>
      <c r="E19" s="403">
        <v>20.783000000000001</v>
      </c>
      <c r="F19" s="403">
        <v>0.81</v>
      </c>
      <c r="G19" s="403">
        <v>3.6890000000000001</v>
      </c>
      <c r="H19" s="403">
        <v>1.7090000000000001</v>
      </c>
    </row>
    <row r="20" spans="1:8" ht="14.1" customHeight="1" x14ac:dyDescent="0.25">
      <c r="A20" s="202" t="s">
        <v>27</v>
      </c>
      <c r="B20" s="403">
        <v>111.97199999999999</v>
      </c>
      <c r="C20" s="403">
        <v>14.489000000000001</v>
      </c>
      <c r="D20" s="459">
        <v>8.6300000000000008</v>
      </c>
      <c r="E20" s="403">
        <v>41.444000000000003</v>
      </c>
      <c r="F20" s="403">
        <v>1.9179999999999999</v>
      </c>
      <c r="G20" s="403">
        <v>8.9489999999999998</v>
      </c>
      <c r="H20" s="403">
        <v>4.5810000000000004</v>
      </c>
    </row>
    <row r="21" spans="1:8" s="333" customFormat="1" ht="14.1" customHeight="1" x14ac:dyDescent="0.25">
      <c r="A21" s="411" t="s">
        <v>28</v>
      </c>
      <c r="B21" s="415">
        <v>91.460999999999999</v>
      </c>
      <c r="C21" s="415">
        <v>15.523999999999999</v>
      </c>
      <c r="D21" s="459">
        <v>13.843</v>
      </c>
      <c r="E21" s="415">
        <v>45.286000000000001</v>
      </c>
      <c r="F21" s="415">
        <v>3.3620000000000001</v>
      </c>
      <c r="G21" s="415">
        <v>9.7889999999999997</v>
      </c>
      <c r="H21" s="415">
        <v>4.2519999999999998</v>
      </c>
    </row>
    <row r="22" spans="1:8" ht="14.1" customHeight="1" x14ac:dyDescent="0.25">
      <c r="A22" s="202" t="s">
        <v>29</v>
      </c>
      <c r="B22" s="403">
        <v>111.06699999999999</v>
      </c>
      <c r="C22" s="403">
        <v>13.913</v>
      </c>
      <c r="D22" s="459">
        <v>10.119</v>
      </c>
      <c r="E22" s="403">
        <v>70.988</v>
      </c>
      <c r="F22" s="403">
        <v>6.798</v>
      </c>
      <c r="G22" s="403">
        <v>16.759</v>
      </c>
      <c r="H22" s="403">
        <v>5.9290000000000003</v>
      </c>
    </row>
    <row r="23" spans="1:8" ht="14.1" customHeight="1" x14ac:dyDescent="0.25">
      <c r="A23" s="202" t="s">
        <v>30</v>
      </c>
      <c r="B23" s="403">
        <v>97.930999999999997</v>
      </c>
      <c r="C23" s="403">
        <v>16.707000000000001</v>
      </c>
      <c r="D23" s="459">
        <v>14.601000000000001</v>
      </c>
      <c r="E23" s="403">
        <v>67.506</v>
      </c>
      <c r="F23" s="403">
        <v>2.581</v>
      </c>
      <c r="G23" s="403">
        <v>10.662000000000001</v>
      </c>
      <c r="H23" s="403">
        <v>4.3460000000000001</v>
      </c>
    </row>
    <row r="24" spans="1:8" ht="14.1" customHeight="1" x14ac:dyDescent="0.25">
      <c r="A24" s="202" t="s">
        <v>31</v>
      </c>
      <c r="B24" s="403">
        <v>103.462</v>
      </c>
      <c r="C24" s="403">
        <v>12.973000000000001</v>
      </c>
      <c r="D24" s="459">
        <v>11.938000000000001</v>
      </c>
      <c r="E24" s="403">
        <v>62.316000000000003</v>
      </c>
      <c r="F24" s="403">
        <v>2.069</v>
      </c>
      <c r="G24" s="403">
        <v>5.0940000000000003</v>
      </c>
      <c r="H24" s="403">
        <v>4.298</v>
      </c>
    </row>
    <row r="25" spans="1:8" ht="14.1" customHeight="1" x14ac:dyDescent="0.25">
      <c r="A25" s="202" t="s">
        <v>32</v>
      </c>
      <c r="B25" s="403">
        <v>50.369</v>
      </c>
      <c r="C25" s="403">
        <v>6.9269999999999996</v>
      </c>
      <c r="D25" s="459">
        <v>3.0209999999999999</v>
      </c>
      <c r="E25" s="403">
        <v>19.381</v>
      </c>
      <c r="F25" s="403">
        <v>0.64</v>
      </c>
      <c r="G25" s="403">
        <v>2.3170000000000002</v>
      </c>
      <c r="H25" s="403">
        <v>1.7949999999999999</v>
      </c>
    </row>
    <row r="26" spans="1:8" ht="14.1" customHeight="1" x14ac:dyDescent="0.25">
      <c r="A26" s="204" t="s">
        <v>33</v>
      </c>
      <c r="B26" s="402">
        <v>90.956000000000003</v>
      </c>
      <c r="C26" s="402">
        <v>10.646000000000001</v>
      </c>
      <c r="D26" s="459">
        <v>8.0350000000000001</v>
      </c>
      <c r="E26" s="402">
        <v>36.802999999999997</v>
      </c>
      <c r="F26" s="402">
        <v>3.806</v>
      </c>
      <c r="G26" s="402">
        <v>12.592000000000001</v>
      </c>
      <c r="H26" s="402">
        <v>4.6079999999999997</v>
      </c>
    </row>
    <row r="27" spans="1:8" ht="14.1" customHeight="1" x14ac:dyDescent="0.25">
      <c r="A27" s="202" t="s">
        <v>34</v>
      </c>
      <c r="B27" s="403">
        <v>105.185</v>
      </c>
      <c r="C27" s="403">
        <v>15.583</v>
      </c>
      <c r="D27" s="459">
        <v>11.525</v>
      </c>
      <c r="E27" s="403">
        <v>45.774999999999999</v>
      </c>
      <c r="F27" s="403">
        <v>3.7330000000000001</v>
      </c>
      <c r="G27" s="403">
        <v>15.096</v>
      </c>
      <c r="H27" s="403">
        <v>6.8179999999999996</v>
      </c>
    </row>
    <row r="28" spans="1:8" ht="14.1" customHeight="1" x14ac:dyDescent="0.25">
      <c r="A28" s="202" t="s">
        <v>35</v>
      </c>
      <c r="B28" s="403">
        <v>133.761</v>
      </c>
      <c r="C28" s="403">
        <v>8.1180000000000003</v>
      </c>
      <c r="D28" s="459">
        <v>7.0270000000000001</v>
      </c>
      <c r="E28" s="403">
        <v>61.548999999999999</v>
      </c>
      <c r="F28" s="403">
        <v>6.3</v>
      </c>
      <c r="G28" s="403">
        <v>25.08</v>
      </c>
      <c r="H28" s="403">
        <v>11.753</v>
      </c>
    </row>
    <row r="29" spans="1:8" ht="14.1" customHeight="1" x14ac:dyDescent="0.25">
      <c r="A29" s="202" t="s">
        <v>36</v>
      </c>
      <c r="B29" s="403">
        <v>120.57899999999999</v>
      </c>
      <c r="C29" s="403">
        <v>12.54</v>
      </c>
      <c r="D29" s="459">
        <v>10.786</v>
      </c>
      <c r="E29" s="403">
        <v>58.58</v>
      </c>
      <c r="F29" s="403">
        <v>4.9109999999999996</v>
      </c>
      <c r="G29" s="403">
        <v>25.957000000000001</v>
      </c>
      <c r="H29" s="403">
        <v>7.7169999999999996</v>
      </c>
    </row>
    <row r="30" spans="1:8" ht="14.1" customHeight="1" x14ac:dyDescent="0.25">
      <c r="A30" s="202" t="s">
        <v>37</v>
      </c>
      <c r="B30" s="403">
        <v>122.81100000000001</v>
      </c>
      <c r="C30" s="403">
        <v>4.5490000000000004</v>
      </c>
      <c r="D30" s="459">
        <v>0</v>
      </c>
      <c r="E30" s="403">
        <v>20.469000000000001</v>
      </c>
      <c r="F30" s="403">
        <v>13.646000000000001</v>
      </c>
      <c r="G30" s="403">
        <v>29.565999999999999</v>
      </c>
      <c r="H30" s="403">
        <v>11.371</v>
      </c>
    </row>
    <row r="31" spans="1:8" ht="14.1" customHeight="1" x14ac:dyDescent="0.25">
      <c r="A31" s="205" t="s">
        <v>287</v>
      </c>
      <c r="B31" s="403">
        <v>120.49</v>
      </c>
      <c r="C31" s="403">
        <v>12.861000000000001</v>
      </c>
      <c r="D31" s="459">
        <v>11.218999999999999</v>
      </c>
      <c r="E31" s="403">
        <v>60.107999999999997</v>
      </c>
      <c r="F31" s="403">
        <v>4.5609999999999999</v>
      </c>
      <c r="G31" s="403">
        <v>25.812999999999999</v>
      </c>
      <c r="H31" s="403">
        <v>7.5709999999999997</v>
      </c>
    </row>
    <row r="32" spans="1:8" ht="14.1" customHeight="1" x14ac:dyDescent="0.25">
      <c r="A32" s="202" t="s">
        <v>38</v>
      </c>
      <c r="B32" s="403">
        <v>95.611999999999995</v>
      </c>
      <c r="C32" s="403">
        <v>13.315</v>
      </c>
      <c r="D32" s="459">
        <v>8.5050000000000008</v>
      </c>
      <c r="E32" s="403">
        <v>24.396999999999998</v>
      </c>
      <c r="F32" s="403">
        <v>5.3259999999999996</v>
      </c>
      <c r="G32" s="403">
        <v>11.339</v>
      </c>
      <c r="H32" s="403">
        <v>4.0380000000000003</v>
      </c>
    </row>
    <row r="33" spans="1:8" ht="14.1" customHeight="1" x14ac:dyDescent="0.25">
      <c r="A33" s="202" t="s">
        <v>39</v>
      </c>
      <c r="B33" s="403">
        <v>84.975999999999999</v>
      </c>
      <c r="C33" s="403">
        <v>11.615</v>
      </c>
      <c r="D33" s="459">
        <v>8.0410000000000004</v>
      </c>
      <c r="E33" s="403">
        <v>42.19</v>
      </c>
      <c r="F33" s="403">
        <v>5.2610000000000001</v>
      </c>
      <c r="G33" s="403">
        <v>15.188000000000001</v>
      </c>
      <c r="H33" s="403">
        <v>5.5590000000000002</v>
      </c>
    </row>
    <row r="34" spans="1:8" ht="14.1" customHeight="1" x14ac:dyDescent="0.25">
      <c r="A34" s="202" t="s">
        <v>40</v>
      </c>
      <c r="B34" s="403">
        <v>116.012</v>
      </c>
      <c r="C34" s="403">
        <v>15.683</v>
      </c>
      <c r="D34" s="459">
        <v>12.246</v>
      </c>
      <c r="E34" s="403">
        <v>58.328000000000003</v>
      </c>
      <c r="F34" s="403">
        <v>4.78</v>
      </c>
      <c r="G34" s="403">
        <v>15.361000000000001</v>
      </c>
      <c r="H34" s="403">
        <v>4.3499999999999996</v>
      </c>
    </row>
    <row r="35" spans="1:8" ht="14.1" customHeight="1" x14ac:dyDescent="0.25">
      <c r="A35" s="202" t="s">
        <v>41</v>
      </c>
      <c r="B35" s="403">
        <v>112.255</v>
      </c>
      <c r="C35" s="403">
        <v>9.3989999999999991</v>
      </c>
      <c r="D35" s="459">
        <v>5.5049999999999999</v>
      </c>
      <c r="E35" s="403">
        <v>48.204999999999998</v>
      </c>
      <c r="F35" s="403">
        <v>2.1480000000000001</v>
      </c>
      <c r="G35" s="403">
        <v>5.64</v>
      </c>
      <c r="H35" s="403">
        <v>3.4910000000000001</v>
      </c>
    </row>
    <row r="36" spans="1:8" ht="14.1" customHeight="1" x14ac:dyDescent="0.25">
      <c r="A36" s="202" t="s">
        <v>42</v>
      </c>
      <c r="B36" s="403">
        <v>115.976</v>
      </c>
      <c r="C36" s="403">
        <v>14.372</v>
      </c>
      <c r="D36" s="459">
        <v>11.196</v>
      </c>
      <c r="E36" s="403">
        <v>73.028000000000006</v>
      </c>
      <c r="F36" s="403">
        <v>10.194000000000001</v>
      </c>
      <c r="G36" s="403">
        <v>17.213000000000001</v>
      </c>
      <c r="H36" s="403">
        <v>8.5229999999999997</v>
      </c>
    </row>
    <row r="37" spans="1:8" s="333" customFormat="1" ht="14.1" customHeight="1" x14ac:dyDescent="0.25">
      <c r="A37" s="411" t="s">
        <v>43</v>
      </c>
      <c r="B37" s="403">
        <v>116.104</v>
      </c>
      <c r="C37" s="403">
        <v>15.289</v>
      </c>
      <c r="D37" s="459">
        <v>10.989000000000001</v>
      </c>
      <c r="E37" s="403">
        <v>37.427</v>
      </c>
      <c r="F37" s="403">
        <v>7.3259999999999996</v>
      </c>
      <c r="G37" s="403">
        <v>14.493</v>
      </c>
      <c r="H37" s="403">
        <v>4.6189999999999998</v>
      </c>
    </row>
    <row r="38" spans="1:8" ht="14.1" customHeight="1" x14ac:dyDescent="0.25">
      <c r="A38" s="202" t="s">
        <v>44</v>
      </c>
      <c r="B38" s="403">
        <v>59.320999999999998</v>
      </c>
      <c r="C38" s="403">
        <v>6.7889999999999997</v>
      </c>
      <c r="D38" s="459">
        <v>5.3049999999999997</v>
      </c>
      <c r="E38" s="403">
        <v>15.952999999999999</v>
      </c>
      <c r="F38" s="403">
        <v>1.373</v>
      </c>
      <c r="G38" s="403">
        <v>6.6219999999999999</v>
      </c>
      <c r="H38" s="403">
        <v>2.3559999999999999</v>
      </c>
    </row>
    <row r="39" spans="1:8" ht="14.1" customHeight="1" x14ac:dyDescent="0.25">
      <c r="A39" s="206" t="s">
        <v>45</v>
      </c>
      <c r="B39" s="402">
        <v>79.397000000000006</v>
      </c>
      <c r="C39" s="402">
        <v>12.515000000000001</v>
      </c>
      <c r="D39" s="459">
        <v>9.9570000000000007</v>
      </c>
      <c r="E39" s="402">
        <v>15.31</v>
      </c>
      <c r="F39" s="402">
        <v>2.6549999999999998</v>
      </c>
      <c r="G39" s="402">
        <v>7.6550000000000002</v>
      </c>
      <c r="H39" s="402">
        <v>2.9769999999999999</v>
      </c>
    </row>
    <row r="40" spans="1:8" ht="14.1" customHeight="1" x14ac:dyDescent="0.25">
      <c r="A40" s="202" t="s">
        <v>46</v>
      </c>
      <c r="B40" s="403">
        <v>77.138000000000005</v>
      </c>
      <c r="C40" s="403">
        <v>17.213999999999999</v>
      </c>
      <c r="D40" s="459">
        <v>14.164</v>
      </c>
      <c r="E40" s="403">
        <v>31.378</v>
      </c>
      <c r="F40" s="403">
        <v>5.23</v>
      </c>
      <c r="G40" s="403">
        <v>15.035</v>
      </c>
      <c r="H40" s="403">
        <v>3.7040000000000002</v>
      </c>
    </row>
    <row r="41" spans="1:8" ht="14.1" customHeight="1" x14ac:dyDescent="0.25">
      <c r="A41" s="202" t="s">
        <v>47</v>
      </c>
      <c r="B41" s="403">
        <v>91.948999999999998</v>
      </c>
      <c r="C41" s="403">
        <v>21.332000000000001</v>
      </c>
      <c r="D41" s="459">
        <v>20.228999999999999</v>
      </c>
      <c r="E41" s="403">
        <v>31.63</v>
      </c>
      <c r="F41" s="403">
        <v>1.839</v>
      </c>
      <c r="G41" s="403">
        <v>21.332000000000001</v>
      </c>
      <c r="H41" s="403">
        <v>4.7809999999999997</v>
      </c>
    </row>
    <row r="42" spans="1:8" ht="14.1" customHeight="1" x14ac:dyDescent="0.25">
      <c r="A42" s="202" t="s">
        <v>202</v>
      </c>
      <c r="B42" s="403">
        <v>85.869</v>
      </c>
      <c r="C42" s="403">
        <v>14.015000000000001</v>
      </c>
      <c r="D42" s="459">
        <v>12.289</v>
      </c>
      <c r="E42" s="403">
        <v>38.750999999999998</v>
      </c>
      <c r="F42" s="403">
        <v>4.1840000000000002</v>
      </c>
      <c r="G42" s="403">
        <v>16.315999999999999</v>
      </c>
      <c r="H42" s="403">
        <v>4.9160000000000004</v>
      </c>
    </row>
    <row r="43" spans="1:8" ht="14.1" customHeight="1" x14ac:dyDescent="0.25">
      <c r="A43" s="202" t="s">
        <v>48</v>
      </c>
      <c r="B43" s="403">
        <v>85.254999999999995</v>
      </c>
      <c r="C43" s="403">
        <v>16.143000000000001</v>
      </c>
      <c r="D43" s="459">
        <v>13.67</v>
      </c>
      <c r="E43" s="403">
        <v>13.335000000000001</v>
      </c>
      <c r="F43" s="403">
        <v>3.109</v>
      </c>
      <c r="G43" s="403">
        <v>9.0079999999999991</v>
      </c>
      <c r="H43" s="403">
        <v>3.55</v>
      </c>
    </row>
    <row r="44" spans="1:8" ht="14.1" customHeight="1" x14ac:dyDescent="0.25">
      <c r="A44" s="202" t="s">
        <v>49</v>
      </c>
      <c r="B44" s="403">
        <v>77.828000000000003</v>
      </c>
      <c r="C44" s="403">
        <v>7.7229999999999999</v>
      </c>
      <c r="D44" s="459">
        <v>5.3470000000000004</v>
      </c>
      <c r="E44" s="403">
        <v>14.159000000000001</v>
      </c>
      <c r="F44" s="403">
        <v>4.1589999999999998</v>
      </c>
      <c r="G44" s="403">
        <v>1.089</v>
      </c>
      <c r="H44" s="403">
        <v>0.59399999999999997</v>
      </c>
    </row>
    <row r="45" spans="1:8" ht="14.1" customHeight="1" x14ac:dyDescent="0.25">
      <c r="A45" s="202" t="s">
        <v>50</v>
      </c>
      <c r="B45" s="403">
        <v>85.745000000000005</v>
      </c>
      <c r="C45" s="403">
        <v>9.8829999999999991</v>
      </c>
      <c r="D45" s="459">
        <v>8.1219999999999999</v>
      </c>
      <c r="E45" s="403">
        <v>10.643000000000001</v>
      </c>
      <c r="F45" s="403">
        <v>1.36</v>
      </c>
      <c r="G45" s="403">
        <v>3.9609999999999999</v>
      </c>
      <c r="H45" s="403">
        <v>1.9610000000000001</v>
      </c>
    </row>
    <row r="46" spans="1:8" ht="14.1" customHeight="1" x14ac:dyDescent="0.25">
      <c r="A46" s="202" t="s">
        <v>51</v>
      </c>
      <c r="B46" s="403">
        <v>64.236999999999995</v>
      </c>
      <c r="C46" s="403">
        <v>9.3810000000000002</v>
      </c>
      <c r="D46" s="459">
        <v>5.524</v>
      </c>
      <c r="E46" s="403">
        <v>6.4050000000000002</v>
      </c>
      <c r="F46" s="403">
        <v>1.167</v>
      </c>
      <c r="G46" s="403">
        <v>3.286</v>
      </c>
      <c r="H46" s="403">
        <v>2.3570000000000002</v>
      </c>
    </row>
    <row r="47" spans="1:8" ht="14.1" customHeight="1" x14ac:dyDescent="0.25">
      <c r="A47" s="202" t="s">
        <v>204</v>
      </c>
      <c r="B47" s="403">
        <v>82.703000000000003</v>
      </c>
      <c r="C47" s="403">
        <v>4.931</v>
      </c>
      <c r="D47" s="459">
        <v>4.7069999999999999</v>
      </c>
      <c r="E47" s="403">
        <v>25.998999999999999</v>
      </c>
      <c r="F47" s="403">
        <v>6.0510000000000002</v>
      </c>
      <c r="G47" s="403">
        <v>14.12</v>
      </c>
      <c r="H47" s="403">
        <v>2.4649999999999999</v>
      </c>
    </row>
    <row r="48" spans="1:8" ht="14.1" customHeight="1" x14ac:dyDescent="0.25">
      <c r="A48" s="207" t="s">
        <v>52</v>
      </c>
      <c r="B48" s="402">
        <v>40.216999999999999</v>
      </c>
      <c r="C48" s="402">
        <v>11.163</v>
      </c>
      <c r="D48" s="459">
        <v>9.4559999999999995</v>
      </c>
      <c r="E48" s="402">
        <v>9.3550000000000004</v>
      </c>
      <c r="F48" s="402">
        <v>1.111</v>
      </c>
      <c r="G48" s="402">
        <v>3.8490000000000002</v>
      </c>
      <c r="H48" s="402">
        <v>2.3839999999999999</v>
      </c>
    </row>
    <row r="49" spans="1:8" ht="14.1" customHeight="1" x14ac:dyDescent="0.25">
      <c r="A49" s="202" t="s">
        <v>53</v>
      </c>
      <c r="B49" s="403">
        <v>27.82</v>
      </c>
      <c r="C49" s="403">
        <v>11.78</v>
      </c>
      <c r="D49" s="459">
        <v>11.005000000000001</v>
      </c>
      <c r="E49" s="403">
        <v>2.6789999999999998</v>
      </c>
      <c r="F49" s="403">
        <v>0.93600000000000005</v>
      </c>
      <c r="G49" s="403">
        <v>2.0009999999999999</v>
      </c>
      <c r="H49" s="403">
        <v>1.5489999999999999</v>
      </c>
    </row>
    <row r="50" spans="1:8" ht="14.1" customHeight="1" x14ac:dyDescent="0.25">
      <c r="A50" s="202" t="s">
        <v>54</v>
      </c>
      <c r="B50" s="403">
        <v>18.119</v>
      </c>
      <c r="C50" s="403">
        <v>9.7569999999999997</v>
      </c>
      <c r="D50" s="459">
        <v>5.3760000000000003</v>
      </c>
      <c r="E50" s="403">
        <v>0.19900000000000001</v>
      </c>
      <c r="F50" s="403">
        <v>0.79600000000000004</v>
      </c>
      <c r="G50" s="403">
        <v>0.19900000000000001</v>
      </c>
      <c r="H50" s="403">
        <v>2.7879999999999998</v>
      </c>
    </row>
    <row r="51" spans="1:8" ht="14.1" customHeight="1" x14ac:dyDescent="0.25">
      <c r="A51" s="202" t="s">
        <v>55</v>
      </c>
      <c r="B51" s="403">
        <v>46.813000000000002</v>
      </c>
      <c r="C51" s="403">
        <v>6.9180000000000001</v>
      </c>
      <c r="D51" s="459">
        <v>5.1890000000000001</v>
      </c>
      <c r="E51" s="403">
        <v>8.532</v>
      </c>
      <c r="F51" s="403">
        <v>1.6140000000000001</v>
      </c>
      <c r="G51" s="403">
        <v>5.9960000000000004</v>
      </c>
      <c r="H51" s="403">
        <v>1.268</v>
      </c>
    </row>
    <row r="52" spans="1:8" ht="14.1" customHeight="1" x14ac:dyDescent="0.25">
      <c r="A52" s="202" t="s">
        <v>56</v>
      </c>
      <c r="B52" s="403">
        <v>54.344999999999999</v>
      </c>
      <c r="C52" s="403">
        <v>18.902999999999999</v>
      </c>
      <c r="D52" s="459">
        <v>15.036</v>
      </c>
      <c r="E52" s="403">
        <v>5.1550000000000002</v>
      </c>
      <c r="F52" s="403">
        <v>2.1480000000000001</v>
      </c>
      <c r="G52" s="403">
        <v>4.9400000000000004</v>
      </c>
      <c r="H52" s="403">
        <v>2.5779999999999998</v>
      </c>
    </row>
    <row r="53" spans="1:8" ht="14.1" customHeight="1" x14ac:dyDescent="0.25">
      <c r="A53" s="202" t="s">
        <v>57</v>
      </c>
      <c r="B53" s="403">
        <v>48.134</v>
      </c>
      <c r="C53" s="403">
        <v>10.744</v>
      </c>
      <c r="D53" s="459">
        <v>9.4550000000000001</v>
      </c>
      <c r="E53" s="403">
        <v>8.452</v>
      </c>
      <c r="F53" s="403">
        <v>0.43</v>
      </c>
      <c r="G53" s="403">
        <v>1.2889999999999999</v>
      </c>
      <c r="H53" s="403">
        <v>1.8620000000000001</v>
      </c>
    </row>
    <row r="54" spans="1:8" ht="14.1" customHeight="1" x14ac:dyDescent="0.25">
      <c r="A54" s="202" t="s">
        <v>58</v>
      </c>
      <c r="B54" s="403">
        <v>14.92</v>
      </c>
      <c r="C54" s="403">
        <v>5.859</v>
      </c>
      <c r="D54" s="459">
        <v>2.9289999999999998</v>
      </c>
      <c r="E54" s="403">
        <v>0.13600000000000001</v>
      </c>
      <c r="F54" s="403">
        <v>0.40899999999999997</v>
      </c>
      <c r="G54" s="403">
        <v>0.27300000000000002</v>
      </c>
      <c r="H54" s="403">
        <v>0.40899999999999997</v>
      </c>
    </row>
    <row r="55" spans="1:8" ht="14.1" customHeight="1" x14ac:dyDescent="0.25">
      <c r="A55" s="202" t="s">
        <v>59</v>
      </c>
      <c r="B55" s="403">
        <v>64.799000000000007</v>
      </c>
      <c r="C55" s="403">
        <v>13.646000000000001</v>
      </c>
      <c r="D55" s="459">
        <v>12.288</v>
      </c>
      <c r="E55" s="403">
        <v>24.398</v>
      </c>
      <c r="F55" s="403">
        <v>1.5720000000000001</v>
      </c>
      <c r="G55" s="403">
        <v>8.2159999999999993</v>
      </c>
      <c r="H55" s="403">
        <v>4.7149999999999999</v>
      </c>
    </row>
    <row r="56" spans="1:8" ht="14.1" customHeight="1" x14ac:dyDescent="0.25">
      <c r="A56" s="201" t="s">
        <v>60</v>
      </c>
      <c r="B56" s="402">
        <v>106.607</v>
      </c>
      <c r="C56" s="402">
        <v>12.221</v>
      </c>
      <c r="D56" s="459">
        <v>9.907</v>
      </c>
      <c r="E56" s="402">
        <v>29.731999999999999</v>
      </c>
      <c r="F56" s="402">
        <v>3.0230000000000001</v>
      </c>
      <c r="G56" s="402">
        <v>13.939</v>
      </c>
      <c r="H56" s="402">
        <v>4.6790000000000003</v>
      </c>
    </row>
    <row r="57" spans="1:8" ht="14.1" customHeight="1" x14ac:dyDescent="0.25">
      <c r="A57" s="202" t="s">
        <v>61</v>
      </c>
      <c r="B57" s="403">
        <v>100.554</v>
      </c>
      <c r="C57" s="403">
        <v>12.659000000000001</v>
      </c>
      <c r="D57" s="459">
        <v>10.582000000000001</v>
      </c>
      <c r="E57" s="403">
        <v>18.395</v>
      </c>
      <c r="F57" s="403">
        <v>3.3380000000000001</v>
      </c>
      <c r="G57" s="403">
        <v>18.172000000000001</v>
      </c>
      <c r="H57" s="403">
        <v>3.7090000000000001</v>
      </c>
    </row>
    <row r="58" spans="1:8" ht="14.1" customHeight="1" x14ac:dyDescent="0.25">
      <c r="A58" s="202" t="s">
        <v>62</v>
      </c>
      <c r="B58" s="403">
        <v>130.608</v>
      </c>
      <c r="C58" s="403">
        <v>12.502000000000001</v>
      </c>
      <c r="D58" s="459">
        <v>11.031000000000001</v>
      </c>
      <c r="E58" s="403">
        <v>29.416</v>
      </c>
      <c r="F58" s="403">
        <v>3.9710000000000001</v>
      </c>
      <c r="G58" s="403">
        <v>14.855</v>
      </c>
      <c r="H58" s="403">
        <v>4.8540000000000001</v>
      </c>
    </row>
    <row r="59" spans="1:8" ht="14.1" customHeight="1" x14ac:dyDescent="0.25">
      <c r="A59" s="202" t="s">
        <v>63</v>
      </c>
      <c r="B59" s="403">
        <v>100.01900000000001</v>
      </c>
      <c r="C59" s="403">
        <v>15.64</v>
      </c>
      <c r="D59" s="459">
        <v>12.487</v>
      </c>
      <c r="E59" s="403">
        <v>42.505000000000003</v>
      </c>
      <c r="F59" s="403">
        <v>3.91</v>
      </c>
      <c r="G59" s="403">
        <v>14.757</v>
      </c>
      <c r="H59" s="403">
        <v>3.91</v>
      </c>
    </row>
    <row r="60" spans="1:8" ht="14.1" customHeight="1" x14ac:dyDescent="0.25">
      <c r="A60" s="202" t="s">
        <v>64</v>
      </c>
      <c r="B60" s="403">
        <v>74.856999999999999</v>
      </c>
      <c r="C60" s="403">
        <v>10.843999999999999</v>
      </c>
      <c r="D60" s="459">
        <v>9.2550000000000008</v>
      </c>
      <c r="E60" s="403">
        <v>12.818</v>
      </c>
      <c r="F60" s="403">
        <v>1.871</v>
      </c>
      <c r="G60" s="403">
        <v>6.64</v>
      </c>
      <c r="H60" s="403">
        <v>2.7170000000000001</v>
      </c>
    </row>
    <row r="61" spans="1:8" ht="14.1" customHeight="1" x14ac:dyDescent="0.25">
      <c r="A61" s="202" t="s">
        <v>65</v>
      </c>
      <c r="B61" s="403">
        <v>116.21</v>
      </c>
      <c r="C61" s="403">
        <v>13.827999999999999</v>
      </c>
      <c r="D61" s="459">
        <v>11.036</v>
      </c>
      <c r="E61" s="403">
        <v>69.540000000000006</v>
      </c>
      <c r="F61" s="403">
        <v>4.3879999999999999</v>
      </c>
      <c r="G61" s="403">
        <v>27.190999999999999</v>
      </c>
      <c r="H61" s="403">
        <v>6.3819999999999997</v>
      </c>
    </row>
    <row r="62" spans="1:8" ht="14.1" customHeight="1" x14ac:dyDescent="0.25">
      <c r="A62" s="202" t="s">
        <v>66</v>
      </c>
      <c r="B62" s="403">
        <v>128.37899999999999</v>
      </c>
      <c r="C62" s="403">
        <v>12.944000000000001</v>
      </c>
      <c r="D62" s="459">
        <v>11.224</v>
      </c>
      <c r="E62" s="403">
        <v>49.893000000000001</v>
      </c>
      <c r="F62" s="403">
        <v>3.113</v>
      </c>
      <c r="G62" s="403">
        <v>7.21</v>
      </c>
      <c r="H62" s="403">
        <v>2.867</v>
      </c>
    </row>
    <row r="63" spans="1:8" ht="14.1" customHeight="1" x14ac:dyDescent="0.25">
      <c r="A63" s="202" t="s">
        <v>67</v>
      </c>
      <c r="B63" s="403">
        <v>117.12</v>
      </c>
      <c r="C63" s="403">
        <v>12.476000000000001</v>
      </c>
      <c r="D63" s="459">
        <v>9.5969999999999995</v>
      </c>
      <c r="E63" s="403">
        <v>44.912999999999997</v>
      </c>
      <c r="F63" s="403">
        <v>4.5679999999999996</v>
      </c>
      <c r="G63" s="403">
        <v>24.338000000000001</v>
      </c>
      <c r="H63" s="403">
        <v>9.5579999999999998</v>
      </c>
    </row>
    <row r="64" spans="1:8" ht="14.1" customHeight="1" x14ac:dyDescent="0.25">
      <c r="A64" s="202" t="s">
        <v>68</v>
      </c>
      <c r="B64" s="403">
        <v>119.629</v>
      </c>
      <c r="C64" s="403">
        <v>13.73</v>
      </c>
      <c r="D64" s="459">
        <v>12.151999999999999</v>
      </c>
      <c r="E64" s="403">
        <v>35.036000000000001</v>
      </c>
      <c r="F64" s="403">
        <v>5.05</v>
      </c>
      <c r="G64" s="403">
        <v>26.198</v>
      </c>
      <c r="H64" s="403">
        <v>5.76</v>
      </c>
    </row>
    <row r="65" spans="1:8" ht="14.1" customHeight="1" x14ac:dyDescent="0.25">
      <c r="A65" s="202" t="s">
        <v>69</v>
      </c>
      <c r="B65" s="403">
        <v>89.534999999999997</v>
      </c>
      <c r="C65" s="403">
        <v>10.657999999999999</v>
      </c>
      <c r="D65" s="459">
        <v>8.0719999999999992</v>
      </c>
      <c r="E65" s="403">
        <v>42.197000000000003</v>
      </c>
      <c r="F65" s="403">
        <v>2.8980000000000001</v>
      </c>
      <c r="G65" s="403">
        <v>7.5110000000000001</v>
      </c>
      <c r="H65" s="403">
        <v>3.802</v>
      </c>
    </row>
    <row r="66" spans="1:8" ht="14.1" customHeight="1" x14ac:dyDescent="0.25">
      <c r="A66" s="202" t="s">
        <v>70</v>
      </c>
      <c r="B66" s="403">
        <v>99.29</v>
      </c>
      <c r="C66" s="403">
        <v>13.725</v>
      </c>
      <c r="D66" s="459">
        <v>10.97</v>
      </c>
      <c r="E66" s="403">
        <v>47.603999999999999</v>
      </c>
      <c r="F66" s="403">
        <v>3.6230000000000002</v>
      </c>
      <c r="G66" s="403">
        <v>23.981000000000002</v>
      </c>
      <c r="H66" s="403">
        <v>6.7350000000000003</v>
      </c>
    </row>
    <row r="67" spans="1:8" ht="14.1" customHeight="1" x14ac:dyDescent="0.25">
      <c r="A67" s="202" t="s">
        <v>71</v>
      </c>
      <c r="B67" s="403">
        <v>126.083</v>
      </c>
      <c r="C67" s="403">
        <v>15.093</v>
      </c>
      <c r="D67" s="459">
        <v>13.035</v>
      </c>
      <c r="E67" s="403">
        <v>23.25</v>
      </c>
      <c r="F67" s="403">
        <v>1.982</v>
      </c>
      <c r="G67" s="403">
        <v>16.161000000000001</v>
      </c>
      <c r="H67" s="403">
        <v>4.04</v>
      </c>
    </row>
    <row r="68" spans="1:8" ht="14.1" customHeight="1" x14ac:dyDescent="0.25">
      <c r="A68" s="202" t="s">
        <v>72</v>
      </c>
      <c r="B68" s="403">
        <v>135.983</v>
      </c>
      <c r="C68" s="403">
        <v>9.8390000000000004</v>
      </c>
      <c r="D68" s="459">
        <v>5.8780000000000001</v>
      </c>
      <c r="E68" s="403">
        <v>7.6070000000000002</v>
      </c>
      <c r="F68" s="403">
        <v>1.1000000000000001</v>
      </c>
      <c r="G68" s="403">
        <v>2.923</v>
      </c>
      <c r="H68" s="403">
        <v>2.6720000000000002</v>
      </c>
    </row>
    <row r="69" spans="1:8" ht="14.1" customHeight="1" x14ac:dyDescent="0.25">
      <c r="A69" s="203" t="s">
        <v>73</v>
      </c>
      <c r="B69" s="403">
        <v>106.196</v>
      </c>
      <c r="C69" s="403">
        <v>11.845000000000001</v>
      </c>
      <c r="D69" s="459">
        <v>10.817</v>
      </c>
      <c r="E69" s="403">
        <v>26.856999999999999</v>
      </c>
      <c r="F69" s="403">
        <v>3.5369999999999999</v>
      </c>
      <c r="G69" s="403">
        <v>12.298</v>
      </c>
      <c r="H69" s="403">
        <v>5.6760000000000002</v>
      </c>
    </row>
    <row r="70" spans="1:8" ht="14.1" customHeight="1" x14ac:dyDescent="0.25">
      <c r="A70" s="202" t="s">
        <v>74</v>
      </c>
      <c r="B70" s="403">
        <v>109.39</v>
      </c>
      <c r="C70" s="403">
        <v>13.532</v>
      </c>
      <c r="D70" s="459">
        <v>11.506</v>
      </c>
      <c r="E70" s="403">
        <v>15.151999999999999</v>
      </c>
      <c r="F70" s="403">
        <v>1.8640000000000001</v>
      </c>
      <c r="G70" s="403">
        <v>8.1029999999999998</v>
      </c>
      <c r="H70" s="403">
        <v>5.6719999999999997</v>
      </c>
    </row>
    <row r="71" spans="1:8" ht="14.1" customHeight="1" x14ac:dyDescent="0.25">
      <c r="A71" s="206" t="s">
        <v>75</v>
      </c>
      <c r="B71" s="402">
        <v>110.292</v>
      </c>
      <c r="C71" s="402">
        <v>11.04</v>
      </c>
      <c r="D71" s="459">
        <v>9.0969999999999995</v>
      </c>
      <c r="E71" s="402">
        <v>42.320999999999998</v>
      </c>
      <c r="F71" s="402">
        <v>2.1930000000000001</v>
      </c>
      <c r="G71" s="402">
        <v>13.273999999999999</v>
      </c>
      <c r="H71" s="402">
        <v>6.3209999999999997</v>
      </c>
    </row>
    <row r="72" spans="1:8" ht="14.1" customHeight="1" x14ac:dyDescent="0.25">
      <c r="A72" s="202" t="s">
        <v>76</v>
      </c>
      <c r="B72" s="403">
        <v>138.63900000000001</v>
      </c>
      <c r="C72" s="403">
        <v>20.338999999999999</v>
      </c>
      <c r="D72" s="459">
        <v>18.533000000000001</v>
      </c>
      <c r="E72" s="403">
        <v>56.081000000000003</v>
      </c>
      <c r="F72" s="403">
        <v>4.3319999999999999</v>
      </c>
      <c r="G72" s="403">
        <v>28.521999999999998</v>
      </c>
      <c r="H72" s="403">
        <v>9.7479999999999993</v>
      </c>
    </row>
    <row r="73" spans="1:8" ht="14.1" customHeight="1" x14ac:dyDescent="0.25">
      <c r="A73" s="202" t="s">
        <v>77</v>
      </c>
      <c r="B73" s="403">
        <v>120.88500000000001</v>
      </c>
      <c r="C73" s="403">
        <v>8.9719999999999995</v>
      </c>
      <c r="D73" s="459">
        <v>6.6539999999999999</v>
      </c>
      <c r="E73" s="403">
        <v>38.51</v>
      </c>
      <c r="F73" s="403">
        <v>1.716</v>
      </c>
      <c r="G73" s="403">
        <v>10.757999999999999</v>
      </c>
      <c r="H73" s="403">
        <v>6.306</v>
      </c>
    </row>
    <row r="74" spans="1:8" ht="14.1" customHeight="1" x14ac:dyDescent="0.25">
      <c r="A74" s="202" t="s">
        <v>78</v>
      </c>
      <c r="B74" s="403">
        <v>83.497</v>
      </c>
      <c r="C74" s="403">
        <v>10.32</v>
      </c>
      <c r="D74" s="459">
        <v>8.7159999999999993</v>
      </c>
      <c r="E74" s="403">
        <v>20.988</v>
      </c>
      <c r="F74" s="403">
        <v>2.4329999999999998</v>
      </c>
      <c r="G74" s="403">
        <v>10.801</v>
      </c>
      <c r="H74" s="403">
        <v>5.1870000000000003</v>
      </c>
    </row>
    <row r="75" spans="1:8" ht="14.1" customHeight="1" x14ac:dyDescent="0.25">
      <c r="A75" s="202" t="s">
        <v>79</v>
      </c>
      <c r="B75" s="403">
        <v>72.787999999999997</v>
      </c>
      <c r="C75" s="403">
        <v>10.664</v>
      </c>
      <c r="D75" s="459">
        <v>9.2859999999999996</v>
      </c>
      <c r="E75" s="403">
        <v>25.521000000000001</v>
      </c>
      <c r="F75" s="403">
        <v>1.917</v>
      </c>
      <c r="G75" s="403">
        <v>6.41</v>
      </c>
      <c r="H75" s="403">
        <v>3.355</v>
      </c>
    </row>
    <row r="76" spans="1:8" ht="14.1" customHeight="1" x14ac:dyDescent="0.25">
      <c r="A76" s="202" t="s">
        <v>80</v>
      </c>
      <c r="B76" s="403">
        <v>80.852999999999994</v>
      </c>
      <c r="C76" s="403">
        <v>6.4459999999999997</v>
      </c>
      <c r="D76" s="459">
        <v>5.157</v>
      </c>
      <c r="E76" s="403">
        <v>19.338000000000001</v>
      </c>
      <c r="F76" s="403">
        <v>6.0780000000000003</v>
      </c>
      <c r="G76" s="403">
        <v>12.156000000000001</v>
      </c>
      <c r="H76" s="403">
        <v>8.1039999999999992</v>
      </c>
    </row>
    <row r="77" spans="1:8" ht="14.1" customHeight="1" x14ac:dyDescent="0.25">
      <c r="A77" s="205" t="s">
        <v>288</v>
      </c>
      <c r="B77" s="403">
        <v>96.135000000000005</v>
      </c>
      <c r="C77" s="403">
        <v>11.321999999999999</v>
      </c>
      <c r="D77" s="459">
        <v>9.3580000000000005</v>
      </c>
      <c r="E77" s="403">
        <v>16.622</v>
      </c>
      <c r="F77" s="403">
        <v>1.702</v>
      </c>
      <c r="G77" s="403">
        <v>15.117000000000001</v>
      </c>
      <c r="H77" s="403">
        <v>6.1520000000000001</v>
      </c>
    </row>
    <row r="78" spans="1:8" ht="14.1" customHeight="1" x14ac:dyDescent="0.25">
      <c r="A78" s="202" t="s">
        <v>81</v>
      </c>
      <c r="B78" s="403">
        <v>119.214</v>
      </c>
      <c r="C78" s="403">
        <v>12.157999999999999</v>
      </c>
      <c r="D78" s="459">
        <v>10.285</v>
      </c>
      <c r="E78" s="403">
        <v>66.751999999999995</v>
      </c>
      <c r="F78" s="403">
        <v>2.0169999999999999</v>
      </c>
      <c r="G78" s="403">
        <v>15.413</v>
      </c>
      <c r="H78" s="403">
        <v>6.7409999999999997</v>
      </c>
    </row>
    <row r="79" spans="1:8" s="136" customFormat="1" ht="14.1" customHeight="1" x14ac:dyDescent="0.25">
      <c r="A79" s="201" t="s">
        <v>82</v>
      </c>
      <c r="B79" s="402">
        <v>117.57899999999999</v>
      </c>
      <c r="C79" s="402">
        <v>12.837</v>
      </c>
      <c r="D79" s="460">
        <v>9.3729999999999993</v>
      </c>
      <c r="E79" s="402">
        <v>34.090000000000003</v>
      </c>
      <c r="F79" s="402">
        <v>3.7970000000000002</v>
      </c>
      <c r="G79" s="402">
        <v>19.27</v>
      </c>
      <c r="H79" s="402">
        <v>7.78</v>
      </c>
    </row>
    <row r="80" spans="1:8" ht="14.1" customHeight="1" x14ac:dyDescent="0.25">
      <c r="A80" s="202" t="s">
        <v>83</v>
      </c>
      <c r="B80" s="403">
        <v>141.19999999999999</v>
      </c>
      <c r="C80" s="403">
        <v>19.100000000000001</v>
      </c>
      <c r="D80" s="403">
        <v>15.5</v>
      </c>
      <c r="E80" s="403">
        <v>45.1</v>
      </c>
      <c r="F80" s="403">
        <v>8.6999999999999993</v>
      </c>
      <c r="G80" s="403">
        <v>35.1</v>
      </c>
      <c r="H80" s="403">
        <v>12.3</v>
      </c>
    </row>
    <row r="81" spans="1:8" ht="14.1" customHeight="1" x14ac:dyDescent="0.25">
      <c r="A81" s="202" t="s">
        <v>85</v>
      </c>
      <c r="B81" s="403">
        <v>209.3</v>
      </c>
      <c r="C81" s="403">
        <v>37.700000000000003</v>
      </c>
      <c r="D81" s="403">
        <v>24.9</v>
      </c>
      <c r="E81" s="403">
        <v>27</v>
      </c>
      <c r="F81" s="403">
        <v>6.4</v>
      </c>
      <c r="G81" s="403">
        <v>26.7</v>
      </c>
      <c r="H81" s="403">
        <v>36.5</v>
      </c>
    </row>
    <row r="82" spans="1:8" ht="14.1" customHeight="1" x14ac:dyDescent="0.25">
      <c r="A82" s="202" t="s">
        <v>86</v>
      </c>
      <c r="B82" s="403">
        <v>115.5</v>
      </c>
      <c r="C82" s="403">
        <v>10.7</v>
      </c>
      <c r="D82" s="403">
        <v>8.8000000000000007</v>
      </c>
      <c r="E82" s="403">
        <v>30.8</v>
      </c>
      <c r="F82" s="403">
        <v>5</v>
      </c>
      <c r="G82" s="403">
        <v>30.8</v>
      </c>
      <c r="H82" s="403">
        <v>6.2</v>
      </c>
    </row>
    <row r="83" spans="1:8" ht="14.1" customHeight="1" x14ac:dyDescent="0.25">
      <c r="A83" s="202" t="s">
        <v>87</v>
      </c>
      <c r="B83" s="403">
        <v>103.2</v>
      </c>
      <c r="C83" s="403">
        <v>11.9</v>
      </c>
      <c r="D83" s="403">
        <v>9.6999999999999993</v>
      </c>
      <c r="E83" s="403">
        <v>13.5</v>
      </c>
      <c r="F83" s="403">
        <v>3.4</v>
      </c>
      <c r="G83" s="403">
        <v>25.2</v>
      </c>
      <c r="H83" s="403">
        <v>7.7</v>
      </c>
    </row>
    <row r="84" spans="1:8" ht="14.1" customHeight="1" x14ac:dyDescent="0.25">
      <c r="A84" s="202" t="s">
        <v>89</v>
      </c>
      <c r="B84" s="403">
        <v>123.3</v>
      </c>
      <c r="C84" s="403">
        <v>14.4</v>
      </c>
      <c r="D84" s="403">
        <v>10.9</v>
      </c>
      <c r="E84" s="403">
        <v>25</v>
      </c>
      <c r="F84" s="403">
        <v>2.8</v>
      </c>
      <c r="G84" s="403">
        <v>13.4</v>
      </c>
      <c r="H84" s="403">
        <v>7.7</v>
      </c>
    </row>
    <row r="85" spans="1:8" ht="14.1" customHeight="1" x14ac:dyDescent="0.25">
      <c r="A85" s="202" t="s">
        <v>90</v>
      </c>
      <c r="B85" s="403">
        <v>138.80000000000001</v>
      </c>
      <c r="C85" s="403">
        <v>16.7</v>
      </c>
      <c r="D85" s="403">
        <v>11.7</v>
      </c>
      <c r="E85" s="403">
        <v>42.5</v>
      </c>
      <c r="F85" s="403">
        <v>4.3</v>
      </c>
      <c r="G85" s="403">
        <v>17.7</v>
      </c>
      <c r="H85" s="403">
        <v>8.5</v>
      </c>
    </row>
    <row r="86" spans="1:8" ht="14.1" customHeight="1" x14ac:dyDescent="0.25">
      <c r="A86" s="202" t="s">
        <v>91</v>
      </c>
      <c r="B86" s="403">
        <v>127.4</v>
      </c>
      <c r="C86" s="403">
        <v>11.3</v>
      </c>
      <c r="D86" s="403">
        <v>9</v>
      </c>
      <c r="E86" s="403">
        <v>53.4</v>
      </c>
      <c r="F86" s="403">
        <v>4.0999999999999996</v>
      </c>
      <c r="G86" s="403">
        <v>22.7</v>
      </c>
      <c r="H86" s="403">
        <v>9</v>
      </c>
    </row>
    <row r="87" spans="1:8" ht="14.1" customHeight="1" x14ac:dyDescent="0.25">
      <c r="A87" s="202" t="s">
        <v>92</v>
      </c>
      <c r="B87" s="403">
        <v>96.9</v>
      </c>
      <c r="C87" s="403">
        <v>10.5</v>
      </c>
      <c r="D87" s="403">
        <v>5.9</v>
      </c>
      <c r="E87" s="403">
        <v>18.7</v>
      </c>
      <c r="F87" s="403">
        <v>4.4000000000000004</v>
      </c>
      <c r="G87" s="403">
        <v>17.600000000000001</v>
      </c>
      <c r="H87" s="403">
        <v>6.5</v>
      </c>
    </row>
    <row r="88" spans="1:8" ht="14.1" customHeight="1" x14ac:dyDescent="0.25">
      <c r="A88" s="202" t="s">
        <v>370</v>
      </c>
      <c r="B88" s="403">
        <v>98.9</v>
      </c>
      <c r="C88" s="403">
        <v>9.6</v>
      </c>
      <c r="D88" s="403">
        <v>7.5</v>
      </c>
      <c r="E88" s="403">
        <v>57.8</v>
      </c>
      <c r="F88" s="403">
        <v>2.5</v>
      </c>
      <c r="G88" s="403">
        <v>18.7</v>
      </c>
      <c r="H88" s="403">
        <v>5.2</v>
      </c>
    </row>
    <row r="89" spans="1:8" ht="14.1" customHeight="1" x14ac:dyDescent="0.25">
      <c r="A89" s="202" t="s">
        <v>94</v>
      </c>
      <c r="B89" s="403">
        <v>117.4</v>
      </c>
      <c r="C89" s="403">
        <v>10.1</v>
      </c>
      <c r="D89" s="403">
        <v>7</v>
      </c>
      <c r="E89" s="403">
        <v>35.1</v>
      </c>
      <c r="F89" s="403">
        <v>4</v>
      </c>
      <c r="G89" s="403">
        <v>11.2</v>
      </c>
      <c r="H89" s="403">
        <v>2.7</v>
      </c>
    </row>
    <row r="90" spans="1:8" s="136" customFormat="1" ht="14.1" customHeight="1" x14ac:dyDescent="0.25">
      <c r="A90" s="201" t="s">
        <v>344</v>
      </c>
      <c r="B90" s="402">
        <v>139.5</v>
      </c>
      <c r="C90" s="402">
        <v>15.3</v>
      </c>
      <c r="D90" s="402">
        <v>12</v>
      </c>
      <c r="E90" s="402">
        <v>39.799999999999997</v>
      </c>
      <c r="F90" s="402">
        <v>5</v>
      </c>
      <c r="G90" s="402">
        <v>18.8</v>
      </c>
      <c r="H90" s="402">
        <v>11.2</v>
      </c>
    </row>
    <row r="91" spans="1:8" ht="14.1" customHeight="1" x14ac:dyDescent="0.25">
      <c r="A91" s="202" t="s">
        <v>84</v>
      </c>
      <c r="B91" s="403">
        <v>146.80000000000001</v>
      </c>
      <c r="C91" s="403">
        <v>16.100000000000001</v>
      </c>
      <c r="D91" s="403">
        <v>12.1</v>
      </c>
      <c r="E91" s="403">
        <v>48.6</v>
      </c>
      <c r="F91" s="403">
        <v>6.8</v>
      </c>
      <c r="G91" s="403">
        <v>36.4</v>
      </c>
      <c r="H91" s="403">
        <v>14.2</v>
      </c>
    </row>
    <row r="92" spans="1:8" s="472" customFormat="1" ht="14.1" customHeight="1" x14ac:dyDescent="0.25">
      <c r="A92" s="202" t="s">
        <v>96</v>
      </c>
      <c r="B92" s="403">
        <v>109.4</v>
      </c>
      <c r="C92" s="403">
        <v>8.6999999999999993</v>
      </c>
      <c r="D92" s="403">
        <v>5.4</v>
      </c>
      <c r="E92" s="403">
        <v>42.1</v>
      </c>
      <c r="F92" s="403">
        <v>10.3</v>
      </c>
      <c r="G92" s="403">
        <v>22.9</v>
      </c>
      <c r="H92" s="403">
        <v>13.4</v>
      </c>
    </row>
    <row r="93" spans="1:8" ht="14.1" customHeight="1" x14ac:dyDescent="0.25">
      <c r="A93" s="202" t="s">
        <v>88</v>
      </c>
      <c r="B93" s="403">
        <v>174.7</v>
      </c>
      <c r="C93" s="403">
        <v>22.3</v>
      </c>
      <c r="D93" s="403">
        <v>18.3</v>
      </c>
      <c r="E93" s="403">
        <v>65.8</v>
      </c>
      <c r="F93" s="403">
        <v>4.9000000000000004</v>
      </c>
      <c r="G93" s="403">
        <v>29</v>
      </c>
      <c r="H93" s="403">
        <v>14.9</v>
      </c>
    </row>
    <row r="94" spans="1:8" ht="14.1" customHeight="1" x14ac:dyDescent="0.25">
      <c r="A94" s="202" t="s">
        <v>97</v>
      </c>
      <c r="B94" s="403">
        <v>101.6</v>
      </c>
      <c r="C94" s="403">
        <v>16.600000000000001</v>
      </c>
      <c r="D94" s="403">
        <v>15</v>
      </c>
      <c r="E94" s="403">
        <v>53.2</v>
      </c>
      <c r="F94" s="403">
        <v>2.2000000000000002</v>
      </c>
      <c r="G94" s="403">
        <v>5.4</v>
      </c>
      <c r="H94" s="403">
        <v>5.7</v>
      </c>
    </row>
    <row r="95" spans="1:8" ht="14.1" customHeight="1" x14ac:dyDescent="0.25">
      <c r="A95" s="202" t="s">
        <v>98</v>
      </c>
      <c r="B95" s="403">
        <v>110</v>
      </c>
      <c r="C95" s="403">
        <v>16.3</v>
      </c>
      <c r="D95" s="403">
        <v>13.8</v>
      </c>
      <c r="E95" s="403">
        <v>17.2</v>
      </c>
      <c r="F95" s="403">
        <v>2.9</v>
      </c>
      <c r="G95" s="403">
        <v>15.7</v>
      </c>
      <c r="H95" s="403">
        <v>10.8</v>
      </c>
    </row>
    <row r="96" spans="1:8" ht="14.1" customHeight="1" x14ac:dyDescent="0.25">
      <c r="A96" s="202" t="s">
        <v>99</v>
      </c>
      <c r="B96" s="403">
        <v>139.5</v>
      </c>
      <c r="C96" s="403">
        <v>12.3</v>
      </c>
      <c r="D96" s="403">
        <v>9.6</v>
      </c>
      <c r="E96" s="403">
        <v>20.9</v>
      </c>
      <c r="F96" s="403">
        <v>3.9</v>
      </c>
      <c r="G96" s="403">
        <v>0.5</v>
      </c>
      <c r="H96" s="403">
        <v>2.7</v>
      </c>
    </row>
    <row r="97" spans="1:8" ht="14.1" customHeight="1" x14ac:dyDescent="0.25">
      <c r="A97" s="202" t="s">
        <v>100</v>
      </c>
      <c r="B97" s="403">
        <v>179.5</v>
      </c>
      <c r="C97" s="403">
        <v>19.5</v>
      </c>
      <c r="D97" s="403">
        <v>15.3</v>
      </c>
      <c r="E97" s="403">
        <v>57.7</v>
      </c>
      <c r="F97" s="403">
        <v>4.8</v>
      </c>
      <c r="G97" s="403">
        <v>30.2</v>
      </c>
      <c r="H97" s="403">
        <v>17.8</v>
      </c>
    </row>
    <row r="98" spans="1:8" ht="14.1" customHeight="1" x14ac:dyDescent="0.25">
      <c r="A98" s="202" t="s">
        <v>101</v>
      </c>
      <c r="B98" s="403">
        <v>172</v>
      </c>
      <c r="C98" s="403">
        <v>24.9</v>
      </c>
      <c r="D98" s="403">
        <v>22</v>
      </c>
      <c r="E98" s="403">
        <v>86</v>
      </c>
      <c r="F98" s="403">
        <v>3.6</v>
      </c>
      <c r="G98" s="403">
        <v>16.3</v>
      </c>
      <c r="H98" s="403">
        <v>15.6</v>
      </c>
    </row>
    <row r="99" spans="1:8" ht="14.1" customHeight="1" x14ac:dyDescent="0.25">
      <c r="A99" s="202" t="s">
        <v>102</v>
      </c>
      <c r="B99" s="403">
        <v>161.4</v>
      </c>
      <c r="C99" s="403">
        <v>4.9000000000000004</v>
      </c>
      <c r="D99" s="403">
        <v>0.8</v>
      </c>
      <c r="E99" s="403">
        <v>47.2</v>
      </c>
      <c r="F99" s="403">
        <v>1</v>
      </c>
      <c r="G99" s="403">
        <v>0.4</v>
      </c>
      <c r="H99" s="403">
        <v>5.9</v>
      </c>
    </row>
    <row r="100" spans="1:8" ht="14.1" customHeight="1" x14ac:dyDescent="0.25">
      <c r="A100" s="202" t="s">
        <v>103</v>
      </c>
      <c r="B100" s="403">
        <v>159</v>
      </c>
      <c r="C100" s="403">
        <v>20.7</v>
      </c>
      <c r="D100" s="403">
        <v>14.5</v>
      </c>
      <c r="E100" s="403">
        <v>32.700000000000003</v>
      </c>
      <c r="F100" s="403">
        <v>13.8</v>
      </c>
      <c r="G100" s="403">
        <v>32.700000000000003</v>
      </c>
      <c r="H100" s="403">
        <v>17</v>
      </c>
    </row>
    <row r="101" spans="1:8" ht="14.1" customHeight="1" x14ac:dyDescent="0.25">
      <c r="A101" s="202" t="s">
        <v>104</v>
      </c>
      <c r="B101" s="403">
        <v>186.1</v>
      </c>
      <c r="C101" s="403">
        <v>4</v>
      </c>
      <c r="D101" s="403">
        <v>0</v>
      </c>
      <c r="E101" s="403">
        <v>76</v>
      </c>
      <c r="F101" s="403">
        <v>14</v>
      </c>
      <c r="G101" s="403">
        <v>18</v>
      </c>
      <c r="H101" s="403">
        <v>30</v>
      </c>
    </row>
    <row r="102" spans="1:8" x14ac:dyDescent="0.25">
      <c r="A102" s="30"/>
      <c r="B102" s="30"/>
      <c r="C102" s="75"/>
      <c r="D102" s="75"/>
      <c r="E102" s="75"/>
      <c r="F102" s="75"/>
      <c r="G102" s="75"/>
    </row>
    <row r="103" spans="1:8" x14ac:dyDescent="0.25">
      <c r="A103" s="74"/>
      <c r="B103" s="74"/>
      <c r="C103" s="74"/>
      <c r="D103" s="74"/>
      <c r="E103" s="74"/>
      <c r="F103" s="74"/>
    </row>
  </sheetData>
  <mergeCells count="6">
    <mergeCell ref="A4:A5"/>
    <mergeCell ref="B4:B5"/>
    <mergeCell ref="C4:H4"/>
    <mergeCell ref="A1:H1"/>
    <mergeCell ref="A2:H2"/>
    <mergeCell ref="A3:H3"/>
  </mergeCells>
  <printOptions horizontalCentered="1"/>
  <pageMargins left="0.19685039370078741" right="0.19685039370078741" top="0.31496062992125984" bottom="0.19685039370078741" header="0.11811023622047245" footer="0.11811023622047245"/>
  <pageSetup paperSize="9" firstPageNumber="31" orientation="landscape" useFirstPageNumber="1" r:id="rId1"/>
  <headerFooter>
    <oddHeader>&amp;C&amp;"Arial,обычный"&amp;10&amp;P</oddHeader>
  </headerFooter>
  <rowBreaks count="2" manualBreakCount="2">
    <brk id="38" max="16383" man="1"/>
    <brk id="70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R136"/>
  <sheetViews>
    <sheetView zoomScaleNormal="100" zoomScaleSheetLayoutView="100" workbookViewId="0">
      <selection sqref="A1:I1"/>
    </sheetView>
  </sheetViews>
  <sheetFormatPr defaultColWidth="10.28515625" defaultRowHeight="14.25" x14ac:dyDescent="0.2"/>
  <cols>
    <col min="1" max="1" width="25.42578125" style="5" customWidth="1"/>
    <col min="2" max="2" width="14.85546875" style="5" customWidth="1"/>
    <col min="3" max="9" width="14.5703125" style="5" customWidth="1"/>
    <col min="10" max="10" width="7.42578125" style="9" customWidth="1"/>
    <col min="11" max="16384" width="10.28515625" style="9"/>
  </cols>
  <sheetData>
    <row r="1" spans="1:18" s="8" customFormat="1" ht="15" x14ac:dyDescent="0.25">
      <c r="A1" s="525" t="s">
        <v>352</v>
      </c>
      <c r="B1" s="525"/>
      <c r="C1" s="483"/>
      <c r="D1" s="483"/>
      <c r="E1" s="483"/>
      <c r="F1" s="483"/>
      <c r="G1" s="483"/>
      <c r="H1" s="483"/>
      <c r="I1" s="483"/>
    </row>
    <row r="2" spans="1:18" x14ac:dyDescent="0.2">
      <c r="A2" s="61"/>
      <c r="B2" s="61"/>
      <c r="C2" s="61"/>
      <c r="D2" s="61"/>
      <c r="E2" s="61"/>
      <c r="F2" s="61"/>
      <c r="G2" s="61"/>
      <c r="H2" s="404"/>
      <c r="I2" s="404"/>
    </row>
    <row r="3" spans="1:18" x14ac:dyDescent="0.2">
      <c r="A3" s="541" t="s">
        <v>153</v>
      </c>
      <c r="B3" s="545" t="s">
        <v>323</v>
      </c>
      <c r="C3" s="542" t="s">
        <v>324</v>
      </c>
      <c r="D3" s="543"/>
      <c r="E3" s="543"/>
      <c r="F3" s="543"/>
      <c r="G3" s="543"/>
      <c r="H3" s="543"/>
      <c r="I3" s="544"/>
    </row>
    <row r="4" spans="1:18" ht="51" x14ac:dyDescent="0.2">
      <c r="A4" s="541"/>
      <c r="B4" s="546"/>
      <c r="C4" s="235" t="s">
        <v>143</v>
      </c>
      <c r="D4" s="236" t="s">
        <v>144</v>
      </c>
      <c r="E4" s="236" t="s">
        <v>145</v>
      </c>
      <c r="F4" s="236" t="s">
        <v>146</v>
      </c>
      <c r="G4" s="236" t="s">
        <v>147</v>
      </c>
      <c r="H4" s="236" t="s">
        <v>148</v>
      </c>
      <c r="I4" s="236" t="s">
        <v>149</v>
      </c>
    </row>
    <row r="5" spans="1:18" s="8" customFormat="1" ht="15" x14ac:dyDescent="0.25">
      <c r="A5" s="240" t="s">
        <v>154</v>
      </c>
      <c r="B5" s="466">
        <v>7328</v>
      </c>
      <c r="C5" s="72">
        <v>287</v>
      </c>
      <c r="D5" s="72">
        <v>0</v>
      </c>
      <c r="E5" s="72">
        <v>61</v>
      </c>
      <c r="F5" s="72">
        <v>100</v>
      </c>
      <c r="G5" s="72">
        <v>344</v>
      </c>
      <c r="H5" s="72">
        <v>41</v>
      </c>
      <c r="I5" s="72">
        <v>413</v>
      </c>
      <c r="J5" s="76"/>
      <c r="K5"/>
      <c r="L5"/>
      <c r="M5"/>
      <c r="N5"/>
      <c r="O5"/>
      <c r="P5"/>
      <c r="Q5"/>
      <c r="R5"/>
    </row>
    <row r="6" spans="1:18" s="8" customFormat="1" ht="15" x14ac:dyDescent="0.25">
      <c r="A6" s="241" t="s">
        <v>155</v>
      </c>
      <c r="B6" s="360">
        <v>4039</v>
      </c>
      <c r="C6" s="72">
        <v>17</v>
      </c>
      <c r="D6" s="72">
        <v>0</v>
      </c>
      <c r="E6" s="72">
        <v>7</v>
      </c>
      <c r="F6" s="72">
        <v>7</v>
      </c>
      <c r="G6" s="72">
        <v>22</v>
      </c>
      <c r="H6" s="72">
        <v>1</v>
      </c>
      <c r="I6" s="72">
        <v>59</v>
      </c>
      <c r="J6" s="76"/>
      <c r="K6"/>
      <c r="L6"/>
      <c r="M6"/>
      <c r="N6"/>
      <c r="O6"/>
      <c r="P6"/>
      <c r="Q6"/>
      <c r="R6"/>
    </row>
    <row r="7" spans="1:18" ht="15" x14ac:dyDescent="0.25">
      <c r="A7" s="244">
        <v>1</v>
      </c>
      <c r="B7" s="360">
        <v>759</v>
      </c>
      <c r="C7" s="72">
        <v>76</v>
      </c>
      <c r="D7" s="72">
        <v>2</v>
      </c>
      <c r="E7" s="72">
        <v>59</v>
      </c>
      <c r="F7" s="72">
        <v>22</v>
      </c>
      <c r="G7" s="72">
        <v>83</v>
      </c>
      <c r="H7" s="72">
        <v>10</v>
      </c>
      <c r="I7" s="72">
        <v>206</v>
      </c>
      <c r="J7" s="76"/>
      <c r="K7"/>
      <c r="L7"/>
      <c r="M7"/>
      <c r="N7"/>
      <c r="O7"/>
      <c r="P7"/>
      <c r="Q7"/>
      <c r="R7"/>
    </row>
    <row r="8" spans="1:18" ht="15" x14ac:dyDescent="0.25">
      <c r="A8" s="244">
        <v>2</v>
      </c>
      <c r="B8" s="360">
        <v>484</v>
      </c>
      <c r="C8" s="72">
        <v>43</v>
      </c>
      <c r="D8" s="72">
        <v>1</v>
      </c>
      <c r="E8" s="72">
        <v>62</v>
      </c>
      <c r="F8" s="72">
        <v>14</v>
      </c>
      <c r="G8" s="72">
        <v>30</v>
      </c>
      <c r="H8" s="72">
        <v>4</v>
      </c>
      <c r="I8" s="72">
        <v>169</v>
      </c>
      <c r="J8" s="76"/>
      <c r="K8"/>
      <c r="L8"/>
      <c r="M8"/>
      <c r="N8"/>
      <c r="O8"/>
      <c r="P8"/>
      <c r="Q8"/>
      <c r="R8"/>
    </row>
    <row r="9" spans="1:18" ht="15" x14ac:dyDescent="0.25">
      <c r="A9" s="244">
        <v>3</v>
      </c>
      <c r="B9" s="360">
        <v>434</v>
      </c>
      <c r="C9" s="72">
        <v>19</v>
      </c>
      <c r="D9" s="72">
        <v>0</v>
      </c>
      <c r="E9" s="72">
        <v>81</v>
      </c>
      <c r="F9" s="72">
        <v>6</v>
      </c>
      <c r="G9" s="72">
        <v>26</v>
      </c>
      <c r="H9" s="72">
        <v>1</v>
      </c>
      <c r="I9" s="72">
        <v>164</v>
      </c>
      <c r="J9" s="76"/>
      <c r="K9"/>
      <c r="L9"/>
      <c r="M9"/>
      <c r="N9"/>
      <c r="O9"/>
      <c r="P9"/>
      <c r="Q9"/>
      <c r="R9"/>
    </row>
    <row r="10" spans="1:18" ht="15" x14ac:dyDescent="0.25">
      <c r="A10" s="244">
        <v>4</v>
      </c>
      <c r="B10" s="360">
        <v>378</v>
      </c>
      <c r="C10" s="72">
        <v>23</v>
      </c>
      <c r="D10" s="72">
        <v>0</v>
      </c>
      <c r="E10" s="72">
        <v>54</v>
      </c>
      <c r="F10" s="72">
        <v>8</v>
      </c>
      <c r="G10" s="72">
        <v>21</v>
      </c>
      <c r="H10" s="72">
        <v>2</v>
      </c>
      <c r="I10" s="72">
        <v>148</v>
      </c>
      <c r="J10" s="76"/>
      <c r="K10"/>
      <c r="L10"/>
      <c r="M10"/>
      <c r="N10"/>
      <c r="O10"/>
      <c r="P10"/>
      <c r="Q10"/>
      <c r="R10"/>
    </row>
    <row r="11" spans="1:18" ht="15" x14ac:dyDescent="0.25">
      <c r="A11" s="242" t="s">
        <v>156</v>
      </c>
      <c r="B11" s="360">
        <v>2055</v>
      </c>
      <c r="C11" s="72">
        <v>161</v>
      </c>
      <c r="D11" s="72">
        <v>3</v>
      </c>
      <c r="E11" s="72">
        <v>256</v>
      </c>
      <c r="F11" s="72">
        <v>50</v>
      </c>
      <c r="G11" s="72">
        <v>160</v>
      </c>
      <c r="H11" s="72">
        <v>17</v>
      </c>
      <c r="I11" s="72">
        <v>687</v>
      </c>
      <c r="J11" s="76"/>
      <c r="K11"/>
      <c r="L11"/>
      <c r="M11"/>
      <c r="N11"/>
      <c r="O11"/>
      <c r="P11"/>
      <c r="Q11"/>
      <c r="R11"/>
    </row>
    <row r="12" spans="1:18" ht="15" x14ac:dyDescent="0.25">
      <c r="A12" s="242" t="s">
        <v>157</v>
      </c>
      <c r="B12" s="360">
        <v>1497</v>
      </c>
      <c r="C12" s="72">
        <v>40</v>
      </c>
      <c r="D12" s="72">
        <v>2</v>
      </c>
      <c r="E12" s="72">
        <v>242</v>
      </c>
      <c r="F12" s="72">
        <v>45</v>
      </c>
      <c r="G12" s="72">
        <v>64</v>
      </c>
      <c r="H12" s="72">
        <v>18</v>
      </c>
      <c r="I12" s="72">
        <v>627</v>
      </c>
      <c r="J12" s="76"/>
      <c r="K12"/>
      <c r="L12"/>
      <c r="M12"/>
      <c r="N12"/>
      <c r="O12"/>
      <c r="P12"/>
      <c r="Q12"/>
      <c r="R12"/>
    </row>
    <row r="13" spans="1:18" ht="15" x14ac:dyDescent="0.25">
      <c r="A13" s="242" t="s">
        <v>158</v>
      </c>
      <c r="B13" s="360">
        <v>1737</v>
      </c>
      <c r="C13" s="72">
        <v>20</v>
      </c>
      <c r="D13" s="72">
        <v>1</v>
      </c>
      <c r="E13" s="72">
        <v>188</v>
      </c>
      <c r="F13" s="72">
        <v>87</v>
      </c>
      <c r="G13" s="72">
        <v>73</v>
      </c>
      <c r="H13" s="72">
        <v>23</v>
      </c>
      <c r="I13" s="72">
        <v>860</v>
      </c>
      <c r="J13" s="76"/>
      <c r="K13"/>
      <c r="L13"/>
      <c r="M13"/>
      <c r="N13"/>
      <c r="O13"/>
      <c r="P13"/>
      <c r="Q13"/>
      <c r="R13"/>
    </row>
    <row r="14" spans="1:18" ht="15" x14ac:dyDescent="0.25">
      <c r="A14" s="241" t="s">
        <v>159</v>
      </c>
      <c r="B14" s="360">
        <v>4017</v>
      </c>
      <c r="C14" s="72">
        <v>40</v>
      </c>
      <c r="D14" s="72">
        <v>5</v>
      </c>
      <c r="E14" s="72">
        <v>251</v>
      </c>
      <c r="F14" s="72">
        <v>242</v>
      </c>
      <c r="G14" s="72">
        <v>74</v>
      </c>
      <c r="H14" s="72">
        <v>48</v>
      </c>
      <c r="I14" s="72">
        <v>2702</v>
      </c>
      <c r="J14" s="76"/>
      <c r="K14"/>
      <c r="L14"/>
      <c r="M14"/>
      <c r="N14"/>
      <c r="O14"/>
      <c r="P14"/>
      <c r="Q14"/>
      <c r="R14"/>
    </row>
    <row r="15" spans="1:18" ht="15" x14ac:dyDescent="0.25">
      <c r="A15" s="241" t="s">
        <v>160</v>
      </c>
      <c r="B15" s="360">
        <v>6587</v>
      </c>
      <c r="C15" s="72">
        <v>215</v>
      </c>
      <c r="D15" s="72">
        <v>46</v>
      </c>
      <c r="E15" s="72">
        <v>348</v>
      </c>
      <c r="F15" s="72">
        <v>555</v>
      </c>
      <c r="G15" s="72">
        <v>115</v>
      </c>
      <c r="H15" s="72">
        <v>114</v>
      </c>
      <c r="I15" s="72">
        <v>4429</v>
      </c>
      <c r="J15" s="76"/>
      <c r="K15"/>
      <c r="L15"/>
      <c r="M15"/>
      <c r="N15"/>
      <c r="O15"/>
      <c r="P15"/>
      <c r="Q15"/>
      <c r="R15"/>
    </row>
    <row r="16" spans="1:18" ht="15" x14ac:dyDescent="0.25">
      <c r="A16" s="241" t="s">
        <v>161</v>
      </c>
      <c r="B16" s="360">
        <v>13389</v>
      </c>
      <c r="C16" s="72">
        <v>1423</v>
      </c>
      <c r="D16" s="72">
        <v>216</v>
      </c>
      <c r="E16" s="72">
        <v>768</v>
      </c>
      <c r="F16" s="72">
        <v>1533</v>
      </c>
      <c r="G16" s="72">
        <v>305</v>
      </c>
      <c r="H16" s="72">
        <v>699</v>
      </c>
      <c r="I16" s="72">
        <v>7203</v>
      </c>
      <c r="J16" s="76"/>
      <c r="K16"/>
      <c r="L16"/>
      <c r="M16"/>
      <c r="N16"/>
      <c r="O16"/>
      <c r="P16"/>
      <c r="Q16"/>
      <c r="R16"/>
    </row>
    <row r="17" spans="1:18" ht="15" x14ac:dyDescent="0.25">
      <c r="A17" s="241" t="s">
        <v>162</v>
      </c>
      <c r="B17" s="360">
        <v>30141</v>
      </c>
      <c r="C17" s="72">
        <v>4374</v>
      </c>
      <c r="D17" s="72">
        <v>614</v>
      </c>
      <c r="E17" s="72">
        <v>2018</v>
      </c>
      <c r="F17" s="72">
        <v>4753</v>
      </c>
      <c r="G17" s="72">
        <v>902</v>
      </c>
      <c r="H17" s="72">
        <v>2619</v>
      </c>
      <c r="I17" s="72">
        <v>12275</v>
      </c>
      <c r="J17" s="76"/>
      <c r="K17"/>
      <c r="L17"/>
      <c r="M17"/>
      <c r="N17"/>
      <c r="O17"/>
      <c r="P17"/>
      <c r="Q17"/>
      <c r="R17"/>
    </row>
    <row r="18" spans="1:18" ht="15" x14ac:dyDescent="0.25">
      <c r="A18" s="241" t="s">
        <v>163</v>
      </c>
      <c r="B18" s="360">
        <v>44562</v>
      </c>
      <c r="C18" s="72">
        <v>7035</v>
      </c>
      <c r="D18" s="72">
        <v>855</v>
      </c>
      <c r="E18" s="72">
        <v>3693</v>
      </c>
      <c r="F18" s="72">
        <v>8679</v>
      </c>
      <c r="G18" s="72">
        <v>1538</v>
      </c>
      <c r="H18" s="72">
        <v>5040</v>
      </c>
      <c r="I18" s="72">
        <v>13954</v>
      </c>
      <c r="J18" s="76"/>
      <c r="K18"/>
      <c r="L18"/>
      <c r="M18"/>
      <c r="N18"/>
      <c r="O18"/>
      <c r="P18"/>
      <c r="Q18"/>
      <c r="R18"/>
    </row>
    <row r="19" spans="1:18" ht="15" x14ac:dyDescent="0.25">
      <c r="A19" s="241" t="s">
        <v>164</v>
      </c>
      <c r="B19" s="360">
        <v>55050</v>
      </c>
      <c r="C19" s="72">
        <v>6228</v>
      </c>
      <c r="D19" s="72">
        <v>992</v>
      </c>
      <c r="E19" s="72">
        <v>6177</v>
      </c>
      <c r="F19" s="72">
        <v>13813</v>
      </c>
      <c r="G19" s="72">
        <v>2068</v>
      </c>
      <c r="H19" s="72">
        <v>6900</v>
      </c>
      <c r="I19" s="72">
        <v>14045</v>
      </c>
      <c r="J19" s="76"/>
      <c r="K19"/>
      <c r="L19"/>
      <c r="M19"/>
      <c r="N19"/>
      <c r="O19"/>
      <c r="P19"/>
      <c r="Q19"/>
      <c r="R19"/>
    </row>
    <row r="20" spans="1:18" ht="15" x14ac:dyDescent="0.25">
      <c r="A20" s="241" t="s">
        <v>165</v>
      </c>
      <c r="B20" s="360">
        <v>61966</v>
      </c>
      <c r="C20" s="72">
        <v>3862</v>
      </c>
      <c r="D20" s="72">
        <v>936</v>
      </c>
      <c r="E20" s="72">
        <v>9767</v>
      </c>
      <c r="F20" s="72">
        <v>19500</v>
      </c>
      <c r="G20" s="72">
        <v>2348</v>
      </c>
      <c r="H20" s="72">
        <v>7253</v>
      </c>
      <c r="I20" s="72">
        <v>12534</v>
      </c>
      <c r="J20" s="76"/>
      <c r="K20"/>
      <c r="L20"/>
      <c r="M20"/>
      <c r="N20"/>
      <c r="O20"/>
      <c r="P20"/>
      <c r="Q20"/>
      <c r="R20"/>
    </row>
    <row r="21" spans="1:18" ht="15" x14ac:dyDescent="0.25">
      <c r="A21" s="241" t="s">
        <v>166</v>
      </c>
      <c r="B21" s="360">
        <v>75760</v>
      </c>
      <c r="C21" s="72">
        <v>2456</v>
      </c>
      <c r="D21" s="72">
        <v>899</v>
      </c>
      <c r="E21" s="72">
        <v>15585</v>
      </c>
      <c r="F21" s="72">
        <v>27532</v>
      </c>
      <c r="G21" s="72">
        <v>2875</v>
      </c>
      <c r="H21" s="72">
        <v>7704</v>
      </c>
      <c r="I21" s="72">
        <v>11508</v>
      </c>
      <c r="J21" s="76"/>
      <c r="K21"/>
      <c r="L21"/>
      <c r="M21"/>
      <c r="N21"/>
      <c r="O21"/>
      <c r="P21"/>
      <c r="Q21"/>
      <c r="R21"/>
    </row>
    <row r="22" spans="1:18" ht="15" x14ac:dyDescent="0.25">
      <c r="A22" s="241" t="s">
        <v>167</v>
      </c>
      <c r="B22" s="360">
        <v>127687</v>
      </c>
      <c r="C22" s="72">
        <v>2116</v>
      </c>
      <c r="D22" s="72">
        <v>941</v>
      </c>
      <c r="E22" s="72">
        <v>31361</v>
      </c>
      <c r="F22" s="72">
        <v>51320</v>
      </c>
      <c r="G22" s="72">
        <v>4651</v>
      </c>
      <c r="H22" s="72">
        <v>10944</v>
      </c>
      <c r="I22" s="72">
        <v>13788</v>
      </c>
      <c r="J22" s="76"/>
      <c r="K22"/>
      <c r="L22"/>
      <c r="M22"/>
      <c r="N22"/>
      <c r="O22"/>
      <c r="P22"/>
      <c r="Q22"/>
      <c r="R22"/>
    </row>
    <row r="23" spans="1:18" ht="15" x14ac:dyDescent="0.25">
      <c r="A23" s="241" t="s">
        <v>168</v>
      </c>
      <c r="B23" s="360">
        <v>176258</v>
      </c>
      <c r="C23" s="72">
        <v>1630</v>
      </c>
      <c r="D23" s="72">
        <v>754</v>
      </c>
      <c r="E23" s="72">
        <v>46079</v>
      </c>
      <c r="F23" s="72">
        <v>77884</v>
      </c>
      <c r="G23" s="72">
        <v>6715</v>
      </c>
      <c r="H23" s="72">
        <v>12275</v>
      </c>
      <c r="I23" s="72">
        <v>12478</v>
      </c>
      <c r="J23" s="76"/>
      <c r="K23"/>
      <c r="L23"/>
      <c r="M23"/>
      <c r="N23"/>
      <c r="O23"/>
      <c r="P23"/>
      <c r="Q23"/>
      <c r="R23"/>
    </row>
    <row r="24" spans="1:18" ht="15" x14ac:dyDescent="0.25">
      <c r="A24" s="241" t="s">
        <v>169</v>
      </c>
      <c r="B24" s="360">
        <v>200733</v>
      </c>
      <c r="C24" s="72">
        <v>1093</v>
      </c>
      <c r="D24" s="72">
        <v>515</v>
      </c>
      <c r="E24" s="72">
        <v>53489</v>
      </c>
      <c r="F24" s="72">
        <v>94521</v>
      </c>
      <c r="G24" s="72">
        <v>7719</v>
      </c>
      <c r="H24" s="72">
        <v>11298</v>
      </c>
      <c r="I24" s="72">
        <v>9249</v>
      </c>
      <c r="J24" s="76"/>
      <c r="K24"/>
      <c r="L24"/>
      <c r="M24"/>
      <c r="N24"/>
      <c r="O24"/>
      <c r="P24"/>
      <c r="Q24"/>
      <c r="R24"/>
    </row>
    <row r="25" spans="1:18" s="8" customFormat="1" ht="15" x14ac:dyDescent="0.25">
      <c r="A25" s="241" t="s">
        <v>170</v>
      </c>
      <c r="B25" s="360">
        <v>172991</v>
      </c>
      <c r="C25" s="72">
        <v>587</v>
      </c>
      <c r="D25" s="72">
        <v>239</v>
      </c>
      <c r="E25" s="72">
        <v>41660</v>
      </c>
      <c r="F25" s="72">
        <v>88393</v>
      </c>
      <c r="G25" s="72">
        <v>6319</v>
      </c>
      <c r="H25" s="72">
        <v>7856</v>
      </c>
      <c r="I25" s="72">
        <v>5512</v>
      </c>
      <c r="J25" s="76"/>
      <c r="K25"/>
      <c r="L25"/>
      <c r="M25"/>
      <c r="N25"/>
      <c r="O25"/>
      <c r="P25"/>
      <c r="Q25"/>
      <c r="R25"/>
    </row>
    <row r="26" spans="1:18" ht="15" x14ac:dyDescent="0.25">
      <c r="A26" s="241" t="s">
        <v>171</v>
      </c>
      <c r="B26" s="360">
        <v>184159</v>
      </c>
      <c r="C26" s="72">
        <v>383</v>
      </c>
      <c r="D26" s="72">
        <v>144</v>
      </c>
      <c r="E26" s="72">
        <v>32243</v>
      </c>
      <c r="F26" s="72">
        <v>105659</v>
      </c>
      <c r="G26" s="72">
        <v>6502</v>
      </c>
      <c r="H26" s="72">
        <v>7148</v>
      </c>
      <c r="I26" s="72">
        <v>4430</v>
      </c>
      <c r="J26" s="76"/>
      <c r="K26"/>
      <c r="L26"/>
      <c r="M26"/>
      <c r="N26"/>
      <c r="O26"/>
      <c r="P26"/>
      <c r="Q26"/>
      <c r="R26"/>
    </row>
    <row r="27" spans="1:18" ht="15" x14ac:dyDescent="0.25">
      <c r="A27" s="241" t="s">
        <v>172</v>
      </c>
      <c r="B27" s="360">
        <v>280699</v>
      </c>
      <c r="C27" s="72">
        <v>424</v>
      </c>
      <c r="D27" s="72">
        <v>157</v>
      </c>
      <c r="E27" s="72">
        <v>33661</v>
      </c>
      <c r="F27" s="72">
        <v>159242</v>
      </c>
      <c r="G27" s="72">
        <v>8449</v>
      </c>
      <c r="H27" s="72">
        <v>9521</v>
      </c>
      <c r="I27" s="72">
        <v>5258</v>
      </c>
      <c r="J27" s="76"/>
      <c r="K27"/>
      <c r="L27"/>
      <c r="M27"/>
      <c r="N27"/>
      <c r="O27"/>
      <c r="P27"/>
      <c r="Q27"/>
      <c r="R27"/>
    </row>
    <row r="28" spans="1:18" ht="15" x14ac:dyDescent="0.25">
      <c r="A28" s="241" t="s">
        <v>320</v>
      </c>
      <c r="B28" s="360">
        <v>345279</v>
      </c>
      <c r="C28" s="72">
        <v>365</v>
      </c>
      <c r="D28" s="72">
        <v>150</v>
      </c>
      <c r="E28" s="72">
        <v>20441</v>
      </c>
      <c r="F28" s="72">
        <v>184986</v>
      </c>
      <c r="G28" s="72">
        <v>7719</v>
      </c>
      <c r="H28" s="72">
        <v>8499</v>
      </c>
      <c r="I28" s="72">
        <v>4743</v>
      </c>
      <c r="J28" s="76"/>
      <c r="K28"/>
      <c r="L28"/>
      <c r="M28"/>
      <c r="N28"/>
      <c r="O28"/>
      <c r="P28"/>
      <c r="Q28"/>
      <c r="R28"/>
    </row>
    <row r="29" spans="1:18" ht="15" x14ac:dyDescent="0.25">
      <c r="A29" s="241" t="s">
        <v>173</v>
      </c>
      <c r="B29" s="360">
        <v>6412</v>
      </c>
      <c r="C29" s="72">
        <v>179</v>
      </c>
      <c r="D29" s="72">
        <v>67</v>
      </c>
      <c r="E29" s="72">
        <v>411</v>
      </c>
      <c r="F29" s="72">
        <v>2313</v>
      </c>
      <c r="G29" s="72">
        <v>248</v>
      </c>
      <c r="H29" s="72">
        <v>254</v>
      </c>
      <c r="I29" s="72">
        <v>938</v>
      </c>
      <c r="J29" s="76"/>
      <c r="K29"/>
      <c r="L29"/>
      <c r="M29"/>
      <c r="N29"/>
      <c r="O29"/>
      <c r="P29"/>
      <c r="Q29"/>
      <c r="R29"/>
    </row>
    <row r="30" spans="1:18" ht="15" x14ac:dyDescent="0.25">
      <c r="A30" s="243" t="s">
        <v>174</v>
      </c>
      <c r="B30" s="467">
        <v>1798307</v>
      </c>
      <c r="C30" s="71">
        <v>32918</v>
      </c>
      <c r="D30" s="71">
        <v>7536</v>
      </c>
      <c r="E30" s="71">
        <v>298699</v>
      </c>
      <c r="F30" s="71">
        <v>841207</v>
      </c>
      <c r="G30" s="71">
        <v>59188</v>
      </c>
      <c r="H30" s="71">
        <v>98271</v>
      </c>
      <c r="I30" s="71">
        <v>137633</v>
      </c>
      <c r="J30" s="76"/>
      <c r="K30"/>
      <c r="L30"/>
      <c r="M30"/>
      <c r="N30"/>
      <c r="O30"/>
      <c r="P30"/>
      <c r="Q30"/>
      <c r="R30"/>
    </row>
    <row r="31" spans="1:18" ht="25.5" x14ac:dyDescent="0.25">
      <c r="A31" s="283" t="s">
        <v>175</v>
      </c>
      <c r="B31" s="468">
        <v>379433</v>
      </c>
      <c r="C31" s="282">
        <v>27113</v>
      </c>
      <c r="D31" s="282">
        <v>5315</v>
      </c>
      <c r="E31" s="282">
        <v>57587</v>
      </c>
      <c r="F31" s="282">
        <v>114445</v>
      </c>
      <c r="G31" s="282">
        <v>13888</v>
      </c>
      <c r="H31" s="282">
        <v>37041</v>
      </c>
      <c r="I31" s="282">
        <v>89343</v>
      </c>
      <c r="J31" s="76"/>
      <c r="K31"/>
      <c r="L31"/>
      <c r="M31"/>
      <c r="N31"/>
      <c r="O31"/>
      <c r="P31"/>
      <c r="Q31"/>
      <c r="R31"/>
    </row>
    <row r="32" spans="1:18" ht="15" x14ac:dyDescent="0.25">
      <c r="A32" s="166"/>
      <c r="B32" s="166"/>
      <c r="C32" s="167"/>
      <c r="D32" s="167"/>
      <c r="E32" s="167"/>
      <c r="F32" s="167"/>
      <c r="G32" s="167"/>
      <c r="H32" s="77"/>
      <c r="I32" s="77"/>
    </row>
    <row r="33" spans="1:9" x14ac:dyDescent="0.2">
      <c r="A33" s="168"/>
      <c r="B33" s="168"/>
      <c r="C33" s="168"/>
      <c r="D33" s="168"/>
      <c r="E33" s="62"/>
      <c r="F33" s="18"/>
      <c r="G33" s="18"/>
      <c r="H33" s="63"/>
      <c r="I33" s="9"/>
    </row>
    <row r="34" spans="1:9" x14ac:dyDescent="0.2">
      <c r="A34" s="9"/>
      <c r="B34" s="9"/>
      <c r="C34" s="9"/>
      <c r="D34" s="9"/>
      <c r="E34" s="64"/>
      <c r="H34" s="63"/>
      <c r="I34" s="9"/>
    </row>
    <row r="35" spans="1:9" x14ac:dyDescent="0.2">
      <c r="A35" s="9"/>
      <c r="B35" s="9"/>
      <c r="C35" s="9"/>
      <c r="D35" s="9"/>
      <c r="E35" s="64"/>
      <c r="H35" s="63"/>
      <c r="I35" s="9"/>
    </row>
    <row r="36" spans="1:9" x14ac:dyDescent="0.2">
      <c r="A36" s="9"/>
      <c r="B36" s="9"/>
      <c r="C36" s="9"/>
      <c r="D36" s="9"/>
      <c r="E36" s="64"/>
      <c r="H36" s="63"/>
      <c r="I36" s="9"/>
    </row>
    <row r="37" spans="1:9" x14ac:dyDescent="0.2">
      <c r="A37" s="9"/>
      <c r="B37" s="9"/>
      <c r="C37" s="9"/>
      <c r="D37" s="9"/>
      <c r="E37" s="64"/>
      <c r="H37" s="63"/>
      <c r="I37" s="9"/>
    </row>
    <row r="38" spans="1:9" x14ac:dyDescent="0.2">
      <c r="A38" s="9"/>
      <c r="B38" s="9"/>
      <c r="C38" s="9"/>
      <c r="D38" s="9"/>
      <c r="E38" s="64"/>
      <c r="H38" s="63"/>
      <c r="I38" s="9"/>
    </row>
    <row r="39" spans="1:9" x14ac:dyDescent="0.2">
      <c r="A39" s="9"/>
      <c r="B39" s="9"/>
      <c r="C39" s="9"/>
      <c r="D39" s="9"/>
      <c r="E39" s="64"/>
      <c r="H39" s="63"/>
      <c r="I39" s="9"/>
    </row>
    <row r="40" spans="1:9" x14ac:dyDescent="0.2">
      <c r="A40" s="9"/>
      <c r="B40" s="9"/>
      <c r="C40" s="9"/>
      <c r="D40" s="9"/>
      <c r="E40" s="64"/>
      <c r="H40" s="63"/>
      <c r="I40" s="9"/>
    </row>
    <row r="41" spans="1:9" x14ac:dyDescent="0.2">
      <c r="A41" s="9"/>
      <c r="B41" s="9"/>
      <c r="C41" s="9"/>
      <c r="D41" s="9"/>
      <c r="E41" s="64"/>
      <c r="H41" s="63"/>
      <c r="I41" s="9"/>
    </row>
    <row r="42" spans="1:9" x14ac:dyDescent="0.2">
      <c r="A42" s="9"/>
      <c r="B42" s="9"/>
      <c r="C42" s="9"/>
      <c r="D42" s="9"/>
      <c r="E42" s="64"/>
      <c r="H42" s="63"/>
      <c r="I42" s="9"/>
    </row>
    <row r="43" spans="1:9" x14ac:dyDescent="0.2">
      <c r="A43" s="9"/>
      <c r="B43" s="9"/>
      <c r="C43" s="9"/>
      <c r="D43" s="9"/>
      <c r="E43" s="64"/>
      <c r="H43" s="63"/>
      <c r="I43" s="9"/>
    </row>
    <row r="44" spans="1:9" x14ac:dyDescent="0.2">
      <c r="A44" s="9"/>
      <c r="B44" s="9"/>
      <c r="C44" s="9"/>
      <c r="D44" s="9"/>
      <c r="E44" s="64"/>
      <c r="H44" s="63"/>
      <c r="I44" s="9"/>
    </row>
    <row r="45" spans="1:9" x14ac:dyDescent="0.2">
      <c r="A45" s="9"/>
      <c r="B45" s="9"/>
      <c r="C45" s="9"/>
      <c r="D45" s="9"/>
      <c r="E45" s="64"/>
      <c r="H45" s="63"/>
      <c r="I45" s="9"/>
    </row>
    <row r="46" spans="1:9" x14ac:dyDescent="0.2">
      <c r="A46" s="9"/>
      <c r="B46" s="9"/>
      <c r="C46" s="9"/>
      <c r="D46" s="9"/>
      <c r="E46" s="64"/>
      <c r="H46" s="63"/>
      <c r="I46" s="9"/>
    </row>
    <row r="47" spans="1:9" x14ac:dyDescent="0.2">
      <c r="A47" s="9"/>
      <c r="B47" s="9"/>
      <c r="C47" s="9"/>
      <c r="D47" s="9"/>
      <c r="E47" s="64"/>
      <c r="H47" s="63"/>
      <c r="I47" s="9"/>
    </row>
    <row r="48" spans="1:9" x14ac:dyDescent="0.2">
      <c r="A48" s="9"/>
      <c r="B48" s="9"/>
      <c r="C48" s="9"/>
      <c r="D48" s="9"/>
      <c r="E48" s="64"/>
      <c r="H48" s="63"/>
      <c r="I48" s="9"/>
    </row>
    <row r="49" spans="1:9" x14ac:dyDescent="0.2">
      <c r="A49" s="9"/>
      <c r="B49" s="9"/>
      <c r="C49" s="9"/>
      <c r="D49" s="9"/>
      <c r="E49" s="64"/>
      <c r="H49" s="63"/>
      <c r="I49" s="9"/>
    </row>
    <row r="50" spans="1:9" x14ac:dyDescent="0.2">
      <c r="A50" s="9"/>
      <c r="B50" s="9"/>
      <c r="C50" s="9"/>
      <c r="D50" s="9"/>
      <c r="E50" s="64"/>
      <c r="H50" s="63"/>
      <c r="I50" s="9"/>
    </row>
    <row r="51" spans="1:9" x14ac:dyDescent="0.2">
      <c r="A51" s="9"/>
      <c r="B51" s="9"/>
      <c r="C51" s="9"/>
      <c r="D51" s="9"/>
      <c r="E51" s="64"/>
      <c r="H51" s="63"/>
      <c r="I51" s="9"/>
    </row>
    <row r="52" spans="1:9" x14ac:dyDescent="0.2">
      <c r="A52" s="9"/>
      <c r="B52" s="9"/>
      <c r="C52" s="9"/>
      <c r="D52" s="9"/>
      <c r="E52" s="64"/>
      <c r="H52" s="63"/>
      <c r="I52" s="9"/>
    </row>
    <row r="53" spans="1:9" x14ac:dyDescent="0.2">
      <c r="A53" s="9"/>
      <c r="B53" s="9"/>
      <c r="C53" s="9"/>
      <c r="D53" s="9"/>
      <c r="E53" s="64"/>
      <c r="H53" s="63"/>
      <c r="I53" s="9"/>
    </row>
    <row r="54" spans="1:9" x14ac:dyDescent="0.2">
      <c r="A54" s="9"/>
      <c r="B54" s="9"/>
      <c r="C54" s="9"/>
      <c r="D54" s="9"/>
      <c r="E54" s="64"/>
      <c r="H54" s="63"/>
      <c r="I54" s="9"/>
    </row>
    <row r="55" spans="1:9" x14ac:dyDescent="0.2">
      <c r="A55" s="9"/>
      <c r="B55" s="9"/>
      <c r="C55" s="9"/>
      <c r="D55" s="9"/>
      <c r="E55" s="64"/>
      <c r="H55" s="63"/>
      <c r="I55" s="9"/>
    </row>
    <row r="56" spans="1:9" x14ac:dyDescent="0.2">
      <c r="A56" s="9"/>
      <c r="B56" s="9"/>
      <c r="C56" s="9"/>
      <c r="D56" s="9"/>
      <c r="E56" s="64"/>
      <c r="H56" s="63"/>
      <c r="I56" s="9"/>
    </row>
    <row r="57" spans="1:9" x14ac:dyDescent="0.2">
      <c r="A57" s="9"/>
      <c r="B57" s="9"/>
      <c r="C57" s="9"/>
      <c r="D57" s="9"/>
      <c r="E57" s="64"/>
      <c r="H57" s="63"/>
      <c r="I57" s="9"/>
    </row>
    <row r="58" spans="1:9" x14ac:dyDescent="0.2">
      <c r="A58" s="9"/>
      <c r="B58" s="9"/>
      <c r="C58" s="9"/>
      <c r="D58" s="9"/>
      <c r="E58" s="64"/>
      <c r="H58" s="63"/>
      <c r="I58" s="9"/>
    </row>
    <row r="59" spans="1:9" x14ac:dyDescent="0.2">
      <c r="A59" s="9"/>
      <c r="B59" s="9"/>
      <c r="C59" s="9"/>
      <c r="D59" s="9"/>
      <c r="E59" s="64"/>
      <c r="H59" s="63"/>
      <c r="I59" s="9"/>
    </row>
    <row r="60" spans="1:9" x14ac:dyDescent="0.2">
      <c r="A60" s="9"/>
      <c r="B60" s="9"/>
      <c r="C60" s="9"/>
      <c r="D60" s="9"/>
      <c r="E60" s="64"/>
      <c r="H60" s="63"/>
      <c r="I60" s="9"/>
    </row>
    <row r="61" spans="1:9" x14ac:dyDescent="0.2">
      <c r="A61" s="9"/>
      <c r="B61" s="9"/>
      <c r="C61" s="9"/>
      <c r="D61" s="9"/>
      <c r="E61" s="64"/>
      <c r="H61" s="63"/>
      <c r="I61" s="9"/>
    </row>
    <row r="62" spans="1:9" x14ac:dyDescent="0.2">
      <c r="A62" s="9"/>
      <c r="B62" s="9"/>
      <c r="C62" s="9"/>
      <c r="D62" s="9"/>
      <c r="E62" s="64"/>
      <c r="H62" s="63"/>
      <c r="I62" s="9"/>
    </row>
    <row r="63" spans="1:9" x14ac:dyDescent="0.2">
      <c r="A63" s="9"/>
      <c r="B63" s="9"/>
      <c r="C63" s="9"/>
      <c r="D63" s="9"/>
      <c r="E63" s="64"/>
      <c r="H63" s="63"/>
      <c r="I63" s="9"/>
    </row>
    <row r="64" spans="1:9" x14ac:dyDescent="0.2">
      <c r="A64" s="9"/>
      <c r="B64" s="9"/>
      <c r="C64" s="9"/>
      <c r="D64" s="9"/>
      <c r="E64" s="64"/>
      <c r="H64" s="63"/>
      <c r="I64" s="9"/>
    </row>
    <row r="65" spans="1:9" x14ac:dyDescent="0.2">
      <c r="A65" s="9"/>
      <c r="B65" s="9"/>
      <c r="C65" s="9"/>
      <c r="D65" s="9"/>
      <c r="E65" s="64"/>
      <c r="H65" s="63"/>
      <c r="I65" s="9"/>
    </row>
    <row r="66" spans="1:9" x14ac:dyDescent="0.2">
      <c r="A66" s="9"/>
      <c r="B66" s="9"/>
      <c r="C66" s="9"/>
      <c r="D66" s="9"/>
      <c r="E66" s="64"/>
      <c r="H66" s="63"/>
      <c r="I66" s="9"/>
    </row>
    <row r="67" spans="1:9" x14ac:dyDescent="0.2">
      <c r="A67" s="9"/>
      <c r="B67" s="9"/>
      <c r="C67" s="9"/>
      <c r="D67" s="9"/>
      <c r="E67" s="64"/>
      <c r="H67" s="63"/>
      <c r="I67" s="9"/>
    </row>
    <row r="68" spans="1:9" x14ac:dyDescent="0.2">
      <c r="A68" s="9"/>
      <c r="B68" s="9"/>
      <c r="C68" s="9"/>
      <c r="D68" s="9"/>
      <c r="E68" s="64"/>
      <c r="H68" s="63"/>
      <c r="I68" s="9"/>
    </row>
    <row r="69" spans="1:9" x14ac:dyDescent="0.2">
      <c r="A69" s="9"/>
      <c r="B69" s="9"/>
      <c r="C69" s="9"/>
      <c r="D69" s="9"/>
      <c r="E69" s="64"/>
      <c r="H69" s="63"/>
      <c r="I69" s="9"/>
    </row>
    <row r="70" spans="1:9" x14ac:dyDescent="0.2">
      <c r="A70" s="9"/>
      <c r="B70" s="9"/>
      <c r="C70" s="9"/>
      <c r="D70" s="9"/>
      <c r="E70" s="64"/>
      <c r="H70" s="63"/>
      <c r="I70" s="9"/>
    </row>
    <row r="71" spans="1:9" x14ac:dyDescent="0.2">
      <c r="A71" s="9"/>
      <c r="B71" s="9"/>
      <c r="C71" s="9"/>
      <c r="D71" s="9"/>
      <c r="E71" s="64"/>
      <c r="H71" s="63"/>
      <c r="I71" s="9"/>
    </row>
    <row r="72" spans="1:9" x14ac:dyDescent="0.2">
      <c r="A72" s="9"/>
      <c r="B72" s="9"/>
      <c r="C72" s="9"/>
      <c r="D72" s="9"/>
      <c r="E72" s="64"/>
      <c r="H72" s="63"/>
      <c r="I72" s="9"/>
    </row>
    <row r="73" spans="1:9" x14ac:dyDescent="0.2">
      <c r="A73" s="9"/>
      <c r="B73" s="9"/>
      <c r="C73" s="9"/>
      <c r="D73" s="9"/>
      <c r="E73" s="64"/>
      <c r="H73" s="63"/>
      <c r="I73" s="9"/>
    </row>
    <row r="74" spans="1:9" x14ac:dyDescent="0.2">
      <c r="A74" s="9"/>
      <c r="B74" s="9"/>
      <c r="C74" s="9"/>
      <c r="D74" s="9"/>
      <c r="E74" s="64"/>
      <c r="I74" s="9"/>
    </row>
    <row r="75" spans="1:9" x14ac:dyDescent="0.2">
      <c r="A75" s="9"/>
      <c r="B75" s="9"/>
      <c r="C75" s="9"/>
      <c r="D75" s="9"/>
      <c r="E75" s="64"/>
      <c r="F75" s="9"/>
      <c r="G75" s="9"/>
      <c r="H75" s="9"/>
      <c r="I75" s="9"/>
    </row>
    <row r="76" spans="1:9" x14ac:dyDescent="0.2">
      <c r="A76" s="9"/>
      <c r="B76" s="9"/>
      <c r="C76" s="9"/>
      <c r="D76" s="9"/>
      <c r="E76" s="64"/>
      <c r="F76" s="9"/>
      <c r="G76" s="9"/>
      <c r="H76" s="9"/>
      <c r="I76" s="9"/>
    </row>
    <row r="77" spans="1:9" x14ac:dyDescent="0.2">
      <c r="A77" s="9"/>
      <c r="B77" s="9"/>
      <c r="C77" s="9"/>
      <c r="D77" s="9"/>
      <c r="E77" s="64"/>
      <c r="F77" s="9"/>
      <c r="G77" s="9"/>
      <c r="H77" s="9"/>
      <c r="I77" s="9"/>
    </row>
    <row r="78" spans="1:9" x14ac:dyDescent="0.2">
      <c r="A78" s="9"/>
      <c r="B78" s="9"/>
      <c r="C78" s="9"/>
      <c r="D78" s="9"/>
      <c r="E78" s="64"/>
      <c r="F78" s="9"/>
      <c r="G78" s="9"/>
      <c r="H78" s="9"/>
      <c r="I78" s="9"/>
    </row>
    <row r="79" spans="1:9" x14ac:dyDescent="0.2">
      <c r="A79" s="9"/>
      <c r="B79" s="9"/>
      <c r="C79" s="9"/>
      <c r="D79" s="9"/>
      <c r="E79" s="64"/>
      <c r="F79" s="9"/>
      <c r="G79" s="9"/>
      <c r="H79" s="9"/>
      <c r="I79" s="9"/>
    </row>
    <row r="80" spans="1:9" x14ac:dyDescent="0.2">
      <c r="A80" s="9"/>
      <c r="B80" s="9"/>
      <c r="C80" s="9"/>
      <c r="D80" s="9"/>
      <c r="E80" s="64"/>
      <c r="F80" s="9"/>
      <c r="G80" s="9"/>
      <c r="H80" s="9"/>
      <c r="I80" s="9"/>
    </row>
    <row r="81" spans="1:9" x14ac:dyDescent="0.2">
      <c r="A81" s="9"/>
      <c r="B81" s="9"/>
      <c r="C81" s="9"/>
      <c r="D81" s="9"/>
      <c r="E81" s="64"/>
      <c r="F81" s="9"/>
      <c r="G81" s="9"/>
      <c r="H81" s="9"/>
      <c r="I81" s="9"/>
    </row>
    <row r="82" spans="1:9" x14ac:dyDescent="0.2">
      <c r="A82" s="9"/>
      <c r="B82" s="9"/>
      <c r="C82" s="9"/>
      <c r="D82" s="9"/>
      <c r="E82" s="64"/>
      <c r="F82" s="9"/>
      <c r="G82" s="9"/>
      <c r="H82" s="9"/>
      <c r="I82" s="9"/>
    </row>
    <row r="83" spans="1:9" x14ac:dyDescent="0.2">
      <c r="A83" s="9"/>
      <c r="B83" s="9"/>
      <c r="C83" s="9"/>
      <c r="D83" s="9"/>
      <c r="E83" s="64"/>
      <c r="F83" s="9"/>
      <c r="G83" s="9"/>
      <c r="H83" s="9"/>
      <c r="I83" s="9"/>
    </row>
    <row r="84" spans="1:9" x14ac:dyDescent="0.2">
      <c r="A84" s="9"/>
      <c r="B84" s="9"/>
      <c r="C84" s="9"/>
      <c r="D84" s="9"/>
      <c r="E84" s="64"/>
      <c r="F84" s="9"/>
      <c r="G84" s="9"/>
      <c r="H84" s="9"/>
      <c r="I84" s="9"/>
    </row>
    <row r="85" spans="1:9" x14ac:dyDescent="0.2">
      <c r="A85" s="9"/>
      <c r="B85" s="9"/>
      <c r="C85" s="9"/>
      <c r="D85" s="9"/>
      <c r="E85" s="64"/>
      <c r="F85" s="9"/>
      <c r="G85" s="9"/>
      <c r="H85" s="9"/>
      <c r="I85" s="9"/>
    </row>
    <row r="86" spans="1:9" x14ac:dyDescent="0.2">
      <c r="A86" s="9"/>
      <c r="B86" s="9"/>
      <c r="C86" s="9"/>
      <c r="D86" s="9"/>
      <c r="E86" s="64"/>
      <c r="F86" s="9"/>
      <c r="G86" s="9"/>
      <c r="H86" s="9"/>
      <c r="I86" s="9"/>
    </row>
    <row r="87" spans="1:9" x14ac:dyDescent="0.2">
      <c r="A87" s="9"/>
      <c r="B87" s="9"/>
      <c r="C87" s="9"/>
      <c r="D87" s="9"/>
      <c r="E87" s="64"/>
      <c r="F87" s="9"/>
      <c r="G87" s="9"/>
      <c r="H87" s="9"/>
      <c r="I87" s="9"/>
    </row>
    <row r="88" spans="1:9" x14ac:dyDescent="0.2">
      <c r="A88" s="9"/>
      <c r="B88" s="9"/>
      <c r="C88" s="9"/>
      <c r="D88" s="9"/>
      <c r="E88" s="64"/>
      <c r="F88" s="9"/>
      <c r="G88" s="9"/>
      <c r="H88" s="9"/>
      <c r="I88" s="9"/>
    </row>
    <row r="89" spans="1:9" x14ac:dyDescent="0.2">
      <c r="A89" s="9"/>
      <c r="B89" s="9"/>
      <c r="C89" s="9"/>
      <c r="D89" s="9"/>
      <c r="E89" s="64"/>
      <c r="F89" s="9"/>
      <c r="G89" s="9"/>
      <c r="H89" s="9"/>
      <c r="I89" s="9"/>
    </row>
    <row r="90" spans="1:9" x14ac:dyDescent="0.2">
      <c r="A90" s="9"/>
      <c r="B90" s="9"/>
      <c r="C90" s="9"/>
      <c r="D90" s="9"/>
      <c r="E90" s="64"/>
      <c r="F90" s="9"/>
      <c r="G90" s="9"/>
      <c r="H90" s="9"/>
      <c r="I90" s="9"/>
    </row>
    <row r="91" spans="1:9" x14ac:dyDescent="0.2">
      <c r="A91" s="9"/>
      <c r="B91" s="9"/>
      <c r="C91" s="9"/>
      <c r="D91" s="9"/>
      <c r="E91" s="64"/>
      <c r="F91" s="9"/>
      <c r="G91" s="9"/>
      <c r="H91" s="9"/>
      <c r="I91" s="9"/>
    </row>
    <row r="92" spans="1:9" x14ac:dyDescent="0.2">
      <c r="A92" s="9"/>
      <c r="B92" s="9"/>
      <c r="C92" s="9"/>
      <c r="D92" s="9"/>
      <c r="E92" s="64"/>
      <c r="F92" s="9"/>
      <c r="G92" s="9"/>
      <c r="H92" s="9"/>
      <c r="I92" s="9"/>
    </row>
    <row r="93" spans="1:9" x14ac:dyDescent="0.2">
      <c r="A93" s="9"/>
      <c r="B93" s="9"/>
      <c r="C93" s="9"/>
      <c r="D93" s="9"/>
      <c r="E93" s="64"/>
      <c r="F93" s="9"/>
      <c r="G93" s="9"/>
      <c r="H93" s="9"/>
      <c r="I93" s="9"/>
    </row>
    <row r="94" spans="1:9" x14ac:dyDescent="0.2">
      <c r="A94" s="9"/>
      <c r="B94" s="9"/>
      <c r="C94" s="9"/>
      <c r="D94" s="9"/>
      <c r="E94" s="64"/>
      <c r="F94" s="9"/>
      <c r="G94" s="9"/>
      <c r="H94" s="9"/>
      <c r="I94" s="9"/>
    </row>
    <row r="95" spans="1:9" x14ac:dyDescent="0.2">
      <c r="A95" s="9"/>
      <c r="B95" s="9"/>
      <c r="C95" s="9"/>
      <c r="D95" s="9"/>
      <c r="E95" s="64"/>
      <c r="F95" s="9"/>
      <c r="G95" s="9"/>
      <c r="H95" s="9"/>
      <c r="I95" s="9"/>
    </row>
    <row r="96" spans="1:9" x14ac:dyDescent="0.2">
      <c r="A96" s="9"/>
      <c r="B96" s="9"/>
      <c r="C96" s="9"/>
      <c r="D96" s="9"/>
      <c r="E96" s="64"/>
      <c r="F96" s="9"/>
      <c r="G96" s="9"/>
      <c r="H96" s="9"/>
      <c r="I96" s="9"/>
    </row>
    <row r="97" spans="1:9" x14ac:dyDescent="0.2">
      <c r="A97" s="9"/>
      <c r="B97" s="9"/>
      <c r="C97" s="9"/>
      <c r="D97" s="9"/>
      <c r="E97" s="64"/>
      <c r="F97" s="9"/>
      <c r="G97" s="9"/>
      <c r="H97" s="9"/>
      <c r="I97" s="9"/>
    </row>
    <row r="98" spans="1:9" x14ac:dyDescent="0.2">
      <c r="A98" s="9"/>
      <c r="B98" s="9"/>
      <c r="C98" s="9"/>
      <c r="D98" s="9"/>
      <c r="E98" s="64"/>
      <c r="F98" s="9"/>
      <c r="G98" s="9"/>
      <c r="H98" s="9"/>
      <c r="I98" s="9"/>
    </row>
    <row r="99" spans="1:9" x14ac:dyDescent="0.2">
      <c r="A99" s="9"/>
      <c r="B99" s="9"/>
      <c r="C99" s="9"/>
      <c r="D99" s="9"/>
      <c r="E99" s="64"/>
      <c r="F99" s="9"/>
      <c r="G99" s="9"/>
      <c r="H99" s="9"/>
      <c r="I99" s="9"/>
    </row>
    <row r="100" spans="1:9" x14ac:dyDescent="0.2">
      <c r="A100" s="9"/>
      <c r="B100" s="9"/>
      <c r="C100" s="9"/>
      <c r="D100" s="9"/>
      <c r="E100" s="64"/>
      <c r="F100" s="9"/>
      <c r="G100" s="9"/>
      <c r="H100" s="9"/>
      <c r="I100" s="9"/>
    </row>
    <row r="101" spans="1:9" x14ac:dyDescent="0.2">
      <c r="A101" s="9"/>
      <c r="B101" s="9"/>
      <c r="C101" s="9"/>
      <c r="D101" s="9"/>
      <c r="E101" s="64"/>
      <c r="F101" s="9"/>
      <c r="G101" s="9"/>
      <c r="H101" s="9"/>
      <c r="I101" s="9"/>
    </row>
    <row r="102" spans="1:9" x14ac:dyDescent="0.2">
      <c r="A102" s="9"/>
      <c r="B102" s="9"/>
      <c r="C102" s="9"/>
      <c r="D102" s="9"/>
      <c r="E102" s="64"/>
      <c r="F102" s="9"/>
      <c r="G102" s="9"/>
      <c r="H102" s="9"/>
      <c r="I102" s="9"/>
    </row>
    <row r="103" spans="1:9" x14ac:dyDescent="0.2">
      <c r="A103" s="9"/>
      <c r="B103" s="9"/>
      <c r="C103" s="9"/>
      <c r="D103" s="9"/>
      <c r="E103" s="64"/>
      <c r="F103" s="9"/>
      <c r="G103" s="9"/>
      <c r="H103" s="9"/>
      <c r="I103" s="9"/>
    </row>
    <row r="104" spans="1:9" x14ac:dyDescent="0.2">
      <c r="A104" s="9"/>
      <c r="B104" s="9"/>
      <c r="C104" s="9"/>
      <c r="D104" s="9"/>
      <c r="E104" s="64"/>
      <c r="F104" s="9"/>
      <c r="G104" s="9"/>
      <c r="H104" s="9"/>
      <c r="I104" s="9"/>
    </row>
    <row r="105" spans="1:9" x14ac:dyDescent="0.2">
      <c r="A105" s="9"/>
      <c r="B105" s="9"/>
      <c r="C105" s="9"/>
      <c r="D105" s="9"/>
      <c r="E105" s="64"/>
      <c r="F105" s="9"/>
      <c r="G105" s="9"/>
      <c r="H105" s="9"/>
      <c r="I105" s="9"/>
    </row>
    <row r="106" spans="1:9" x14ac:dyDescent="0.2">
      <c r="A106" s="9"/>
      <c r="B106" s="9"/>
      <c r="C106" s="9"/>
      <c r="D106" s="9"/>
      <c r="E106" s="64"/>
      <c r="F106" s="9"/>
      <c r="G106" s="9"/>
      <c r="H106" s="9"/>
      <c r="I106" s="9"/>
    </row>
    <row r="107" spans="1:9" x14ac:dyDescent="0.2">
      <c r="A107" s="9"/>
      <c r="B107" s="9"/>
      <c r="C107" s="9"/>
      <c r="D107" s="9"/>
      <c r="E107" s="64"/>
      <c r="F107" s="9"/>
      <c r="G107" s="9"/>
      <c r="H107" s="9"/>
      <c r="I107" s="9"/>
    </row>
    <row r="108" spans="1:9" x14ac:dyDescent="0.2">
      <c r="A108" s="9"/>
      <c r="B108" s="9"/>
      <c r="C108" s="9"/>
      <c r="D108" s="9"/>
      <c r="E108" s="64"/>
      <c r="F108" s="9"/>
      <c r="G108" s="9"/>
      <c r="H108" s="9"/>
      <c r="I108" s="9"/>
    </row>
    <row r="109" spans="1:9" x14ac:dyDescent="0.2">
      <c r="A109" s="9"/>
      <c r="B109" s="9"/>
      <c r="C109" s="9"/>
      <c r="D109" s="9"/>
      <c r="E109" s="64"/>
      <c r="F109" s="9"/>
      <c r="G109" s="9"/>
      <c r="H109" s="9"/>
      <c r="I109" s="9"/>
    </row>
    <row r="110" spans="1:9" x14ac:dyDescent="0.2">
      <c r="A110" s="9"/>
      <c r="B110" s="9"/>
      <c r="C110" s="9"/>
      <c r="D110" s="9"/>
      <c r="E110" s="64"/>
      <c r="F110" s="9"/>
      <c r="G110" s="9"/>
      <c r="H110" s="9"/>
      <c r="I110" s="9"/>
    </row>
    <row r="111" spans="1:9" x14ac:dyDescent="0.2">
      <c r="A111" s="9"/>
      <c r="B111" s="9"/>
      <c r="C111" s="9"/>
      <c r="D111" s="9"/>
      <c r="E111" s="64"/>
      <c r="F111" s="9"/>
      <c r="G111" s="9"/>
      <c r="H111" s="9"/>
      <c r="I111" s="9"/>
    </row>
    <row r="112" spans="1:9" x14ac:dyDescent="0.2">
      <c r="A112" s="9"/>
      <c r="B112" s="9"/>
      <c r="C112" s="9"/>
      <c r="D112" s="9"/>
      <c r="E112" s="64"/>
      <c r="F112" s="9"/>
      <c r="G112" s="9"/>
      <c r="H112" s="9"/>
      <c r="I112" s="9"/>
    </row>
    <row r="113" spans="1:9" x14ac:dyDescent="0.2">
      <c r="A113" s="9"/>
      <c r="B113" s="9"/>
      <c r="C113" s="9"/>
      <c r="D113" s="9"/>
      <c r="E113" s="64"/>
      <c r="F113" s="9"/>
      <c r="G113" s="9"/>
      <c r="H113" s="9"/>
      <c r="I113" s="9"/>
    </row>
    <row r="114" spans="1:9" x14ac:dyDescent="0.2">
      <c r="A114" s="9"/>
      <c r="B114" s="9"/>
      <c r="C114" s="9"/>
      <c r="D114" s="9"/>
      <c r="E114" s="64"/>
      <c r="F114" s="9"/>
      <c r="G114" s="9"/>
      <c r="H114" s="9"/>
      <c r="I114" s="9"/>
    </row>
    <row r="115" spans="1:9" x14ac:dyDescent="0.2">
      <c r="A115" s="9"/>
      <c r="B115" s="9"/>
      <c r="C115" s="9"/>
      <c r="D115" s="9"/>
      <c r="E115" s="64"/>
      <c r="F115" s="9"/>
      <c r="G115" s="9"/>
      <c r="H115" s="9"/>
      <c r="I115" s="9"/>
    </row>
    <row r="116" spans="1:9" x14ac:dyDescent="0.2">
      <c r="A116" s="9"/>
      <c r="B116" s="9"/>
      <c r="C116" s="9"/>
      <c r="D116" s="9"/>
      <c r="E116" s="64"/>
      <c r="F116" s="9"/>
      <c r="G116" s="9"/>
      <c r="H116" s="9"/>
      <c r="I116" s="9"/>
    </row>
    <row r="117" spans="1:9" x14ac:dyDescent="0.2">
      <c r="A117" s="9"/>
      <c r="B117" s="9"/>
      <c r="C117" s="9"/>
      <c r="D117" s="9"/>
      <c r="E117" s="64"/>
      <c r="F117" s="9"/>
      <c r="G117" s="9"/>
      <c r="H117" s="9"/>
      <c r="I117" s="9"/>
    </row>
    <row r="118" spans="1:9" x14ac:dyDescent="0.2">
      <c r="A118" s="9"/>
      <c r="B118" s="9"/>
      <c r="C118" s="9"/>
      <c r="D118" s="9"/>
      <c r="E118" s="64"/>
      <c r="F118" s="9"/>
      <c r="G118" s="9"/>
      <c r="H118" s="9"/>
      <c r="I118" s="9"/>
    </row>
    <row r="119" spans="1:9" x14ac:dyDescent="0.2">
      <c r="A119" s="9"/>
      <c r="B119" s="9"/>
      <c r="C119" s="9"/>
      <c r="D119" s="9"/>
      <c r="E119" s="64"/>
      <c r="F119" s="9"/>
      <c r="G119" s="9"/>
      <c r="H119" s="9"/>
      <c r="I119" s="9"/>
    </row>
    <row r="120" spans="1:9" x14ac:dyDescent="0.2">
      <c r="A120" s="9"/>
      <c r="B120" s="9"/>
      <c r="C120" s="9"/>
      <c r="D120" s="9"/>
      <c r="E120" s="64"/>
      <c r="F120" s="9"/>
      <c r="G120" s="9"/>
      <c r="H120" s="9"/>
      <c r="I120" s="9"/>
    </row>
    <row r="121" spans="1:9" x14ac:dyDescent="0.2">
      <c r="A121" s="9"/>
      <c r="B121" s="9"/>
      <c r="C121" s="9"/>
      <c r="D121" s="9"/>
      <c r="E121" s="64"/>
      <c r="F121" s="9"/>
      <c r="G121" s="9"/>
      <c r="H121" s="9"/>
      <c r="I121" s="9"/>
    </row>
    <row r="122" spans="1:9" x14ac:dyDescent="0.2">
      <c r="A122" s="9"/>
      <c r="B122" s="9"/>
      <c r="C122" s="9"/>
      <c r="D122" s="9"/>
      <c r="E122" s="64"/>
      <c r="F122" s="9"/>
      <c r="G122" s="9"/>
      <c r="H122" s="9"/>
      <c r="I122" s="9"/>
    </row>
    <row r="123" spans="1:9" x14ac:dyDescent="0.2">
      <c r="A123" s="9"/>
      <c r="B123" s="9"/>
      <c r="C123" s="9"/>
      <c r="D123" s="9"/>
      <c r="E123" s="64"/>
      <c r="F123" s="9"/>
      <c r="G123" s="9"/>
      <c r="H123" s="9"/>
      <c r="I123" s="9"/>
    </row>
    <row r="124" spans="1:9" x14ac:dyDescent="0.2">
      <c r="A124" s="9"/>
      <c r="B124" s="9"/>
      <c r="C124" s="9"/>
      <c r="D124" s="9"/>
      <c r="E124" s="64"/>
      <c r="F124" s="9"/>
      <c r="G124" s="9"/>
      <c r="H124" s="9"/>
      <c r="I124" s="9"/>
    </row>
    <row r="125" spans="1:9" x14ac:dyDescent="0.2">
      <c r="A125" s="9"/>
      <c r="B125" s="9"/>
      <c r="C125" s="9"/>
      <c r="D125" s="9"/>
      <c r="E125" s="64"/>
      <c r="F125" s="9"/>
      <c r="G125" s="9"/>
      <c r="H125" s="9"/>
      <c r="I125" s="9"/>
    </row>
    <row r="126" spans="1:9" x14ac:dyDescent="0.2">
      <c r="A126" s="9"/>
      <c r="B126" s="9"/>
      <c r="C126" s="9"/>
      <c r="D126" s="9"/>
      <c r="E126" s="64"/>
      <c r="F126" s="9"/>
      <c r="G126" s="9"/>
      <c r="H126" s="9"/>
      <c r="I126" s="9"/>
    </row>
    <row r="127" spans="1:9" x14ac:dyDescent="0.2">
      <c r="A127" s="9"/>
      <c r="B127" s="9"/>
      <c r="C127" s="9"/>
      <c r="D127" s="9"/>
      <c r="E127" s="64"/>
      <c r="F127" s="9"/>
      <c r="G127" s="9"/>
      <c r="H127" s="9"/>
      <c r="I127" s="9"/>
    </row>
    <row r="128" spans="1:9" x14ac:dyDescent="0.2">
      <c r="A128" s="9"/>
      <c r="B128" s="9"/>
      <c r="C128" s="9"/>
      <c r="D128" s="9"/>
      <c r="E128" s="64"/>
      <c r="F128" s="9"/>
      <c r="G128" s="9"/>
      <c r="H128" s="9"/>
      <c r="I128" s="9"/>
    </row>
    <row r="129" spans="1:9" x14ac:dyDescent="0.2">
      <c r="A129" s="9"/>
      <c r="B129" s="9"/>
      <c r="C129" s="9"/>
      <c r="D129" s="9"/>
      <c r="E129" s="64"/>
      <c r="F129" s="9"/>
      <c r="G129" s="9"/>
      <c r="H129" s="9"/>
      <c r="I129" s="9"/>
    </row>
    <row r="130" spans="1:9" x14ac:dyDescent="0.2">
      <c r="A130" s="9"/>
      <c r="B130" s="9"/>
      <c r="C130" s="9"/>
      <c r="D130" s="9"/>
      <c r="E130" s="64"/>
      <c r="F130" s="9"/>
      <c r="G130" s="9"/>
      <c r="H130" s="9"/>
      <c r="I130" s="9"/>
    </row>
    <row r="131" spans="1:9" x14ac:dyDescent="0.2">
      <c r="A131" s="9"/>
      <c r="B131" s="9"/>
      <c r="C131" s="9"/>
      <c r="D131" s="9"/>
      <c r="E131" s="64"/>
      <c r="F131" s="9"/>
      <c r="G131" s="9"/>
      <c r="H131" s="9"/>
      <c r="I131" s="9"/>
    </row>
    <row r="132" spans="1:9" x14ac:dyDescent="0.2">
      <c r="A132" s="9"/>
      <c r="B132" s="9"/>
      <c r="C132" s="9"/>
      <c r="D132" s="9"/>
      <c r="E132" s="64"/>
      <c r="F132" s="9"/>
      <c r="G132" s="9"/>
      <c r="H132" s="9"/>
      <c r="I132" s="9"/>
    </row>
    <row r="133" spans="1:9" x14ac:dyDescent="0.2">
      <c r="A133" s="9"/>
      <c r="B133" s="9"/>
      <c r="C133" s="9"/>
      <c r="D133" s="9"/>
      <c r="E133" s="64"/>
      <c r="F133" s="9"/>
      <c r="G133" s="9"/>
      <c r="H133" s="9"/>
      <c r="I133" s="9"/>
    </row>
    <row r="134" spans="1:9" x14ac:dyDescent="0.2">
      <c r="A134" s="9"/>
      <c r="B134" s="9"/>
      <c r="C134" s="9"/>
      <c r="D134" s="9"/>
      <c r="E134" s="64"/>
      <c r="F134" s="9"/>
      <c r="G134" s="9"/>
      <c r="H134" s="9"/>
      <c r="I134" s="9"/>
    </row>
    <row r="135" spans="1:9" x14ac:dyDescent="0.2">
      <c r="A135" s="9"/>
      <c r="B135" s="9"/>
      <c r="C135" s="9"/>
      <c r="D135" s="9"/>
      <c r="E135" s="64"/>
      <c r="F135" s="9"/>
      <c r="G135" s="9"/>
      <c r="H135" s="9"/>
      <c r="I135" s="9"/>
    </row>
    <row r="136" spans="1:9" x14ac:dyDescent="0.2">
      <c r="A136" s="9"/>
      <c r="B136" s="9"/>
      <c r="C136" s="9"/>
      <c r="D136" s="9"/>
      <c r="E136" s="64"/>
      <c r="F136" s="9"/>
      <c r="G136" s="9"/>
      <c r="H136" s="9"/>
      <c r="I136" s="9"/>
    </row>
  </sheetData>
  <mergeCells count="4">
    <mergeCell ref="A1:I1"/>
    <mergeCell ref="A3:A4"/>
    <mergeCell ref="C3:I3"/>
    <mergeCell ref="B3:B4"/>
  </mergeCells>
  <conditionalFormatting sqref="K5:R31">
    <cfRule type="cellIs" dxfId="2" priority="1" operator="notEqual">
      <formula>B5</formula>
    </cfRule>
  </conditionalFormatting>
  <printOptions horizontalCentered="1"/>
  <pageMargins left="0.19685039370078741" right="0.19685039370078741" top="0.70866141732283472" bottom="0.19685039370078741" header="0.31496062992125984" footer="0.51181102362204722"/>
  <pageSetup paperSize="9" firstPageNumber="34" orientation="landscape" useFirstPageNumber="1" r:id="rId1"/>
  <headerFooter alignWithMargins="0">
    <oddHeader>&amp;C&amp;"Arial,обычный"&amp;10 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F103"/>
  <sheetViews>
    <sheetView zoomScaleNormal="100" workbookViewId="0">
      <selection activeCell="B3" sqref="B3:B4"/>
    </sheetView>
  </sheetViews>
  <sheetFormatPr defaultRowHeight="15" x14ac:dyDescent="0.25"/>
  <cols>
    <col min="1" max="1" width="44.28515625" customWidth="1"/>
    <col min="2" max="5" width="14.5703125" customWidth="1"/>
    <col min="7" max="10" width="12" customWidth="1"/>
  </cols>
  <sheetData>
    <row r="1" spans="1:5" x14ac:dyDescent="0.25">
      <c r="A1" s="533" t="s">
        <v>268</v>
      </c>
      <c r="B1" s="534"/>
      <c r="C1" s="534"/>
      <c r="D1" s="534"/>
      <c r="E1" s="534"/>
    </row>
    <row r="2" spans="1:5" x14ac:dyDescent="0.25">
      <c r="A2" s="533"/>
      <c r="B2" s="534"/>
      <c r="C2" s="534"/>
      <c r="D2" s="534"/>
      <c r="E2" s="534"/>
    </row>
    <row r="3" spans="1:5" ht="21.75" customHeight="1" x14ac:dyDescent="0.25">
      <c r="A3" s="538"/>
      <c r="B3" s="547" t="s">
        <v>343</v>
      </c>
      <c r="C3" s="547" t="s">
        <v>330</v>
      </c>
      <c r="D3" s="547" t="s">
        <v>176</v>
      </c>
      <c r="E3" s="547"/>
    </row>
    <row r="4" spans="1:5" ht="21.75" customHeight="1" x14ac:dyDescent="0.25">
      <c r="A4" s="539"/>
      <c r="B4" s="547"/>
      <c r="C4" s="547"/>
      <c r="D4" s="238" t="s">
        <v>343</v>
      </c>
      <c r="E4" s="414" t="s">
        <v>330</v>
      </c>
    </row>
    <row r="5" spans="1:5" ht="14.1" customHeight="1" x14ac:dyDescent="0.25">
      <c r="A5" s="200" t="s">
        <v>13</v>
      </c>
      <c r="B5" s="78">
        <v>134</v>
      </c>
      <c r="C5" s="78">
        <v>146</v>
      </c>
      <c r="D5" s="79">
        <v>9</v>
      </c>
      <c r="E5" s="79">
        <v>9.1</v>
      </c>
    </row>
    <row r="6" spans="1:5" ht="14.1" customHeight="1" x14ac:dyDescent="0.25">
      <c r="A6" s="201" t="s">
        <v>14</v>
      </c>
      <c r="B6" s="78">
        <v>37</v>
      </c>
      <c r="C6" s="78">
        <v>37</v>
      </c>
      <c r="D6" s="79">
        <v>10.1</v>
      </c>
      <c r="E6" s="79">
        <v>9.5</v>
      </c>
    </row>
    <row r="7" spans="1:5" ht="14.1" customHeight="1" x14ac:dyDescent="0.25">
      <c r="A7" s="202" t="s">
        <v>15</v>
      </c>
      <c r="B7" s="80">
        <v>0</v>
      </c>
      <c r="C7" s="80">
        <v>1</v>
      </c>
      <c r="D7" s="81">
        <v>0</v>
      </c>
      <c r="E7" s="81">
        <v>7</v>
      </c>
    </row>
    <row r="8" spans="1:5" ht="14.1" customHeight="1" x14ac:dyDescent="0.25">
      <c r="A8" s="202" t="s">
        <v>16</v>
      </c>
      <c r="B8" s="80">
        <v>1</v>
      </c>
      <c r="C8" s="80">
        <v>3</v>
      </c>
      <c r="D8" s="81">
        <v>10</v>
      </c>
      <c r="E8" s="81">
        <v>27</v>
      </c>
    </row>
    <row r="9" spans="1:5" ht="14.1" customHeight="1" x14ac:dyDescent="0.25">
      <c r="A9" s="202" t="s">
        <v>17</v>
      </c>
      <c r="B9" s="80">
        <v>2</v>
      </c>
      <c r="C9" s="80">
        <v>0</v>
      </c>
      <c r="D9" s="81">
        <v>18</v>
      </c>
      <c r="E9" s="81">
        <v>0</v>
      </c>
    </row>
    <row r="10" spans="1:5" ht="14.1" customHeight="1" x14ac:dyDescent="0.25">
      <c r="A10" s="202" t="s">
        <v>18</v>
      </c>
      <c r="B10" s="80">
        <v>0</v>
      </c>
      <c r="C10" s="80">
        <v>1</v>
      </c>
      <c r="D10" s="81">
        <v>0</v>
      </c>
      <c r="E10" s="81">
        <v>4.7</v>
      </c>
    </row>
    <row r="11" spans="1:5" ht="14.1" customHeight="1" x14ac:dyDescent="0.25">
      <c r="A11" s="202" t="s">
        <v>19</v>
      </c>
      <c r="B11" s="80">
        <v>1</v>
      </c>
      <c r="C11" s="80">
        <v>0</v>
      </c>
      <c r="D11" s="81">
        <v>12.6</v>
      </c>
      <c r="E11" s="81">
        <v>0</v>
      </c>
    </row>
    <row r="12" spans="1:5" ht="14.1" customHeight="1" x14ac:dyDescent="0.25">
      <c r="A12" s="202" t="s">
        <v>20</v>
      </c>
      <c r="B12" s="80">
        <v>0</v>
      </c>
      <c r="C12" s="80">
        <v>0</v>
      </c>
      <c r="D12" s="81">
        <v>0</v>
      </c>
      <c r="E12" s="81">
        <v>0</v>
      </c>
    </row>
    <row r="13" spans="1:5" ht="14.1" customHeight="1" x14ac:dyDescent="0.25">
      <c r="A13" s="203" t="s">
        <v>21</v>
      </c>
      <c r="B13" s="80">
        <v>2</v>
      </c>
      <c r="C13" s="80">
        <v>3</v>
      </c>
      <c r="D13" s="81">
        <v>34.700000000000003</v>
      </c>
      <c r="E13" s="81">
        <v>48.1</v>
      </c>
    </row>
    <row r="14" spans="1:5" ht="14.1" customHeight="1" x14ac:dyDescent="0.25">
      <c r="A14" s="202" t="s">
        <v>22</v>
      </c>
      <c r="B14" s="80">
        <v>2</v>
      </c>
      <c r="C14" s="80">
        <v>0</v>
      </c>
      <c r="D14" s="81">
        <v>21.6</v>
      </c>
      <c r="E14" s="81">
        <v>0</v>
      </c>
    </row>
    <row r="15" spans="1:5" ht="14.1" customHeight="1" x14ac:dyDescent="0.25">
      <c r="A15" s="202" t="s">
        <v>23</v>
      </c>
      <c r="B15" s="80">
        <v>0</v>
      </c>
      <c r="C15" s="80">
        <v>0</v>
      </c>
      <c r="D15" s="81">
        <v>0</v>
      </c>
      <c r="E15" s="81">
        <v>0</v>
      </c>
    </row>
    <row r="16" spans="1:5" ht="14.1" customHeight="1" x14ac:dyDescent="0.25">
      <c r="A16" s="202" t="s">
        <v>24</v>
      </c>
      <c r="B16" s="80">
        <v>5</v>
      </c>
      <c r="C16" s="80">
        <v>3</v>
      </c>
      <c r="D16" s="81">
        <v>6.9</v>
      </c>
      <c r="E16" s="81">
        <v>3.6</v>
      </c>
    </row>
    <row r="17" spans="1:5" ht="14.1" customHeight="1" x14ac:dyDescent="0.25">
      <c r="A17" s="202" t="s">
        <v>25</v>
      </c>
      <c r="B17" s="80">
        <v>1</v>
      </c>
      <c r="C17" s="80">
        <v>2</v>
      </c>
      <c r="D17" s="81">
        <v>16.8</v>
      </c>
      <c r="E17" s="81">
        <v>29.8</v>
      </c>
    </row>
    <row r="18" spans="1:5" ht="14.1" customHeight="1" x14ac:dyDescent="0.25">
      <c r="A18" s="203" t="s">
        <v>26</v>
      </c>
      <c r="B18" s="80">
        <v>0</v>
      </c>
      <c r="C18" s="80">
        <v>0</v>
      </c>
      <c r="D18" s="81">
        <v>0</v>
      </c>
      <c r="E18" s="81">
        <v>0</v>
      </c>
    </row>
    <row r="19" spans="1:5" ht="14.1" customHeight="1" x14ac:dyDescent="0.25">
      <c r="A19" s="202" t="s">
        <v>27</v>
      </c>
      <c r="B19" s="80">
        <v>2</v>
      </c>
      <c r="C19" s="80">
        <v>1</v>
      </c>
      <c r="D19" s="81">
        <v>28.3</v>
      </c>
      <c r="E19" s="81">
        <v>12.8</v>
      </c>
    </row>
    <row r="20" spans="1:5" ht="14.1" customHeight="1" x14ac:dyDescent="0.25">
      <c r="A20" s="202" t="s">
        <v>28</v>
      </c>
      <c r="B20" s="80">
        <v>0</v>
      </c>
      <c r="C20" s="80">
        <v>1</v>
      </c>
      <c r="D20" s="81">
        <v>0</v>
      </c>
      <c r="E20" s="81">
        <v>12.1</v>
      </c>
    </row>
    <row r="21" spans="1:5" ht="14.1" customHeight="1" x14ac:dyDescent="0.25">
      <c r="A21" s="202" t="s">
        <v>29</v>
      </c>
      <c r="B21" s="80">
        <v>2</v>
      </c>
      <c r="C21" s="80">
        <v>1</v>
      </c>
      <c r="D21" s="81">
        <v>18.7</v>
      </c>
      <c r="E21" s="81">
        <v>8.6</v>
      </c>
    </row>
    <row r="22" spans="1:5" ht="14.1" customHeight="1" x14ac:dyDescent="0.25">
      <c r="A22" s="202" t="s">
        <v>30</v>
      </c>
      <c r="B22" s="80">
        <v>5</v>
      </c>
      <c r="C22" s="80">
        <v>1</v>
      </c>
      <c r="D22" s="81">
        <v>44.5</v>
      </c>
      <c r="E22" s="81">
        <v>8.1</v>
      </c>
    </row>
    <row r="23" spans="1:5" ht="14.1" customHeight="1" x14ac:dyDescent="0.25">
      <c r="A23" s="202" t="s">
        <v>31</v>
      </c>
      <c r="B23" s="80">
        <v>1</v>
      </c>
      <c r="C23" s="80">
        <v>2</v>
      </c>
      <c r="D23" s="81">
        <v>8.9</v>
      </c>
      <c r="E23" s="81">
        <v>16.100000000000001</v>
      </c>
    </row>
    <row r="24" spans="1:5" ht="14.1" customHeight="1" x14ac:dyDescent="0.25">
      <c r="A24" s="202" t="s">
        <v>32</v>
      </c>
      <c r="B24" s="80">
        <v>13</v>
      </c>
      <c r="C24" s="80">
        <v>18</v>
      </c>
      <c r="D24" s="81">
        <v>9.6</v>
      </c>
      <c r="E24" s="81">
        <v>13.6</v>
      </c>
    </row>
    <row r="25" spans="1:5" ht="14.1" customHeight="1" x14ac:dyDescent="0.25">
      <c r="A25" s="204" t="s">
        <v>33</v>
      </c>
      <c r="B25" s="78">
        <v>16</v>
      </c>
      <c r="C25" s="78">
        <v>14</v>
      </c>
      <c r="D25" s="79">
        <v>12</v>
      </c>
      <c r="E25" s="79">
        <v>9.6</v>
      </c>
    </row>
    <row r="26" spans="1:5" ht="14.1" customHeight="1" x14ac:dyDescent="0.25">
      <c r="A26" s="202" t="s">
        <v>34</v>
      </c>
      <c r="B26" s="80">
        <v>0</v>
      </c>
      <c r="C26" s="80">
        <v>2</v>
      </c>
      <c r="D26" s="81">
        <v>0</v>
      </c>
      <c r="E26" s="81">
        <v>33.1</v>
      </c>
    </row>
    <row r="27" spans="1:5" ht="14.1" customHeight="1" x14ac:dyDescent="0.25">
      <c r="A27" s="202" t="s">
        <v>35</v>
      </c>
      <c r="B27" s="80">
        <v>1</v>
      </c>
      <c r="C27" s="80">
        <v>0</v>
      </c>
      <c r="D27" s="81">
        <v>12.6</v>
      </c>
      <c r="E27" s="81">
        <v>0</v>
      </c>
    </row>
    <row r="28" spans="1:5" ht="14.1" customHeight="1" x14ac:dyDescent="0.25">
      <c r="A28" s="202" t="s">
        <v>36</v>
      </c>
      <c r="B28" s="80">
        <v>0</v>
      </c>
      <c r="C28" s="80">
        <v>0</v>
      </c>
      <c r="D28" s="81">
        <v>0</v>
      </c>
      <c r="E28" s="81">
        <v>0</v>
      </c>
    </row>
    <row r="29" spans="1:5" ht="14.1" customHeight="1" x14ac:dyDescent="0.25">
      <c r="A29" s="202" t="s">
        <v>37</v>
      </c>
      <c r="B29" s="80">
        <v>0</v>
      </c>
      <c r="C29" s="80">
        <v>0</v>
      </c>
      <c r="D29" s="81">
        <v>0</v>
      </c>
      <c r="E29" s="81">
        <v>0</v>
      </c>
    </row>
    <row r="30" spans="1:5" ht="14.1" customHeight="1" x14ac:dyDescent="0.25">
      <c r="A30" s="205" t="s">
        <v>287</v>
      </c>
      <c r="B30" s="80">
        <v>0</v>
      </c>
      <c r="C30" s="80">
        <v>0</v>
      </c>
      <c r="D30" s="81">
        <v>0</v>
      </c>
      <c r="E30" s="81">
        <v>0</v>
      </c>
    </row>
    <row r="31" spans="1:5" ht="14.1" customHeight="1" x14ac:dyDescent="0.25">
      <c r="A31" s="202" t="s">
        <v>38</v>
      </c>
      <c r="B31" s="80">
        <v>0</v>
      </c>
      <c r="C31" s="80">
        <v>1</v>
      </c>
      <c r="D31" s="81">
        <v>0</v>
      </c>
      <c r="E31" s="81">
        <v>8.1</v>
      </c>
    </row>
    <row r="32" spans="1:5" ht="14.1" customHeight="1" x14ac:dyDescent="0.25">
      <c r="A32" s="202" t="s">
        <v>39</v>
      </c>
      <c r="B32" s="80">
        <v>2</v>
      </c>
      <c r="C32" s="80">
        <v>0</v>
      </c>
      <c r="D32" s="81">
        <v>21.5</v>
      </c>
      <c r="E32" s="81">
        <v>0</v>
      </c>
    </row>
    <row r="33" spans="1:6" ht="14.1" customHeight="1" x14ac:dyDescent="0.25">
      <c r="A33" s="202" t="s">
        <v>40</v>
      </c>
      <c r="B33" s="80">
        <v>2</v>
      </c>
      <c r="C33" s="80">
        <v>2</v>
      </c>
      <c r="D33" s="81">
        <v>14.8</v>
      </c>
      <c r="E33" s="81">
        <v>14.3</v>
      </c>
    </row>
    <row r="34" spans="1:6" ht="14.1" customHeight="1" x14ac:dyDescent="0.25">
      <c r="A34" s="202" t="s">
        <v>41</v>
      </c>
      <c r="B34" s="80">
        <v>0</v>
      </c>
      <c r="C34" s="80">
        <v>1</v>
      </c>
      <c r="D34" s="81">
        <v>0</v>
      </c>
      <c r="E34" s="81">
        <v>13.6</v>
      </c>
    </row>
    <row r="35" spans="1:6" ht="14.1" customHeight="1" x14ac:dyDescent="0.25">
      <c r="A35" s="202" t="s">
        <v>42</v>
      </c>
      <c r="B35" s="80">
        <v>0</v>
      </c>
      <c r="C35" s="80">
        <v>1</v>
      </c>
      <c r="D35" s="81">
        <v>0</v>
      </c>
      <c r="E35" s="81">
        <v>17.100000000000001</v>
      </c>
    </row>
    <row r="36" spans="1:6" ht="14.1" customHeight="1" x14ac:dyDescent="0.25">
      <c r="A36" s="202" t="s">
        <v>43</v>
      </c>
      <c r="B36" s="80">
        <v>3</v>
      </c>
      <c r="C36" s="80">
        <v>1</v>
      </c>
      <c r="D36" s="81">
        <v>56.6</v>
      </c>
      <c r="E36" s="81">
        <v>17.100000000000001</v>
      </c>
    </row>
    <row r="37" spans="1:6" ht="14.1" customHeight="1" x14ac:dyDescent="0.25">
      <c r="A37" s="202" t="s">
        <v>44</v>
      </c>
      <c r="B37" s="80">
        <v>8</v>
      </c>
      <c r="C37" s="80">
        <v>6</v>
      </c>
      <c r="D37" s="81">
        <v>13.6</v>
      </c>
      <c r="E37" s="81">
        <v>9.4</v>
      </c>
    </row>
    <row r="38" spans="1:6" ht="14.1" customHeight="1" x14ac:dyDescent="0.25">
      <c r="A38" s="206" t="s">
        <v>45</v>
      </c>
      <c r="B38" s="332">
        <v>14</v>
      </c>
      <c r="C38" s="332">
        <v>11</v>
      </c>
      <c r="D38" s="334">
        <v>8.6999999999999993</v>
      </c>
      <c r="E38" s="334">
        <v>6.3</v>
      </c>
      <c r="F38" s="333"/>
    </row>
    <row r="39" spans="1:6" ht="14.1" customHeight="1" x14ac:dyDescent="0.25">
      <c r="A39" s="202" t="s">
        <v>46</v>
      </c>
      <c r="B39" s="80">
        <v>0</v>
      </c>
      <c r="C39" s="80">
        <v>0</v>
      </c>
      <c r="D39" s="81">
        <v>0</v>
      </c>
      <c r="E39" s="81">
        <v>0</v>
      </c>
    </row>
    <row r="40" spans="1:6" ht="14.1" customHeight="1" x14ac:dyDescent="0.25">
      <c r="A40" s="202" t="s">
        <v>47</v>
      </c>
      <c r="B40" s="80">
        <v>0</v>
      </c>
      <c r="C40" s="80">
        <v>1</v>
      </c>
      <c r="D40" s="81">
        <v>0</v>
      </c>
      <c r="E40" s="81">
        <v>32.700000000000003</v>
      </c>
    </row>
    <row r="41" spans="1:6" ht="14.1" customHeight="1" x14ac:dyDescent="0.25">
      <c r="A41" s="202" t="s">
        <v>202</v>
      </c>
      <c r="B41" s="80">
        <v>2</v>
      </c>
      <c r="C41" s="80">
        <v>2</v>
      </c>
      <c r="D41" s="81">
        <v>10.5</v>
      </c>
      <c r="E41" s="81">
        <v>9.8000000000000007</v>
      </c>
    </row>
    <row r="42" spans="1:6" ht="14.1" customHeight="1" x14ac:dyDescent="0.25">
      <c r="A42" s="202" t="s">
        <v>48</v>
      </c>
      <c r="B42" s="80">
        <v>2</v>
      </c>
      <c r="C42" s="80">
        <v>2</v>
      </c>
      <c r="D42" s="81">
        <v>3.3</v>
      </c>
      <c r="E42" s="81">
        <v>3.1</v>
      </c>
    </row>
    <row r="43" spans="1:6" ht="14.1" customHeight="1" x14ac:dyDescent="0.25">
      <c r="A43" s="202" t="s">
        <v>49</v>
      </c>
      <c r="B43" s="80">
        <v>1</v>
      </c>
      <c r="C43" s="80">
        <v>0</v>
      </c>
      <c r="D43" s="81">
        <v>9.1</v>
      </c>
      <c r="E43" s="81">
        <v>0</v>
      </c>
    </row>
    <row r="44" spans="1:6" ht="14.1" customHeight="1" x14ac:dyDescent="0.25">
      <c r="A44" s="202" t="s">
        <v>50</v>
      </c>
      <c r="B44" s="80">
        <v>4</v>
      </c>
      <c r="C44" s="80">
        <v>2</v>
      </c>
      <c r="D44" s="81">
        <v>19.100000000000001</v>
      </c>
      <c r="E44" s="81">
        <v>8.5</v>
      </c>
    </row>
    <row r="45" spans="1:6" ht="14.1" customHeight="1" x14ac:dyDescent="0.25">
      <c r="A45" s="202" t="s">
        <v>51</v>
      </c>
      <c r="B45" s="80">
        <v>5</v>
      </c>
      <c r="C45" s="80">
        <v>3</v>
      </c>
      <c r="D45" s="81">
        <v>13.3</v>
      </c>
      <c r="E45" s="81">
        <v>7.3</v>
      </c>
    </row>
    <row r="46" spans="1:6" ht="14.1" customHeight="1" x14ac:dyDescent="0.25">
      <c r="A46" s="202" t="s">
        <v>204</v>
      </c>
      <c r="B46" s="80">
        <v>0</v>
      </c>
      <c r="C46" s="80">
        <v>1</v>
      </c>
      <c r="D46" s="81">
        <v>0</v>
      </c>
      <c r="E46" s="81">
        <v>22.4</v>
      </c>
    </row>
    <row r="47" spans="1:6" ht="14.1" customHeight="1" x14ac:dyDescent="0.25">
      <c r="A47" s="207" t="s">
        <v>52</v>
      </c>
      <c r="B47" s="78">
        <v>12</v>
      </c>
      <c r="C47" s="78">
        <v>10</v>
      </c>
      <c r="D47" s="79">
        <v>8.9</v>
      </c>
      <c r="E47" s="79">
        <v>7.1</v>
      </c>
    </row>
    <row r="48" spans="1:6" ht="14.1" customHeight="1" x14ac:dyDescent="0.25">
      <c r="A48" s="202" t="s">
        <v>53</v>
      </c>
      <c r="B48" s="80">
        <v>6</v>
      </c>
      <c r="C48" s="80">
        <v>7</v>
      </c>
      <c r="D48" s="81">
        <v>13.1</v>
      </c>
      <c r="E48" s="81">
        <v>14.6</v>
      </c>
    </row>
    <row r="49" spans="1:5" ht="14.1" customHeight="1" x14ac:dyDescent="0.25">
      <c r="A49" s="202" t="s">
        <v>54</v>
      </c>
      <c r="B49" s="80">
        <v>0</v>
      </c>
      <c r="C49" s="80">
        <v>0</v>
      </c>
      <c r="D49" s="81">
        <v>0</v>
      </c>
      <c r="E49" s="81">
        <v>0</v>
      </c>
    </row>
    <row r="50" spans="1:5" ht="14.1" customHeight="1" x14ac:dyDescent="0.25">
      <c r="A50" s="202" t="s">
        <v>55</v>
      </c>
      <c r="B50" s="80">
        <v>0</v>
      </c>
      <c r="C50" s="80">
        <v>1</v>
      </c>
      <c r="D50" s="81">
        <v>0</v>
      </c>
      <c r="E50" s="81">
        <v>9.1999999999999993</v>
      </c>
    </row>
    <row r="51" spans="1:5" ht="14.1" customHeight="1" x14ac:dyDescent="0.25">
      <c r="A51" s="202" t="s">
        <v>56</v>
      </c>
      <c r="B51" s="80">
        <v>0</v>
      </c>
      <c r="C51" s="80">
        <v>0</v>
      </c>
      <c r="D51" s="81">
        <v>0</v>
      </c>
      <c r="E51" s="81">
        <v>0</v>
      </c>
    </row>
    <row r="52" spans="1:5" ht="14.1" customHeight="1" x14ac:dyDescent="0.25">
      <c r="A52" s="202" t="s">
        <v>57</v>
      </c>
      <c r="B52" s="80">
        <v>2</v>
      </c>
      <c r="C52" s="80">
        <v>0</v>
      </c>
      <c r="D52" s="81">
        <v>23.3</v>
      </c>
      <c r="E52" s="81">
        <v>0</v>
      </c>
    </row>
    <row r="53" spans="1:5" ht="14.1" customHeight="1" x14ac:dyDescent="0.25">
      <c r="A53" s="202" t="s">
        <v>58</v>
      </c>
      <c r="B53" s="80">
        <v>1</v>
      </c>
      <c r="C53" s="80">
        <v>1</v>
      </c>
      <c r="D53" s="81">
        <v>3.4</v>
      </c>
      <c r="E53" s="81">
        <v>3.3</v>
      </c>
    </row>
    <row r="54" spans="1:5" ht="14.1" customHeight="1" x14ac:dyDescent="0.25">
      <c r="A54" s="202" t="s">
        <v>59</v>
      </c>
      <c r="B54" s="80">
        <v>3</v>
      </c>
      <c r="C54" s="80">
        <v>1</v>
      </c>
      <c r="D54" s="81">
        <v>10.7</v>
      </c>
      <c r="E54" s="81">
        <v>3.3</v>
      </c>
    </row>
    <row r="55" spans="1:5" ht="14.1" customHeight="1" x14ac:dyDescent="0.25">
      <c r="A55" s="201" t="s">
        <v>60</v>
      </c>
      <c r="B55" s="78">
        <v>16</v>
      </c>
      <c r="C55" s="78">
        <v>28</v>
      </c>
      <c r="D55" s="79">
        <v>5.7</v>
      </c>
      <c r="E55" s="79">
        <v>9</v>
      </c>
    </row>
    <row r="56" spans="1:5" ht="14.1" customHeight="1" x14ac:dyDescent="0.25">
      <c r="A56" s="202" t="s">
        <v>61</v>
      </c>
      <c r="B56" s="80">
        <v>3</v>
      </c>
      <c r="C56" s="80">
        <v>4</v>
      </c>
      <c r="D56" s="81">
        <v>7.2</v>
      </c>
      <c r="E56" s="81">
        <v>8.5</v>
      </c>
    </row>
    <row r="57" spans="1:5" ht="14.1" customHeight="1" x14ac:dyDescent="0.25">
      <c r="A57" s="202" t="s">
        <v>62</v>
      </c>
      <c r="B57" s="80">
        <v>0</v>
      </c>
      <c r="C57" s="80">
        <v>2</v>
      </c>
      <c r="D57" s="81">
        <v>0</v>
      </c>
      <c r="E57" s="81">
        <v>27.1</v>
      </c>
    </row>
    <row r="58" spans="1:5" ht="14.1" customHeight="1" x14ac:dyDescent="0.25">
      <c r="A58" s="202" t="s">
        <v>63</v>
      </c>
      <c r="B58" s="80">
        <v>0</v>
      </c>
      <c r="C58" s="80">
        <v>1</v>
      </c>
      <c r="D58" s="81">
        <v>0</v>
      </c>
      <c r="E58" s="81">
        <v>15</v>
      </c>
    </row>
    <row r="59" spans="1:5" ht="14.1" customHeight="1" x14ac:dyDescent="0.25">
      <c r="A59" s="202" t="s">
        <v>64</v>
      </c>
      <c r="B59" s="80">
        <v>2</v>
      </c>
      <c r="C59" s="80">
        <v>5</v>
      </c>
      <c r="D59" s="81">
        <v>4.7</v>
      </c>
      <c r="E59" s="81">
        <v>10.8</v>
      </c>
    </row>
    <row r="60" spans="1:5" ht="14.1" customHeight="1" x14ac:dyDescent="0.25">
      <c r="A60" s="202" t="s">
        <v>65</v>
      </c>
      <c r="B60" s="80">
        <v>3</v>
      </c>
      <c r="C60" s="80">
        <v>3</v>
      </c>
      <c r="D60" s="81">
        <v>20.6</v>
      </c>
      <c r="E60" s="81">
        <v>18.3</v>
      </c>
    </row>
    <row r="61" spans="1:5" ht="14.1" customHeight="1" x14ac:dyDescent="0.25">
      <c r="A61" s="202" t="s">
        <v>66</v>
      </c>
      <c r="B61" s="80">
        <v>1</v>
      </c>
      <c r="C61" s="80">
        <v>0</v>
      </c>
      <c r="D61" s="81">
        <v>8.6</v>
      </c>
      <c r="E61" s="81">
        <v>0</v>
      </c>
    </row>
    <row r="62" spans="1:5" ht="14.1" customHeight="1" x14ac:dyDescent="0.25">
      <c r="A62" s="202" t="s">
        <v>67</v>
      </c>
      <c r="B62" s="80">
        <v>3</v>
      </c>
      <c r="C62" s="80">
        <v>2</v>
      </c>
      <c r="D62" s="81">
        <v>11.3</v>
      </c>
      <c r="E62" s="81">
        <v>6.8</v>
      </c>
    </row>
    <row r="63" spans="1:5" ht="14.1" customHeight="1" x14ac:dyDescent="0.25">
      <c r="A63" s="202" t="s">
        <v>68</v>
      </c>
      <c r="B63" s="80">
        <v>1</v>
      </c>
      <c r="C63" s="80">
        <v>1</v>
      </c>
      <c r="D63" s="81">
        <v>8.9</v>
      </c>
      <c r="E63" s="81">
        <v>7.9</v>
      </c>
    </row>
    <row r="64" spans="1:5" ht="14.1" customHeight="1" x14ac:dyDescent="0.25">
      <c r="A64" s="202" t="s">
        <v>69</v>
      </c>
      <c r="B64" s="80">
        <v>1</v>
      </c>
      <c r="C64" s="80">
        <v>4</v>
      </c>
      <c r="D64" s="81">
        <v>3.5</v>
      </c>
      <c r="E64" s="81">
        <v>12.5</v>
      </c>
    </row>
    <row r="65" spans="1:5" ht="14.1" customHeight="1" x14ac:dyDescent="0.25">
      <c r="A65" s="202" t="s">
        <v>70</v>
      </c>
      <c r="B65" s="80">
        <v>0</v>
      </c>
      <c r="C65" s="80">
        <v>1</v>
      </c>
      <c r="D65" s="81">
        <v>0</v>
      </c>
      <c r="E65" s="81">
        <v>4.5999999999999996</v>
      </c>
    </row>
    <row r="66" spans="1:5" ht="14.1" customHeight="1" x14ac:dyDescent="0.25">
      <c r="A66" s="202" t="s">
        <v>71</v>
      </c>
      <c r="B66" s="80">
        <v>0</v>
      </c>
      <c r="C66" s="80">
        <v>0</v>
      </c>
      <c r="D66" s="81">
        <v>0</v>
      </c>
      <c r="E66" s="81">
        <v>0</v>
      </c>
    </row>
    <row r="67" spans="1:5" ht="14.1" customHeight="1" x14ac:dyDescent="0.25">
      <c r="A67" s="202" t="s">
        <v>72</v>
      </c>
      <c r="B67" s="80">
        <v>0</v>
      </c>
      <c r="C67" s="80">
        <v>1</v>
      </c>
      <c r="D67" s="81">
        <v>0</v>
      </c>
      <c r="E67" s="81">
        <v>3</v>
      </c>
    </row>
    <row r="68" spans="1:5" ht="14.1" customHeight="1" x14ac:dyDescent="0.25">
      <c r="A68" s="203" t="s">
        <v>73</v>
      </c>
      <c r="B68" s="80">
        <v>1</v>
      </c>
      <c r="C68" s="80">
        <v>1</v>
      </c>
      <c r="D68" s="81">
        <v>5</v>
      </c>
      <c r="E68" s="81">
        <v>4.5</v>
      </c>
    </row>
    <row r="69" spans="1:5" ht="14.1" customHeight="1" x14ac:dyDescent="0.25">
      <c r="A69" s="202" t="s">
        <v>74</v>
      </c>
      <c r="B69" s="80">
        <v>1</v>
      </c>
      <c r="C69" s="80">
        <v>3</v>
      </c>
      <c r="D69" s="81">
        <v>9.1999999999999993</v>
      </c>
      <c r="E69" s="81">
        <v>25</v>
      </c>
    </row>
    <row r="70" spans="1:5" ht="14.1" customHeight="1" x14ac:dyDescent="0.25">
      <c r="A70" s="206" t="s">
        <v>75</v>
      </c>
      <c r="B70" s="78">
        <v>9</v>
      </c>
      <c r="C70" s="78">
        <v>10</v>
      </c>
      <c r="D70" s="79">
        <v>6.7</v>
      </c>
      <c r="E70" s="79">
        <v>6.8</v>
      </c>
    </row>
    <row r="71" spans="1:5" ht="14.1" customHeight="1" x14ac:dyDescent="0.25">
      <c r="A71" s="202" t="s">
        <v>76</v>
      </c>
      <c r="B71" s="80">
        <v>2</v>
      </c>
      <c r="C71" s="80">
        <v>2</v>
      </c>
      <c r="D71" s="81">
        <v>26.2</v>
      </c>
      <c r="E71" s="81">
        <v>23.1</v>
      </c>
    </row>
    <row r="72" spans="1:5" ht="14.1" customHeight="1" x14ac:dyDescent="0.25">
      <c r="A72" s="202" t="s">
        <v>77</v>
      </c>
      <c r="B72" s="80">
        <v>4</v>
      </c>
      <c r="C72" s="80">
        <v>5</v>
      </c>
      <c r="D72" s="81">
        <v>8.6999999999999993</v>
      </c>
      <c r="E72" s="81">
        <v>9.9</v>
      </c>
    </row>
    <row r="73" spans="1:5" ht="14.1" customHeight="1" x14ac:dyDescent="0.25">
      <c r="A73" s="202" t="s">
        <v>78</v>
      </c>
      <c r="B73" s="80">
        <v>1</v>
      </c>
      <c r="C73" s="80">
        <v>1</v>
      </c>
      <c r="D73" s="81">
        <v>2.1</v>
      </c>
      <c r="E73" s="81">
        <v>2</v>
      </c>
    </row>
    <row r="74" spans="1:5" ht="14.1" customHeight="1" x14ac:dyDescent="0.25">
      <c r="A74" s="202" t="s">
        <v>79</v>
      </c>
      <c r="B74" s="80">
        <v>1</v>
      </c>
      <c r="C74" s="80">
        <v>1</v>
      </c>
      <c r="D74" s="81">
        <v>4.8</v>
      </c>
      <c r="E74" s="81">
        <v>4.4000000000000004</v>
      </c>
    </row>
    <row r="75" spans="1:5" ht="14.1" customHeight="1" x14ac:dyDescent="0.25">
      <c r="A75" s="202" t="s">
        <v>80</v>
      </c>
      <c r="B75" s="80">
        <v>0</v>
      </c>
      <c r="C75" s="80">
        <v>0</v>
      </c>
      <c r="D75" s="81">
        <v>0</v>
      </c>
      <c r="E75" s="81">
        <v>0</v>
      </c>
    </row>
    <row r="76" spans="1:5" ht="14.1" customHeight="1" x14ac:dyDescent="0.25">
      <c r="A76" s="205" t="s">
        <v>288</v>
      </c>
      <c r="B76" s="80">
        <v>0</v>
      </c>
      <c r="C76" s="80">
        <v>0</v>
      </c>
      <c r="D76" s="81">
        <v>0</v>
      </c>
      <c r="E76" s="81">
        <v>0</v>
      </c>
    </row>
    <row r="77" spans="1:5" ht="14.1" customHeight="1" x14ac:dyDescent="0.25">
      <c r="A77" s="202" t="s">
        <v>81</v>
      </c>
      <c r="B77" s="80">
        <v>2</v>
      </c>
      <c r="C77" s="80">
        <v>2</v>
      </c>
      <c r="D77" s="81">
        <v>5.8</v>
      </c>
      <c r="E77" s="81">
        <v>5.3</v>
      </c>
    </row>
    <row r="78" spans="1:5" ht="14.1" customHeight="1" x14ac:dyDescent="0.25">
      <c r="A78" s="201" t="s">
        <v>82</v>
      </c>
      <c r="B78" s="78">
        <v>14</v>
      </c>
      <c r="C78" s="78">
        <v>24</v>
      </c>
      <c r="D78" s="79">
        <v>7.9</v>
      </c>
      <c r="E78" s="79">
        <v>12.2</v>
      </c>
    </row>
    <row r="79" spans="1:5" ht="14.1" customHeight="1" x14ac:dyDescent="0.25">
      <c r="A79" s="202" t="s">
        <v>83</v>
      </c>
      <c r="B79" s="80">
        <v>0</v>
      </c>
      <c r="C79" s="80">
        <v>2</v>
      </c>
      <c r="D79" s="81">
        <v>0</v>
      </c>
      <c r="E79" s="81">
        <v>59.8</v>
      </c>
    </row>
    <row r="80" spans="1:5" ht="14.1" customHeight="1" x14ac:dyDescent="0.25">
      <c r="A80" s="202" t="s">
        <v>85</v>
      </c>
      <c r="B80" s="80">
        <v>1</v>
      </c>
      <c r="C80" s="80">
        <v>2</v>
      </c>
      <c r="D80" s="81">
        <v>16.5</v>
      </c>
      <c r="E80" s="81">
        <v>30.6</v>
      </c>
    </row>
    <row r="81" spans="1:5" ht="14.1" customHeight="1" x14ac:dyDescent="0.25">
      <c r="A81" s="202" t="s">
        <v>86</v>
      </c>
      <c r="B81" s="80">
        <v>0</v>
      </c>
      <c r="C81" s="80">
        <v>1</v>
      </c>
      <c r="D81" s="81">
        <v>0</v>
      </c>
      <c r="E81" s="81">
        <v>16.100000000000001</v>
      </c>
    </row>
    <row r="82" spans="1:5" ht="14.1" customHeight="1" x14ac:dyDescent="0.25">
      <c r="A82" s="202" t="s">
        <v>87</v>
      </c>
      <c r="B82" s="80">
        <v>4</v>
      </c>
      <c r="C82" s="80">
        <v>2</v>
      </c>
      <c r="D82" s="81">
        <v>19</v>
      </c>
      <c r="E82" s="81">
        <v>8.5</v>
      </c>
    </row>
    <row r="83" spans="1:5" ht="14.1" customHeight="1" x14ac:dyDescent="0.25">
      <c r="A83" s="202" t="s">
        <v>89</v>
      </c>
      <c r="B83" s="80">
        <v>3</v>
      </c>
      <c r="C83" s="80">
        <v>5</v>
      </c>
      <c r="D83" s="81">
        <v>9.9</v>
      </c>
      <c r="E83" s="81">
        <v>14.9</v>
      </c>
    </row>
    <row r="84" spans="1:5" ht="14.1" customHeight="1" x14ac:dyDescent="0.25">
      <c r="A84" s="202" t="s">
        <v>90</v>
      </c>
      <c r="B84" s="80">
        <v>0</v>
      </c>
      <c r="C84" s="80">
        <v>3</v>
      </c>
      <c r="D84" s="81">
        <v>0</v>
      </c>
      <c r="E84" s="81">
        <v>9.6999999999999993</v>
      </c>
    </row>
    <row r="85" spans="1:5" ht="14.1" customHeight="1" x14ac:dyDescent="0.25">
      <c r="A85" s="202" t="s">
        <v>91</v>
      </c>
      <c r="B85" s="80">
        <v>3</v>
      </c>
      <c r="C85" s="80">
        <v>3</v>
      </c>
      <c r="D85" s="81">
        <v>12.5</v>
      </c>
      <c r="E85" s="81">
        <v>11.3</v>
      </c>
    </row>
    <row r="86" spans="1:5" ht="14.1" customHeight="1" x14ac:dyDescent="0.25">
      <c r="A86" s="202" t="s">
        <v>92</v>
      </c>
      <c r="B86" s="80">
        <v>2</v>
      </c>
      <c r="C86" s="80">
        <v>4</v>
      </c>
      <c r="D86" s="81">
        <v>6.7</v>
      </c>
      <c r="E86" s="81">
        <v>12.2</v>
      </c>
    </row>
    <row r="87" spans="1:5" ht="14.1" customHeight="1" x14ac:dyDescent="0.25">
      <c r="A87" s="202" t="s">
        <v>93</v>
      </c>
      <c r="B87" s="80">
        <v>1</v>
      </c>
      <c r="C87" s="80">
        <v>2</v>
      </c>
      <c r="D87" s="81">
        <v>5.3</v>
      </c>
      <c r="E87" s="81">
        <v>9.4</v>
      </c>
    </row>
    <row r="88" spans="1:5" ht="14.1" customHeight="1" x14ac:dyDescent="0.25">
      <c r="A88" s="202" t="s">
        <v>94</v>
      </c>
      <c r="B88" s="80">
        <v>0</v>
      </c>
      <c r="C88" s="80">
        <v>0</v>
      </c>
      <c r="D88" s="81">
        <v>0</v>
      </c>
      <c r="E88" s="81">
        <v>0</v>
      </c>
    </row>
    <row r="89" spans="1:5" ht="14.1" customHeight="1" x14ac:dyDescent="0.25">
      <c r="A89" s="206" t="s">
        <v>95</v>
      </c>
      <c r="B89" s="78">
        <v>16</v>
      </c>
      <c r="C89" s="78">
        <v>12</v>
      </c>
      <c r="D89" s="79">
        <v>17.600000000000001</v>
      </c>
      <c r="E89" s="79">
        <v>12.3</v>
      </c>
    </row>
    <row r="90" spans="1:5" ht="14.1" customHeight="1" x14ac:dyDescent="0.25">
      <c r="A90" s="202" t="s">
        <v>84</v>
      </c>
      <c r="B90" s="80">
        <v>4</v>
      </c>
      <c r="C90" s="80">
        <v>2</v>
      </c>
      <c r="D90" s="81">
        <v>32.1</v>
      </c>
      <c r="E90" s="81">
        <v>14.4</v>
      </c>
    </row>
    <row r="91" spans="1:5" ht="14.1" customHeight="1" x14ac:dyDescent="0.25">
      <c r="A91" s="202" t="s">
        <v>96</v>
      </c>
      <c r="B91" s="80">
        <v>2</v>
      </c>
      <c r="C91" s="80">
        <v>2</v>
      </c>
      <c r="D91" s="81">
        <v>15.6</v>
      </c>
      <c r="E91" s="81">
        <v>15.2</v>
      </c>
    </row>
    <row r="92" spans="1:5" ht="14.1" customHeight="1" x14ac:dyDescent="0.25">
      <c r="A92" s="202" t="s">
        <v>88</v>
      </c>
      <c r="B92" s="80">
        <v>3</v>
      </c>
      <c r="C92" s="80">
        <v>1</v>
      </c>
      <c r="D92" s="81">
        <v>23.9</v>
      </c>
      <c r="E92" s="81">
        <v>7.4</v>
      </c>
    </row>
    <row r="93" spans="1:5" ht="14.1" customHeight="1" x14ac:dyDescent="0.25">
      <c r="A93" s="202" t="s">
        <v>97</v>
      </c>
      <c r="B93" s="80">
        <v>1</v>
      </c>
      <c r="C93" s="80">
        <v>0</v>
      </c>
      <c r="D93" s="81">
        <v>30.2</v>
      </c>
      <c r="E93" s="81">
        <v>0</v>
      </c>
    </row>
    <row r="94" spans="1:5" ht="14.1" customHeight="1" x14ac:dyDescent="0.25">
      <c r="A94" s="202" t="s">
        <v>98</v>
      </c>
      <c r="B94" s="80">
        <v>1</v>
      </c>
      <c r="C94" s="80">
        <v>1</v>
      </c>
      <c r="D94" s="81">
        <v>5.5</v>
      </c>
      <c r="E94" s="81">
        <v>5</v>
      </c>
    </row>
    <row r="95" spans="1:5" ht="14.1" customHeight="1" x14ac:dyDescent="0.25">
      <c r="A95" s="202" t="s">
        <v>99</v>
      </c>
      <c r="B95" s="80">
        <v>1</v>
      </c>
      <c r="C95" s="80">
        <v>1</v>
      </c>
      <c r="D95" s="81">
        <v>6.9</v>
      </c>
      <c r="E95" s="81">
        <v>6.6</v>
      </c>
    </row>
    <row r="96" spans="1:5" ht="14.1" customHeight="1" x14ac:dyDescent="0.25">
      <c r="A96" s="202" t="s">
        <v>100</v>
      </c>
      <c r="B96" s="80">
        <v>1</v>
      </c>
      <c r="C96" s="80">
        <v>2</v>
      </c>
      <c r="D96" s="81">
        <v>12.6</v>
      </c>
      <c r="E96" s="81">
        <v>22.7</v>
      </c>
    </row>
    <row r="97" spans="1:6" ht="14.1" customHeight="1" x14ac:dyDescent="0.25">
      <c r="A97" s="202" t="s">
        <v>101</v>
      </c>
      <c r="B97" s="80">
        <v>0</v>
      </c>
      <c r="C97" s="80">
        <v>0</v>
      </c>
      <c r="D97" s="81">
        <v>0</v>
      </c>
      <c r="E97" s="81">
        <v>0</v>
      </c>
    </row>
    <row r="98" spans="1:6" ht="14.1" customHeight="1" x14ac:dyDescent="0.25">
      <c r="A98" s="202" t="s">
        <v>102</v>
      </c>
      <c r="B98" s="80">
        <v>3</v>
      </c>
      <c r="C98" s="80">
        <v>2</v>
      </c>
      <c r="D98" s="81">
        <v>51.7</v>
      </c>
      <c r="E98" s="81">
        <v>33.4</v>
      </c>
    </row>
    <row r="99" spans="1:6" ht="14.1" customHeight="1" x14ac:dyDescent="0.25">
      <c r="A99" s="202" t="s">
        <v>103</v>
      </c>
      <c r="B99" s="80">
        <v>0</v>
      </c>
      <c r="C99" s="80">
        <v>1</v>
      </c>
      <c r="D99" s="81">
        <v>0</v>
      </c>
      <c r="E99" s="81">
        <v>53.3</v>
      </c>
    </row>
    <row r="100" spans="1:6" ht="14.1" customHeight="1" x14ac:dyDescent="0.25">
      <c r="A100" s="273" t="s">
        <v>104</v>
      </c>
      <c r="B100" s="284">
        <v>0</v>
      </c>
      <c r="C100" s="284">
        <v>0</v>
      </c>
      <c r="D100" s="285">
        <v>0</v>
      </c>
      <c r="E100" s="285">
        <v>0</v>
      </c>
      <c r="F100" s="36"/>
    </row>
    <row r="101" spans="1:6" ht="14.1" customHeight="1" x14ac:dyDescent="0.25"/>
    <row r="102" spans="1:6" ht="14.1" customHeight="1" x14ac:dyDescent="0.25"/>
    <row r="103" spans="1:6" x14ac:dyDescent="0.25">
      <c r="E103" s="73"/>
    </row>
  </sheetData>
  <mergeCells count="6">
    <mergeCell ref="A1:E1"/>
    <mergeCell ref="A2:E2"/>
    <mergeCell ref="B3:B4"/>
    <mergeCell ref="C3:C4"/>
    <mergeCell ref="D3:E3"/>
    <mergeCell ref="A3:A4"/>
  </mergeCells>
  <printOptions horizontalCentered="1"/>
  <pageMargins left="0.70866141732283472" right="0.31496062992125984" top="0.70866141732283472" bottom="0.19685039370078741" header="0.31496062992125984" footer="0.31496062992125984"/>
  <pageSetup paperSize="9" firstPageNumber="35" orientation="landscape" useFirstPageNumber="1" r:id="rId1"/>
  <headerFooter>
    <oddHeader>&amp;C&amp;"Arial,обычный"&amp;10&amp;P</oddHeader>
  </headerFooter>
  <rowBreaks count="2" manualBreakCount="2">
    <brk id="37" max="16383" man="1"/>
    <brk id="6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G105"/>
  <sheetViews>
    <sheetView zoomScaleNormal="100" workbookViewId="0">
      <selection activeCell="H22" sqref="H22"/>
    </sheetView>
  </sheetViews>
  <sheetFormatPr defaultRowHeight="15" x14ac:dyDescent="0.25"/>
  <cols>
    <col min="1" max="1" width="41.7109375" customWidth="1"/>
    <col min="2" max="3" width="12.85546875" customWidth="1"/>
    <col min="4" max="4" width="18.42578125" customWidth="1"/>
    <col min="5" max="6" width="12.85546875" customWidth="1"/>
    <col min="7" max="7" width="19.28515625" customWidth="1"/>
  </cols>
  <sheetData>
    <row r="1" spans="1:7" x14ac:dyDescent="0.25">
      <c r="A1" s="548" t="s">
        <v>353</v>
      </c>
      <c r="B1" s="548"/>
      <c r="C1" s="548"/>
      <c r="D1" s="548"/>
      <c r="E1" s="548"/>
      <c r="F1" s="548"/>
      <c r="G1" s="548"/>
    </row>
    <row r="2" spans="1:7" ht="10.5" customHeight="1" x14ac:dyDescent="0.25">
      <c r="A2" s="553"/>
      <c r="B2" s="554"/>
      <c r="C2" s="554"/>
      <c r="D2" s="554"/>
      <c r="E2" s="554"/>
      <c r="F2" s="554"/>
      <c r="G2" s="554"/>
    </row>
    <row r="3" spans="1:7" s="36" customFormat="1" ht="25.5" x14ac:dyDescent="0.25">
      <c r="A3" s="551"/>
      <c r="B3" s="549" t="s">
        <v>198</v>
      </c>
      <c r="C3" s="550"/>
      <c r="D3" s="550"/>
      <c r="E3" s="552" t="s">
        <v>200</v>
      </c>
      <c r="F3" s="552"/>
      <c r="G3" s="245" t="s">
        <v>199</v>
      </c>
    </row>
    <row r="4" spans="1:7" s="36" customFormat="1" ht="26.25" customHeight="1" x14ac:dyDescent="0.25">
      <c r="A4" s="551"/>
      <c r="B4" s="247" t="s">
        <v>125</v>
      </c>
      <c r="C4" s="246" t="s">
        <v>206</v>
      </c>
      <c r="D4" s="246" t="s">
        <v>292</v>
      </c>
      <c r="E4" s="246" t="s">
        <v>125</v>
      </c>
      <c r="F4" s="246" t="s">
        <v>206</v>
      </c>
      <c r="G4" s="246" t="s">
        <v>216</v>
      </c>
    </row>
    <row r="5" spans="1:7" ht="14.1" customHeight="1" x14ac:dyDescent="0.25">
      <c r="A5" s="234" t="s">
        <v>13</v>
      </c>
      <c r="B5" s="335">
        <f>C5+D5</f>
        <v>10576</v>
      </c>
      <c r="C5" s="425">
        <v>8101</v>
      </c>
      <c r="D5" s="71">
        <v>2475</v>
      </c>
      <c r="E5" s="22">
        <v>7.1</v>
      </c>
      <c r="F5" s="22">
        <v>5.44</v>
      </c>
      <c r="G5" s="125">
        <v>1.67</v>
      </c>
    </row>
    <row r="6" spans="1:7" ht="14.1" customHeight="1" x14ac:dyDescent="0.25">
      <c r="A6" s="201" t="s">
        <v>14</v>
      </c>
      <c r="B6" s="335">
        <f t="shared" ref="B6:B69" si="0">C6+D6</f>
        <v>2280</v>
      </c>
      <c r="C6" s="71">
        <v>1800</v>
      </c>
      <c r="D6" s="71">
        <v>480</v>
      </c>
      <c r="E6" s="22">
        <v>6.19</v>
      </c>
      <c r="F6" s="22">
        <v>4.8899999999999997</v>
      </c>
      <c r="G6" s="125">
        <v>1.31</v>
      </c>
    </row>
    <row r="7" spans="1:7" ht="14.1" customHeight="1" x14ac:dyDescent="0.25">
      <c r="A7" s="202" t="s">
        <v>15</v>
      </c>
      <c r="B7" s="336">
        <f t="shared" si="0"/>
        <v>67</v>
      </c>
      <c r="C7" s="72">
        <v>50</v>
      </c>
      <c r="D7" s="72">
        <v>17</v>
      </c>
      <c r="E7" s="126">
        <v>5.0599999999999996</v>
      </c>
      <c r="F7" s="126">
        <v>3.78</v>
      </c>
      <c r="G7" s="83">
        <v>1.29</v>
      </c>
    </row>
    <row r="8" spans="1:7" ht="14.1" customHeight="1" x14ac:dyDescent="0.25">
      <c r="A8" s="202" t="s">
        <v>16</v>
      </c>
      <c r="B8" s="336">
        <f t="shared" si="0"/>
        <v>71</v>
      </c>
      <c r="C8" s="72">
        <v>58</v>
      </c>
      <c r="D8" s="72">
        <v>13</v>
      </c>
      <c r="E8" s="126">
        <v>7.09</v>
      </c>
      <c r="F8" s="126">
        <v>5.79</v>
      </c>
      <c r="G8" s="83">
        <v>1.31</v>
      </c>
    </row>
    <row r="9" spans="1:7" ht="14.1" customHeight="1" x14ac:dyDescent="0.25">
      <c r="A9" s="202" t="s">
        <v>17</v>
      </c>
      <c r="B9" s="336">
        <f t="shared" si="0"/>
        <v>107</v>
      </c>
      <c r="C9" s="72">
        <v>81</v>
      </c>
      <c r="D9" s="72">
        <v>26</v>
      </c>
      <c r="E9" s="126">
        <v>9.57</v>
      </c>
      <c r="F9" s="126">
        <v>7.24</v>
      </c>
      <c r="G9" s="83">
        <v>2.34</v>
      </c>
    </row>
    <row r="10" spans="1:7" ht="14.1" customHeight="1" x14ac:dyDescent="0.25">
      <c r="A10" s="202" t="s">
        <v>18</v>
      </c>
      <c r="B10" s="336">
        <f t="shared" si="0"/>
        <v>131</v>
      </c>
      <c r="C10" s="72">
        <v>97</v>
      </c>
      <c r="D10" s="72">
        <v>34</v>
      </c>
      <c r="E10" s="126">
        <v>6.66</v>
      </c>
      <c r="F10" s="126">
        <v>4.93</v>
      </c>
      <c r="G10" s="83">
        <v>1.74</v>
      </c>
    </row>
    <row r="11" spans="1:7" ht="14.1" customHeight="1" x14ac:dyDescent="0.25">
      <c r="A11" s="202" t="s">
        <v>19</v>
      </c>
      <c r="B11" s="336">
        <f t="shared" si="0"/>
        <v>68</v>
      </c>
      <c r="C11" s="72">
        <v>56</v>
      </c>
      <c r="D11" s="72">
        <v>12</v>
      </c>
      <c r="E11" s="126">
        <v>8.51</v>
      </c>
      <c r="F11" s="126">
        <v>7.01</v>
      </c>
      <c r="G11" s="83">
        <v>1.51</v>
      </c>
    </row>
    <row r="12" spans="1:7" ht="14.1" customHeight="1" x14ac:dyDescent="0.25">
      <c r="A12" s="202" t="s">
        <v>20</v>
      </c>
      <c r="B12" s="336">
        <f t="shared" si="0"/>
        <v>70</v>
      </c>
      <c r="C12" s="72">
        <v>62</v>
      </c>
      <c r="D12" s="72">
        <v>8</v>
      </c>
      <c r="E12" s="126">
        <v>7.79</v>
      </c>
      <c r="F12" s="126">
        <v>6.9</v>
      </c>
      <c r="G12" s="83">
        <v>0.9</v>
      </c>
    </row>
    <row r="13" spans="1:7" ht="14.1" customHeight="1" x14ac:dyDescent="0.25">
      <c r="A13" s="203" t="s">
        <v>21</v>
      </c>
      <c r="B13" s="336">
        <f t="shared" si="0"/>
        <v>46</v>
      </c>
      <c r="C13" s="72">
        <v>33</v>
      </c>
      <c r="D13" s="72">
        <v>13</v>
      </c>
      <c r="E13" s="126">
        <v>7.94</v>
      </c>
      <c r="F13" s="126">
        <v>5.7</v>
      </c>
      <c r="G13" s="83">
        <v>2.2599999999999998</v>
      </c>
    </row>
    <row r="14" spans="1:7" ht="14.1" customHeight="1" x14ac:dyDescent="0.25">
      <c r="A14" s="202" t="s">
        <v>22</v>
      </c>
      <c r="B14" s="336">
        <f t="shared" si="0"/>
        <v>48</v>
      </c>
      <c r="C14" s="72">
        <v>39</v>
      </c>
      <c r="D14" s="72">
        <v>9</v>
      </c>
      <c r="E14" s="126">
        <v>5.17</v>
      </c>
      <c r="F14" s="126">
        <v>4.2</v>
      </c>
      <c r="G14" s="83">
        <v>0.97</v>
      </c>
    </row>
    <row r="15" spans="1:7" ht="14.1" customHeight="1" x14ac:dyDescent="0.25">
      <c r="A15" s="202" t="s">
        <v>23</v>
      </c>
      <c r="B15" s="336">
        <f t="shared" si="0"/>
        <v>64</v>
      </c>
      <c r="C15" s="72">
        <v>57</v>
      </c>
      <c r="D15" s="72">
        <v>7</v>
      </c>
      <c r="E15" s="126">
        <v>6.5</v>
      </c>
      <c r="F15" s="126">
        <v>5.79</v>
      </c>
      <c r="G15" s="83">
        <v>0.72</v>
      </c>
    </row>
    <row r="16" spans="1:7" ht="14.1" customHeight="1" x14ac:dyDescent="0.25">
      <c r="A16" s="202" t="s">
        <v>24</v>
      </c>
      <c r="B16" s="336">
        <f t="shared" si="0"/>
        <v>381</v>
      </c>
      <c r="C16" s="72">
        <v>306</v>
      </c>
      <c r="D16" s="72">
        <v>75</v>
      </c>
      <c r="E16" s="126">
        <v>5.24</v>
      </c>
      <c r="F16" s="126">
        <v>4.2</v>
      </c>
      <c r="G16" s="83">
        <v>1.03</v>
      </c>
    </row>
    <row r="17" spans="1:7" ht="14.1" customHeight="1" x14ac:dyDescent="0.25">
      <c r="A17" s="202" t="s">
        <v>25</v>
      </c>
      <c r="B17" s="336">
        <f t="shared" si="0"/>
        <v>53</v>
      </c>
      <c r="C17" s="72">
        <v>43</v>
      </c>
      <c r="D17" s="72">
        <v>10</v>
      </c>
      <c r="E17" s="126">
        <v>8.85</v>
      </c>
      <c r="F17" s="126">
        <v>7.18</v>
      </c>
      <c r="G17" s="83">
        <v>1.68</v>
      </c>
    </row>
    <row r="18" spans="1:7" ht="14.1" customHeight="1" x14ac:dyDescent="0.25">
      <c r="A18" s="203" t="s">
        <v>26</v>
      </c>
      <c r="B18" s="336">
        <f t="shared" si="0"/>
        <v>63</v>
      </c>
      <c r="C18" s="72">
        <v>50</v>
      </c>
      <c r="D18" s="72">
        <v>13</v>
      </c>
      <c r="E18" s="126">
        <v>6.78</v>
      </c>
      <c r="F18" s="126">
        <v>5.38</v>
      </c>
      <c r="G18" s="83">
        <v>1.41</v>
      </c>
    </row>
    <row r="19" spans="1:7" ht="14.1" customHeight="1" x14ac:dyDescent="0.25">
      <c r="A19" s="202" t="s">
        <v>27</v>
      </c>
      <c r="B19" s="336">
        <f t="shared" si="0"/>
        <v>69</v>
      </c>
      <c r="C19" s="72">
        <v>60</v>
      </c>
      <c r="D19" s="72">
        <v>9</v>
      </c>
      <c r="E19" s="126">
        <v>9.67</v>
      </c>
      <c r="F19" s="126">
        <v>8.4</v>
      </c>
      <c r="G19" s="83">
        <v>1.27</v>
      </c>
    </row>
    <row r="20" spans="1:7" ht="14.1" customHeight="1" x14ac:dyDescent="0.25">
      <c r="A20" s="202" t="s">
        <v>28</v>
      </c>
      <c r="B20" s="336">
        <f t="shared" si="0"/>
        <v>35</v>
      </c>
      <c r="C20" s="72">
        <v>26</v>
      </c>
      <c r="D20" s="72">
        <v>9</v>
      </c>
      <c r="E20" s="126">
        <v>4.5</v>
      </c>
      <c r="F20" s="126">
        <v>3.35</v>
      </c>
      <c r="G20" s="83">
        <v>1.1599999999999999</v>
      </c>
    </row>
    <row r="21" spans="1:7" ht="14.1" customHeight="1" x14ac:dyDescent="0.25">
      <c r="A21" s="202" t="s">
        <v>29</v>
      </c>
      <c r="B21" s="336">
        <f t="shared" si="0"/>
        <v>98</v>
      </c>
      <c r="C21" s="72">
        <v>80</v>
      </c>
      <c r="D21" s="72">
        <v>18</v>
      </c>
      <c r="E21" s="126">
        <v>9.11</v>
      </c>
      <c r="F21" s="126">
        <v>7.43</v>
      </c>
      <c r="G21" s="83">
        <v>1.69</v>
      </c>
    </row>
    <row r="22" spans="1:7" ht="14.1" customHeight="1" x14ac:dyDescent="0.25">
      <c r="A22" s="202" t="s">
        <v>30</v>
      </c>
      <c r="B22" s="336">
        <f t="shared" si="0"/>
        <v>82</v>
      </c>
      <c r="C22" s="72">
        <v>66</v>
      </c>
      <c r="D22" s="72">
        <v>16</v>
      </c>
      <c r="E22" s="126">
        <v>7.26</v>
      </c>
      <c r="F22" s="126">
        <v>5.84</v>
      </c>
      <c r="G22" s="83">
        <v>1.42</v>
      </c>
    </row>
    <row r="23" spans="1:7" ht="14.1" customHeight="1" x14ac:dyDescent="0.25">
      <c r="A23" s="202" t="s">
        <v>31</v>
      </c>
      <c r="B23" s="336">
        <f t="shared" si="0"/>
        <v>75</v>
      </c>
      <c r="C23" s="72">
        <v>59</v>
      </c>
      <c r="D23" s="72">
        <v>16</v>
      </c>
      <c r="E23" s="126">
        <v>6.68</v>
      </c>
      <c r="F23" s="126">
        <v>5.25</v>
      </c>
      <c r="G23" s="83">
        <v>1.43</v>
      </c>
    </row>
    <row r="24" spans="1:7" ht="14.1" customHeight="1" x14ac:dyDescent="0.25">
      <c r="A24" s="202" t="s">
        <v>32</v>
      </c>
      <c r="B24" s="336">
        <f t="shared" si="0"/>
        <v>752</v>
      </c>
      <c r="C24" s="72">
        <v>577</v>
      </c>
      <c r="D24" s="72">
        <v>175</v>
      </c>
      <c r="E24" s="126">
        <v>5.52</v>
      </c>
      <c r="F24" s="126">
        <v>4.24</v>
      </c>
      <c r="G24" s="83">
        <v>1.29</v>
      </c>
    </row>
    <row r="25" spans="1:7" ht="14.1" customHeight="1" x14ac:dyDescent="0.25">
      <c r="A25" s="204" t="s">
        <v>33</v>
      </c>
      <c r="B25" s="335">
        <f t="shared" si="0"/>
        <v>1061</v>
      </c>
      <c r="C25" s="71">
        <v>845</v>
      </c>
      <c r="D25" s="71">
        <v>216</v>
      </c>
      <c r="E25" s="22">
        <v>7.89</v>
      </c>
      <c r="F25" s="22">
        <v>6.28</v>
      </c>
      <c r="G25" s="125">
        <v>1.62</v>
      </c>
    </row>
    <row r="26" spans="1:7" ht="14.1" customHeight="1" x14ac:dyDescent="0.25">
      <c r="A26" s="202" t="s">
        <v>34</v>
      </c>
      <c r="B26" s="336">
        <f t="shared" si="0"/>
        <v>44</v>
      </c>
      <c r="C26" s="72">
        <v>36</v>
      </c>
      <c r="D26" s="72">
        <v>8</v>
      </c>
      <c r="E26" s="126">
        <v>7.96</v>
      </c>
      <c r="F26" s="126">
        <v>6.51</v>
      </c>
      <c r="G26" s="83">
        <v>1.46</v>
      </c>
    </row>
    <row r="27" spans="1:7" ht="14.1" customHeight="1" x14ac:dyDescent="0.25">
      <c r="A27" s="202" t="s">
        <v>35</v>
      </c>
      <c r="B27" s="336">
        <f t="shared" si="0"/>
        <v>59</v>
      </c>
      <c r="C27" s="72">
        <v>52</v>
      </c>
      <c r="D27" s="72">
        <v>7</v>
      </c>
      <c r="E27" s="126">
        <v>7.4</v>
      </c>
      <c r="F27" s="126">
        <v>6.52</v>
      </c>
      <c r="G27" s="83">
        <v>0.88</v>
      </c>
    </row>
    <row r="28" spans="1:7" ht="14.1" customHeight="1" x14ac:dyDescent="0.25">
      <c r="A28" s="202" t="s">
        <v>36</v>
      </c>
      <c r="B28" s="336">
        <f t="shared" si="0"/>
        <v>82</v>
      </c>
      <c r="C28" s="72">
        <v>62</v>
      </c>
      <c r="D28" s="72">
        <v>20</v>
      </c>
      <c r="E28" s="126">
        <v>7.97</v>
      </c>
      <c r="F28" s="126">
        <v>6.03</v>
      </c>
      <c r="G28" s="83">
        <v>1.96</v>
      </c>
    </row>
    <row r="29" spans="1:7" ht="14.1" customHeight="1" x14ac:dyDescent="0.25">
      <c r="A29" s="202" t="s">
        <v>37</v>
      </c>
      <c r="B29" s="336">
        <f t="shared" si="0"/>
        <v>4</v>
      </c>
      <c r="C29" s="72">
        <v>4</v>
      </c>
      <c r="D29" s="72">
        <v>0</v>
      </c>
      <c r="E29" s="126">
        <v>6.79</v>
      </c>
      <c r="F29" s="126">
        <v>6.79</v>
      </c>
      <c r="G29" s="83">
        <v>0</v>
      </c>
    </row>
    <row r="30" spans="1:7" ht="14.1" customHeight="1" x14ac:dyDescent="0.25">
      <c r="A30" s="205" t="s">
        <v>287</v>
      </c>
      <c r="B30" s="336">
        <f t="shared" si="0"/>
        <v>78</v>
      </c>
      <c r="C30" s="72">
        <v>58</v>
      </c>
      <c r="D30" s="72">
        <v>20</v>
      </c>
      <c r="E30" s="126">
        <v>8.0399999999999991</v>
      </c>
      <c r="F30" s="126">
        <v>5.98</v>
      </c>
      <c r="G30" s="83">
        <v>2.0699999999999998</v>
      </c>
    </row>
    <row r="31" spans="1:7" ht="14.1" customHeight="1" x14ac:dyDescent="0.25">
      <c r="A31" s="202" t="s">
        <v>38</v>
      </c>
      <c r="B31" s="336">
        <f t="shared" si="0"/>
        <v>110</v>
      </c>
      <c r="C31" s="72">
        <v>76</v>
      </c>
      <c r="D31" s="72">
        <v>34</v>
      </c>
      <c r="E31" s="126">
        <v>9.7799999999999994</v>
      </c>
      <c r="F31" s="126">
        <v>6.76</v>
      </c>
      <c r="G31" s="83">
        <v>3.04</v>
      </c>
    </row>
    <row r="32" spans="1:7" ht="14.1" customHeight="1" x14ac:dyDescent="0.25">
      <c r="A32" s="202" t="s">
        <v>39</v>
      </c>
      <c r="B32" s="336">
        <f t="shared" si="0"/>
        <v>71</v>
      </c>
      <c r="C32" s="72">
        <v>51</v>
      </c>
      <c r="D32" s="72">
        <v>20</v>
      </c>
      <c r="E32" s="126">
        <v>7.6</v>
      </c>
      <c r="F32" s="126">
        <v>5.46</v>
      </c>
      <c r="G32" s="83">
        <v>2.15</v>
      </c>
    </row>
    <row r="33" spans="1:7" ht="14.1" customHeight="1" x14ac:dyDescent="0.25">
      <c r="A33" s="202" t="s">
        <v>40</v>
      </c>
      <c r="B33" s="336">
        <f t="shared" si="0"/>
        <v>91</v>
      </c>
      <c r="C33" s="72">
        <v>76</v>
      </c>
      <c r="D33" s="72">
        <v>15</v>
      </c>
      <c r="E33" s="126">
        <v>6.71</v>
      </c>
      <c r="F33" s="126">
        <v>5.61</v>
      </c>
      <c r="G33" s="83">
        <v>1.1100000000000001</v>
      </c>
    </row>
    <row r="34" spans="1:7" ht="14.1" customHeight="1" x14ac:dyDescent="0.25">
      <c r="A34" s="202" t="s">
        <v>41</v>
      </c>
      <c r="B34" s="336">
        <f t="shared" si="0"/>
        <v>58</v>
      </c>
      <c r="C34" s="72">
        <v>43</v>
      </c>
      <c r="D34" s="72">
        <v>15</v>
      </c>
      <c r="E34" s="126">
        <v>8.64</v>
      </c>
      <c r="F34" s="126">
        <v>6.4</v>
      </c>
      <c r="G34" s="83">
        <v>2.25</v>
      </c>
    </row>
    <row r="35" spans="1:7" ht="14.1" customHeight="1" x14ac:dyDescent="0.25">
      <c r="A35" s="202" t="s">
        <v>42</v>
      </c>
      <c r="B35" s="336">
        <f t="shared" si="0"/>
        <v>42</v>
      </c>
      <c r="C35" s="72">
        <v>34</v>
      </c>
      <c r="D35" s="72">
        <v>8</v>
      </c>
      <c r="E35" s="126">
        <v>8.0399999999999991</v>
      </c>
      <c r="F35" s="126">
        <v>6.51</v>
      </c>
      <c r="G35" s="83">
        <v>1.54</v>
      </c>
    </row>
    <row r="36" spans="1:7" ht="14.1" customHeight="1" x14ac:dyDescent="0.25">
      <c r="A36" s="202" t="s">
        <v>43</v>
      </c>
      <c r="B36" s="336">
        <f t="shared" si="0"/>
        <v>56</v>
      </c>
      <c r="C36" s="72">
        <v>46</v>
      </c>
      <c r="D36" s="72">
        <v>10</v>
      </c>
      <c r="E36" s="126">
        <v>10.47</v>
      </c>
      <c r="F36" s="126">
        <v>8.6</v>
      </c>
      <c r="G36" s="83">
        <v>1.89</v>
      </c>
    </row>
    <row r="37" spans="1:7" ht="14.1" customHeight="1" x14ac:dyDescent="0.25">
      <c r="A37" s="202" t="s">
        <v>44</v>
      </c>
      <c r="B37" s="336">
        <f t="shared" si="0"/>
        <v>448</v>
      </c>
      <c r="C37" s="72">
        <v>369</v>
      </c>
      <c r="D37" s="72">
        <v>79</v>
      </c>
      <c r="E37" s="126">
        <v>7.56</v>
      </c>
      <c r="F37" s="126">
        <v>6.23</v>
      </c>
      <c r="G37" s="83">
        <v>1.34</v>
      </c>
    </row>
    <row r="38" spans="1:7" ht="14.1" customHeight="1" x14ac:dyDescent="0.25">
      <c r="A38" s="206" t="s">
        <v>45</v>
      </c>
      <c r="B38" s="335">
        <f t="shared" si="0"/>
        <v>1209</v>
      </c>
      <c r="C38" s="71">
        <v>965</v>
      </c>
      <c r="D38" s="71">
        <v>244</v>
      </c>
      <c r="E38" s="22">
        <v>7.45</v>
      </c>
      <c r="F38" s="22">
        <v>5.95</v>
      </c>
      <c r="G38" s="125">
        <v>1.51</v>
      </c>
    </row>
    <row r="39" spans="1:7" ht="14.1" customHeight="1" x14ac:dyDescent="0.25">
      <c r="A39" s="202" t="s">
        <v>46</v>
      </c>
      <c r="B39" s="336">
        <f t="shared" si="0"/>
        <v>27</v>
      </c>
      <c r="C39" s="72">
        <v>16</v>
      </c>
      <c r="D39" s="72">
        <v>11</v>
      </c>
      <c r="E39" s="126">
        <v>6.43</v>
      </c>
      <c r="F39" s="126">
        <v>3.81</v>
      </c>
      <c r="G39" s="83">
        <v>2.63</v>
      </c>
    </row>
    <row r="40" spans="1:7" ht="14.1" customHeight="1" x14ac:dyDescent="0.25">
      <c r="A40" s="202" t="s">
        <v>47</v>
      </c>
      <c r="B40" s="336">
        <f t="shared" si="0"/>
        <v>20</v>
      </c>
      <c r="C40" s="72">
        <v>17</v>
      </c>
      <c r="D40" s="72">
        <v>3</v>
      </c>
      <c r="E40" s="126">
        <v>7.06</v>
      </c>
      <c r="F40" s="126">
        <v>6</v>
      </c>
      <c r="G40" s="83">
        <v>1.07</v>
      </c>
    </row>
    <row r="41" spans="1:7" ht="14.1" customHeight="1" x14ac:dyDescent="0.25">
      <c r="A41" s="202" t="s">
        <v>202</v>
      </c>
      <c r="B41" s="336">
        <f t="shared" si="0"/>
        <v>131</v>
      </c>
      <c r="C41" s="72">
        <v>112</v>
      </c>
      <c r="D41" s="72">
        <v>19</v>
      </c>
      <c r="E41" s="126">
        <v>6.81</v>
      </c>
      <c r="F41" s="126">
        <v>5.83</v>
      </c>
      <c r="G41" s="83">
        <v>0.99</v>
      </c>
    </row>
    <row r="42" spans="1:7" ht="14.1" customHeight="1" x14ac:dyDescent="0.25">
      <c r="A42" s="202" t="s">
        <v>48</v>
      </c>
      <c r="B42" s="336">
        <f t="shared" si="0"/>
        <v>448</v>
      </c>
      <c r="C42" s="72">
        <v>369</v>
      </c>
      <c r="D42" s="72">
        <v>79</v>
      </c>
      <c r="E42" s="126">
        <v>7.28</v>
      </c>
      <c r="F42" s="126">
        <v>6</v>
      </c>
      <c r="G42" s="83">
        <v>1.29</v>
      </c>
    </row>
    <row r="43" spans="1:7" ht="14.1" customHeight="1" x14ac:dyDescent="0.25">
      <c r="A43" s="202" t="s">
        <v>49</v>
      </c>
      <c r="B43" s="336">
        <f t="shared" si="0"/>
        <v>108</v>
      </c>
      <c r="C43" s="72">
        <v>81</v>
      </c>
      <c r="D43" s="72">
        <v>27</v>
      </c>
      <c r="E43" s="126">
        <v>9.76</v>
      </c>
      <c r="F43" s="126">
        <v>7.32</v>
      </c>
      <c r="G43" s="83">
        <v>2.46</v>
      </c>
    </row>
    <row r="44" spans="1:7" ht="14.1" customHeight="1" x14ac:dyDescent="0.25">
      <c r="A44" s="202" t="s">
        <v>50</v>
      </c>
      <c r="B44" s="336">
        <f t="shared" si="0"/>
        <v>164</v>
      </c>
      <c r="C44" s="72">
        <v>142</v>
      </c>
      <c r="D44" s="72">
        <v>22</v>
      </c>
      <c r="E44" s="126">
        <v>7.77</v>
      </c>
      <c r="F44" s="126">
        <v>6.72</v>
      </c>
      <c r="G44" s="83">
        <v>1.05</v>
      </c>
    </row>
    <row r="45" spans="1:7" ht="14.1" customHeight="1" x14ac:dyDescent="0.25">
      <c r="A45" s="202" t="s">
        <v>51</v>
      </c>
      <c r="B45" s="336">
        <f t="shared" si="0"/>
        <v>291</v>
      </c>
      <c r="C45" s="72">
        <v>210</v>
      </c>
      <c r="D45" s="72">
        <v>81</v>
      </c>
      <c r="E45" s="126">
        <v>7.67</v>
      </c>
      <c r="F45" s="126">
        <v>5.54</v>
      </c>
      <c r="G45" s="83">
        <v>2.15</v>
      </c>
    </row>
    <row r="46" spans="1:7" ht="14.1" customHeight="1" x14ac:dyDescent="0.25">
      <c r="A46" s="202" t="s">
        <v>204</v>
      </c>
      <c r="B46" s="336">
        <f t="shared" si="0"/>
        <v>20</v>
      </c>
      <c r="C46" s="72">
        <v>18</v>
      </c>
      <c r="D46" s="72">
        <v>2</v>
      </c>
      <c r="E46" s="126">
        <v>4.66</v>
      </c>
      <c r="F46" s="126">
        <v>4.1900000000000004</v>
      </c>
      <c r="G46" s="83">
        <v>0.47</v>
      </c>
    </row>
    <row r="47" spans="1:7" ht="14.1" customHeight="1" x14ac:dyDescent="0.25">
      <c r="A47" s="207" t="s">
        <v>52</v>
      </c>
      <c r="B47" s="335">
        <f t="shared" si="0"/>
        <v>898</v>
      </c>
      <c r="C47" s="71">
        <v>555</v>
      </c>
      <c r="D47" s="71">
        <v>343</v>
      </c>
      <c r="E47" s="22">
        <v>6.6</v>
      </c>
      <c r="F47" s="22">
        <v>4.08</v>
      </c>
      <c r="G47" s="125">
        <v>2.5299999999999998</v>
      </c>
    </row>
    <row r="48" spans="1:7" ht="14.1" customHeight="1" x14ac:dyDescent="0.25">
      <c r="A48" s="202" t="s">
        <v>53</v>
      </c>
      <c r="B48" s="336">
        <f t="shared" si="0"/>
        <v>278</v>
      </c>
      <c r="C48" s="72">
        <v>116</v>
      </c>
      <c r="D48" s="72">
        <v>162</v>
      </c>
      <c r="E48" s="126">
        <v>6.03</v>
      </c>
      <c r="F48" s="126">
        <v>2.52</v>
      </c>
      <c r="G48" s="83">
        <v>3.52</v>
      </c>
    </row>
    <row r="49" spans="1:7" ht="14.1" customHeight="1" x14ac:dyDescent="0.25">
      <c r="A49" s="202" t="s">
        <v>54</v>
      </c>
      <c r="B49" s="336">
        <f t="shared" si="0"/>
        <v>32</v>
      </c>
      <c r="C49" s="72">
        <v>18</v>
      </c>
      <c r="D49" s="72">
        <v>14</v>
      </c>
      <c r="E49" s="126">
        <v>3.87</v>
      </c>
      <c r="F49" s="126">
        <v>2.1800000000000002</v>
      </c>
      <c r="G49" s="83">
        <v>1.7</v>
      </c>
    </row>
    <row r="50" spans="1:7" ht="14.1" customHeight="1" x14ac:dyDescent="0.25">
      <c r="A50" s="202" t="s">
        <v>55</v>
      </c>
      <c r="B50" s="336">
        <f t="shared" si="0"/>
        <v>61</v>
      </c>
      <c r="C50" s="72">
        <v>53</v>
      </c>
      <c r="D50" s="72">
        <v>8</v>
      </c>
      <c r="E50" s="126">
        <v>6.11</v>
      </c>
      <c r="F50" s="126">
        <v>5.31</v>
      </c>
      <c r="G50" s="83">
        <v>0.81</v>
      </c>
    </row>
    <row r="51" spans="1:7" ht="14.1" customHeight="1" x14ac:dyDescent="0.25">
      <c r="A51" s="202" t="s">
        <v>56</v>
      </c>
      <c r="B51" s="336">
        <f t="shared" si="0"/>
        <v>39</v>
      </c>
      <c r="C51" s="72">
        <v>31</v>
      </c>
      <c r="D51" s="72">
        <v>8</v>
      </c>
      <c r="E51" s="126">
        <v>7.68</v>
      </c>
      <c r="F51" s="126">
        <v>6.1</v>
      </c>
      <c r="G51" s="83">
        <v>1.58</v>
      </c>
    </row>
    <row r="52" spans="1:7" ht="14.1" customHeight="1" x14ac:dyDescent="0.25">
      <c r="A52" s="202" t="s">
        <v>57</v>
      </c>
      <c r="B52" s="336">
        <f t="shared" si="0"/>
        <v>73</v>
      </c>
      <c r="C52" s="72">
        <v>40</v>
      </c>
      <c r="D52" s="72">
        <v>33</v>
      </c>
      <c r="E52" s="126">
        <v>8.4700000000000006</v>
      </c>
      <c r="F52" s="126">
        <v>4.6399999999999997</v>
      </c>
      <c r="G52" s="83">
        <v>3.85</v>
      </c>
    </row>
    <row r="53" spans="1:7" ht="14.1" customHeight="1" x14ac:dyDescent="0.25">
      <c r="A53" s="202" t="s">
        <v>58</v>
      </c>
      <c r="B53" s="336">
        <f t="shared" si="0"/>
        <v>160</v>
      </c>
      <c r="C53" s="72">
        <v>104</v>
      </c>
      <c r="D53" s="72">
        <v>56</v>
      </c>
      <c r="E53" s="126">
        <v>5.35</v>
      </c>
      <c r="F53" s="126">
        <v>3.48</v>
      </c>
      <c r="G53" s="83">
        <v>1.88</v>
      </c>
    </row>
    <row r="54" spans="1:7" ht="14.1" customHeight="1" x14ac:dyDescent="0.25">
      <c r="A54" s="202" t="s">
        <v>59</v>
      </c>
      <c r="B54" s="336">
        <f t="shared" si="0"/>
        <v>255</v>
      </c>
      <c r="C54" s="72">
        <v>193</v>
      </c>
      <c r="D54" s="72">
        <v>62</v>
      </c>
      <c r="E54" s="126">
        <v>9.0500000000000007</v>
      </c>
      <c r="F54" s="126">
        <v>6.85</v>
      </c>
      <c r="G54" s="83">
        <v>2.2200000000000002</v>
      </c>
    </row>
    <row r="55" spans="1:7" ht="14.1" customHeight="1" x14ac:dyDescent="0.25">
      <c r="A55" s="201" t="s">
        <v>60</v>
      </c>
      <c r="B55" s="335">
        <f t="shared" si="0"/>
        <v>2097</v>
      </c>
      <c r="C55" s="71">
        <v>1615</v>
      </c>
      <c r="D55" s="71">
        <v>482</v>
      </c>
      <c r="E55" s="22">
        <v>7.43</v>
      </c>
      <c r="F55" s="22">
        <v>5.73</v>
      </c>
      <c r="G55" s="125">
        <v>1.72</v>
      </c>
    </row>
    <row r="56" spans="1:7" ht="14.1" customHeight="1" x14ac:dyDescent="0.25">
      <c r="A56" s="202" t="s">
        <v>61</v>
      </c>
      <c r="B56" s="336">
        <f t="shared" si="0"/>
        <v>371</v>
      </c>
      <c r="C56" s="72">
        <v>277</v>
      </c>
      <c r="D56" s="72">
        <v>94</v>
      </c>
      <c r="E56" s="126">
        <v>8.82</v>
      </c>
      <c r="F56" s="126">
        <v>6.59</v>
      </c>
      <c r="G56" s="83">
        <v>2.25</v>
      </c>
    </row>
    <row r="57" spans="1:7" ht="14.1" customHeight="1" x14ac:dyDescent="0.25">
      <c r="A57" s="202" t="s">
        <v>62</v>
      </c>
      <c r="B57" s="336">
        <f t="shared" si="0"/>
        <v>48</v>
      </c>
      <c r="C57" s="72">
        <v>37</v>
      </c>
      <c r="D57" s="72">
        <v>11</v>
      </c>
      <c r="E57" s="126">
        <v>7.14</v>
      </c>
      <c r="F57" s="126">
        <v>5.51</v>
      </c>
      <c r="G57" s="83">
        <v>1.65</v>
      </c>
    </row>
    <row r="58" spans="1:7" ht="14.1" customHeight="1" x14ac:dyDescent="0.25">
      <c r="A58" s="202" t="s">
        <v>63</v>
      </c>
      <c r="B58" s="336">
        <f t="shared" si="0"/>
        <v>35</v>
      </c>
      <c r="C58" s="72">
        <v>26</v>
      </c>
      <c r="D58" s="72">
        <v>9</v>
      </c>
      <c r="E58" s="126">
        <v>5.86</v>
      </c>
      <c r="F58" s="126">
        <v>4.3499999999999996</v>
      </c>
      <c r="G58" s="83">
        <v>1.51</v>
      </c>
    </row>
    <row r="59" spans="1:7" ht="14.1" customHeight="1" x14ac:dyDescent="0.25">
      <c r="A59" s="202" t="s">
        <v>64</v>
      </c>
      <c r="B59" s="336">
        <f t="shared" si="0"/>
        <v>337</v>
      </c>
      <c r="C59" s="72">
        <v>238</v>
      </c>
      <c r="D59" s="72">
        <v>99</v>
      </c>
      <c r="E59" s="126">
        <v>7.85</v>
      </c>
      <c r="F59" s="126">
        <v>5.55</v>
      </c>
      <c r="G59" s="83">
        <v>2.3199999999999998</v>
      </c>
    </row>
    <row r="60" spans="1:7" ht="14.1" customHeight="1" x14ac:dyDescent="0.25">
      <c r="A60" s="202" t="s">
        <v>65</v>
      </c>
      <c r="B60" s="336">
        <f t="shared" si="0"/>
        <v>97</v>
      </c>
      <c r="C60" s="72">
        <v>72</v>
      </c>
      <c r="D60" s="72">
        <v>25</v>
      </c>
      <c r="E60" s="126">
        <v>6.61</v>
      </c>
      <c r="F60" s="126">
        <v>4.91</v>
      </c>
      <c r="G60" s="83">
        <v>1.71</v>
      </c>
    </row>
    <row r="61" spans="1:7" ht="14.1" customHeight="1" x14ac:dyDescent="0.25">
      <c r="A61" s="202" t="s">
        <v>66</v>
      </c>
      <c r="B61" s="336">
        <f t="shared" si="0"/>
        <v>74</v>
      </c>
      <c r="C61" s="72">
        <v>65</v>
      </c>
      <c r="D61" s="72">
        <v>9</v>
      </c>
      <c r="E61" s="126">
        <v>6.33</v>
      </c>
      <c r="F61" s="126">
        <v>5.56</v>
      </c>
      <c r="G61" s="83">
        <v>0.77</v>
      </c>
    </row>
    <row r="62" spans="1:7" ht="14.1" customHeight="1" x14ac:dyDescent="0.25">
      <c r="A62" s="202" t="s">
        <v>67</v>
      </c>
      <c r="B62" s="336">
        <f t="shared" si="0"/>
        <v>189</v>
      </c>
      <c r="C62" s="72">
        <v>148</v>
      </c>
      <c r="D62" s="72">
        <v>41</v>
      </c>
      <c r="E62" s="126">
        <v>7.06</v>
      </c>
      <c r="F62" s="126">
        <v>5.53</v>
      </c>
      <c r="G62" s="83">
        <v>1.54</v>
      </c>
    </row>
    <row r="63" spans="1:7" ht="14.1" customHeight="1" x14ac:dyDescent="0.25">
      <c r="A63" s="202" t="s">
        <v>68</v>
      </c>
      <c r="B63" s="336">
        <f t="shared" si="0"/>
        <v>70</v>
      </c>
      <c r="C63" s="72">
        <v>60</v>
      </c>
      <c r="D63" s="72">
        <v>10</v>
      </c>
      <c r="E63" s="126">
        <v>6.21</v>
      </c>
      <c r="F63" s="126">
        <v>5.33</v>
      </c>
      <c r="G63" s="83">
        <v>0.89</v>
      </c>
    </row>
    <row r="64" spans="1:7" ht="14.1" customHeight="1" x14ac:dyDescent="0.25">
      <c r="A64" s="202" t="s">
        <v>69</v>
      </c>
      <c r="B64" s="336">
        <f t="shared" si="0"/>
        <v>219</v>
      </c>
      <c r="C64" s="72">
        <v>165</v>
      </c>
      <c r="D64" s="72">
        <v>54</v>
      </c>
      <c r="E64" s="126">
        <v>7.58</v>
      </c>
      <c r="F64" s="126">
        <v>5.71</v>
      </c>
      <c r="G64" s="83">
        <v>1.88</v>
      </c>
    </row>
    <row r="65" spans="1:7" ht="14.1" customHeight="1" x14ac:dyDescent="0.25">
      <c r="A65" s="202" t="s">
        <v>70</v>
      </c>
      <c r="B65" s="336">
        <f t="shared" si="0"/>
        <v>118</v>
      </c>
      <c r="C65" s="72">
        <v>94</v>
      </c>
      <c r="D65" s="72">
        <v>24</v>
      </c>
      <c r="E65" s="126">
        <v>5.98</v>
      </c>
      <c r="F65" s="126">
        <v>4.76</v>
      </c>
      <c r="G65" s="83">
        <v>1.22</v>
      </c>
    </row>
    <row r="66" spans="1:7" ht="14.1" customHeight="1" x14ac:dyDescent="0.25">
      <c r="A66" s="202" t="s">
        <v>71</v>
      </c>
      <c r="B66" s="336">
        <f t="shared" si="0"/>
        <v>83</v>
      </c>
      <c r="C66" s="72">
        <v>61</v>
      </c>
      <c r="D66" s="72">
        <v>22</v>
      </c>
      <c r="E66" s="126">
        <v>8</v>
      </c>
      <c r="F66" s="126">
        <v>5.88</v>
      </c>
      <c r="G66" s="83">
        <v>2.13</v>
      </c>
    </row>
    <row r="67" spans="1:7" ht="14.1" customHeight="1" x14ac:dyDescent="0.25">
      <c r="A67" s="202" t="s">
        <v>72</v>
      </c>
      <c r="B67" s="336">
        <f t="shared" si="0"/>
        <v>235</v>
      </c>
      <c r="C67" s="72">
        <v>191</v>
      </c>
      <c r="D67" s="72">
        <v>44</v>
      </c>
      <c r="E67" s="126">
        <v>7.89</v>
      </c>
      <c r="F67" s="126">
        <v>6.41</v>
      </c>
      <c r="G67" s="83">
        <v>1.49</v>
      </c>
    </row>
    <row r="68" spans="1:7" ht="14.1" customHeight="1" x14ac:dyDescent="0.25">
      <c r="A68" s="203" t="s">
        <v>73</v>
      </c>
      <c r="B68" s="336">
        <f t="shared" si="0"/>
        <v>127</v>
      </c>
      <c r="C68" s="72">
        <v>101</v>
      </c>
      <c r="D68" s="72">
        <v>26</v>
      </c>
      <c r="E68" s="126">
        <v>6.27</v>
      </c>
      <c r="F68" s="126">
        <v>4.99</v>
      </c>
      <c r="G68" s="83">
        <v>1.29</v>
      </c>
    </row>
    <row r="69" spans="1:7" ht="14.1" customHeight="1" x14ac:dyDescent="0.25">
      <c r="A69" s="202" t="s">
        <v>74</v>
      </c>
      <c r="B69" s="336">
        <f t="shared" si="0"/>
        <v>94</v>
      </c>
      <c r="C69" s="72">
        <v>80</v>
      </c>
      <c r="D69" s="72">
        <v>14</v>
      </c>
      <c r="E69" s="126">
        <v>8.57</v>
      </c>
      <c r="F69" s="126">
        <v>7.3</v>
      </c>
      <c r="G69" s="83">
        <v>1.29</v>
      </c>
    </row>
    <row r="70" spans="1:7" ht="14.1" customHeight="1" x14ac:dyDescent="0.25">
      <c r="A70" s="206" t="s">
        <v>75</v>
      </c>
      <c r="B70" s="335">
        <f t="shared" ref="B70:B100" si="1">C70+D70</f>
        <v>912</v>
      </c>
      <c r="C70" s="71">
        <v>697</v>
      </c>
      <c r="D70" s="71">
        <v>215</v>
      </c>
      <c r="E70" s="22">
        <v>6.74</v>
      </c>
      <c r="F70" s="22">
        <v>5.15</v>
      </c>
      <c r="G70" s="125">
        <v>1.6</v>
      </c>
    </row>
    <row r="71" spans="1:7" ht="14.1" customHeight="1" x14ac:dyDescent="0.25">
      <c r="A71" s="202" t="s">
        <v>76</v>
      </c>
      <c r="B71" s="336">
        <f t="shared" si="1"/>
        <v>55</v>
      </c>
      <c r="C71" s="72">
        <v>39</v>
      </c>
      <c r="D71" s="72">
        <v>16</v>
      </c>
      <c r="E71" s="126">
        <v>7.16</v>
      </c>
      <c r="F71" s="126">
        <v>5.08</v>
      </c>
      <c r="G71" s="83">
        <v>2.09</v>
      </c>
    </row>
    <row r="72" spans="1:7" ht="14.1" customHeight="1" x14ac:dyDescent="0.25">
      <c r="A72" s="202" t="s">
        <v>77</v>
      </c>
      <c r="B72" s="336">
        <f t="shared" si="1"/>
        <v>357</v>
      </c>
      <c r="C72" s="72">
        <v>257</v>
      </c>
      <c r="D72" s="72">
        <v>100</v>
      </c>
      <c r="E72" s="126">
        <v>7.71</v>
      </c>
      <c r="F72" s="126">
        <v>5.55</v>
      </c>
      <c r="G72" s="83">
        <v>2.17</v>
      </c>
    </row>
    <row r="73" spans="1:7" ht="14.1" customHeight="1" x14ac:dyDescent="0.25">
      <c r="A73" s="202" t="s">
        <v>78</v>
      </c>
      <c r="B73" s="336">
        <f t="shared" si="1"/>
        <v>242</v>
      </c>
      <c r="C73" s="72">
        <v>190</v>
      </c>
      <c r="D73" s="72">
        <v>52</v>
      </c>
      <c r="E73" s="126">
        <v>5.16</v>
      </c>
      <c r="F73" s="126">
        <v>4.05</v>
      </c>
      <c r="G73" s="83">
        <v>1.1100000000000001</v>
      </c>
    </row>
    <row r="74" spans="1:7" ht="14.1" customHeight="1" x14ac:dyDescent="0.25">
      <c r="A74" s="202" t="s">
        <v>79</v>
      </c>
      <c r="B74" s="336">
        <f t="shared" si="1"/>
        <v>97</v>
      </c>
      <c r="C74" s="72">
        <v>71</v>
      </c>
      <c r="D74" s="72">
        <v>26</v>
      </c>
      <c r="E74" s="126">
        <v>4.67</v>
      </c>
      <c r="F74" s="126">
        <v>3.42</v>
      </c>
      <c r="G74" s="83">
        <v>1.25</v>
      </c>
    </row>
    <row r="75" spans="1:7" ht="14.1" customHeight="1" x14ac:dyDescent="0.25">
      <c r="A75" s="202" t="s">
        <v>80</v>
      </c>
      <c r="B75" s="336">
        <f t="shared" si="1"/>
        <v>35</v>
      </c>
      <c r="C75" s="72">
        <v>23</v>
      </c>
      <c r="D75" s="72">
        <v>12</v>
      </c>
      <c r="E75" s="126">
        <v>5.0999999999999996</v>
      </c>
      <c r="F75" s="126">
        <v>3.35</v>
      </c>
      <c r="G75" s="83">
        <v>1.76</v>
      </c>
    </row>
    <row r="76" spans="1:7" ht="14.1" customHeight="1" x14ac:dyDescent="0.25">
      <c r="A76" s="205" t="s">
        <v>288</v>
      </c>
      <c r="B76" s="336">
        <f t="shared" si="1"/>
        <v>110</v>
      </c>
      <c r="C76" s="72">
        <v>96</v>
      </c>
      <c r="D76" s="72">
        <v>14</v>
      </c>
      <c r="E76" s="126">
        <v>5.7</v>
      </c>
      <c r="F76" s="126">
        <v>4.9800000000000004</v>
      </c>
      <c r="G76" s="83">
        <v>0.73</v>
      </c>
    </row>
    <row r="77" spans="1:7" ht="14.1" customHeight="1" x14ac:dyDescent="0.25">
      <c r="A77" s="202" t="s">
        <v>81</v>
      </c>
      <c r="B77" s="336">
        <f t="shared" si="1"/>
        <v>258</v>
      </c>
      <c r="C77" s="72">
        <v>211</v>
      </c>
      <c r="D77" s="72">
        <v>47</v>
      </c>
      <c r="E77" s="126">
        <v>7.49</v>
      </c>
      <c r="F77" s="126">
        <v>6.13</v>
      </c>
      <c r="G77" s="83">
        <v>1.37</v>
      </c>
    </row>
    <row r="78" spans="1:7" ht="14.1" customHeight="1" x14ac:dyDescent="0.25">
      <c r="A78" s="201" t="s">
        <v>82</v>
      </c>
      <c r="B78" s="335">
        <f t="shared" si="1"/>
        <v>1371</v>
      </c>
      <c r="C78" s="71">
        <v>1024</v>
      </c>
      <c r="D78" s="71">
        <v>347</v>
      </c>
      <c r="E78" s="22">
        <v>7.67</v>
      </c>
      <c r="F78" s="22">
        <v>5.73</v>
      </c>
      <c r="G78" s="125">
        <v>1.95</v>
      </c>
    </row>
    <row r="79" spans="1:7" ht="14.1" customHeight="1" x14ac:dyDescent="0.25">
      <c r="A79" s="202" t="s">
        <v>83</v>
      </c>
      <c r="B79" s="336">
        <f t="shared" si="1"/>
        <v>27</v>
      </c>
      <c r="C79" s="72">
        <v>17</v>
      </c>
      <c r="D79" s="72">
        <v>10</v>
      </c>
      <c r="E79" s="126">
        <v>9</v>
      </c>
      <c r="F79" s="126">
        <v>5.66</v>
      </c>
      <c r="G79" s="83">
        <v>3.35</v>
      </c>
    </row>
    <row r="80" spans="1:7" ht="14.1" customHeight="1" x14ac:dyDescent="0.25">
      <c r="A80" s="202" t="s">
        <v>85</v>
      </c>
      <c r="B80" s="336">
        <f t="shared" si="1"/>
        <v>35</v>
      </c>
      <c r="C80" s="72">
        <v>31</v>
      </c>
      <c r="D80" s="72">
        <v>4</v>
      </c>
      <c r="E80" s="126">
        <v>5.76</v>
      </c>
      <c r="F80" s="126">
        <v>5.0999999999999996</v>
      </c>
      <c r="G80" s="83">
        <v>0.66</v>
      </c>
    </row>
    <row r="81" spans="1:7" ht="14.1" customHeight="1" x14ac:dyDescent="0.25">
      <c r="A81" s="202" t="s">
        <v>86</v>
      </c>
      <c r="B81" s="336">
        <f t="shared" si="1"/>
        <v>33</v>
      </c>
      <c r="C81" s="72">
        <v>26</v>
      </c>
      <c r="D81" s="72">
        <v>7</v>
      </c>
      <c r="E81" s="126">
        <v>5.9</v>
      </c>
      <c r="F81" s="126">
        <v>4.6500000000000004</v>
      </c>
      <c r="G81" s="83">
        <v>1.26</v>
      </c>
    </row>
    <row r="82" spans="1:7" ht="14.1" customHeight="1" x14ac:dyDescent="0.25">
      <c r="A82" s="202" t="s">
        <v>87</v>
      </c>
      <c r="B82" s="336">
        <f t="shared" si="1"/>
        <v>166</v>
      </c>
      <c r="C82" s="72">
        <v>135</v>
      </c>
      <c r="D82" s="72">
        <v>31</v>
      </c>
      <c r="E82" s="126">
        <v>7.82</v>
      </c>
      <c r="F82" s="126">
        <v>6.36</v>
      </c>
      <c r="G82" s="83">
        <v>1.47</v>
      </c>
    </row>
    <row r="83" spans="1:7" ht="14.1" customHeight="1" x14ac:dyDescent="0.25">
      <c r="A83" s="202" t="s">
        <v>89</v>
      </c>
      <c r="B83" s="336">
        <f t="shared" si="1"/>
        <v>230</v>
      </c>
      <c r="C83" s="72">
        <v>172</v>
      </c>
      <c r="D83" s="72">
        <v>58</v>
      </c>
      <c r="E83" s="126">
        <v>7.59</v>
      </c>
      <c r="F83" s="126">
        <v>5.67</v>
      </c>
      <c r="G83" s="83">
        <v>1.92</v>
      </c>
    </row>
    <row r="84" spans="1:7" ht="14.1" customHeight="1" x14ac:dyDescent="0.25">
      <c r="A84" s="202" t="s">
        <v>90</v>
      </c>
      <c r="B84" s="336">
        <f t="shared" si="1"/>
        <v>178</v>
      </c>
      <c r="C84" s="72">
        <v>126</v>
      </c>
      <c r="D84" s="72">
        <v>52</v>
      </c>
      <c r="E84" s="126">
        <v>6.27</v>
      </c>
      <c r="F84" s="126">
        <v>4.4400000000000004</v>
      </c>
      <c r="G84" s="83">
        <v>1.84</v>
      </c>
    </row>
    <row r="85" spans="1:7" ht="14.1" customHeight="1" x14ac:dyDescent="0.25">
      <c r="A85" s="202" t="s">
        <v>91</v>
      </c>
      <c r="B85" s="336">
        <f t="shared" si="1"/>
        <v>206</v>
      </c>
      <c r="C85" s="72">
        <v>145</v>
      </c>
      <c r="D85" s="72">
        <v>61</v>
      </c>
      <c r="E85" s="126">
        <v>8.5399999999999991</v>
      </c>
      <c r="F85" s="126">
        <v>6.01</v>
      </c>
      <c r="G85" s="83">
        <v>2.54</v>
      </c>
    </row>
    <row r="86" spans="1:7" ht="14.1" customHeight="1" x14ac:dyDescent="0.25">
      <c r="A86" s="202" t="s">
        <v>92</v>
      </c>
      <c r="B86" s="336">
        <f t="shared" si="1"/>
        <v>232</v>
      </c>
      <c r="C86" s="72">
        <v>180</v>
      </c>
      <c r="D86" s="72">
        <v>52</v>
      </c>
      <c r="E86" s="126">
        <v>7.68</v>
      </c>
      <c r="F86" s="126">
        <v>5.96</v>
      </c>
      <c r="G86" s="83">
        <v>1.73</v>
      </c>
    </row>
    <row r="87" spans="1:7" ht="14.1" customHeight="1" x14ac:dyDescent="0.25">
      <c r="A87" s="202" t="s">
        <v>93</v>
      </c>
      <c r="B87" s="336">
        <f t="shared" si="1"/>
        <v>184</v>
      </c>
      <c r="C87" s="72">
        <v>125</v>
      </c>
      <c r="D87" s="72">
        <v>59</v>
      </c>
      <c r="E87" s="126">
        <v>9.61</v>
      </c>
      <c r="F87" s="126">
        <v>6.53</v>
      </c>
      <c r="G87" s="83">
        <v>3.1</v>
      </c>
    </row>
    <row r="88" spans="1:7" ht="14.1" customHeight="1" x14ac:dyDescent="0.25">
      <c r="A88" s="202" t="s">
        <v>94</v>
      </c>
      <c r="B88" s="336">
        <f t="shared" si="1"/>
        <v>80</v>
      </c>
      <c r="C88" s="72">
        <v>67</v>
      </c>
      <c r="D88" s="72">
        <v>13</v>
      </c>
      <c r="E88" s="126">
        <v>7.43</v>
      </c>
      <c r="F88" s="126">
        <v>6.22</v>
      </c>
      <c r="G88" s="83">
        <v>1.21</v>
      </c>
    </row>
    <row r="89" spans="1:7" ht="14.1" customHeight="1" x14ac:dyDescent="0.25">
      <c r="A89" s="206" t="s">
        <v>95</v>
      </c>
      <c r="B89" s="335">
        <f t="shared" si="1"/>
        <v>748</v>
      </c>
      <c r="C89" s="71">
        <v>600</v>
      </c>
      <c r="D89" s="71">
        <v>148</v>
      </c>
      <c r="E89" s="22">
        <v>8.16</v>
      </c>
      <c r="F89" s="22">
        <v>6.55</v>
      </c>
      <c r="G89" s="125">
        <v>1.63</v>
      </c>
    </row>
    <row r="90" spans="1:7" ht="14.1" customHeight="1" x14ac:dyDescent="0.25">
      <c r="A90" s="202" t="s">
        <v>84</v>
      </c>
      <c r="B90" s="336">
        <f t="shared" si="1"/>
        <v>94</v>
      </c>
      <c r="C90" s="72">
        <v>75</v>
      </c>
      <c r="D90" s="72">
        <v>19</v>
      </c>
      <c r="E90" s="126">
        <v>7.49</v>
      </c>
      <c r="F90" s="126">
        <v>5.98</v>
      </c>
      <c r="G90" s="83">
        <v>1.52</v>
      </c>
    </row>
    <row r="91" spans="1:7" ht="14.1" customHeight="1" x14ac:dyDescent="0.25">
      <c r="A91" s="202" t="s">
        <v>96</v>
      </c>
      <c r="B91" s="336">
        <f t="shared" si="1"/>
        <v>99</v>
      </c>
      <c r="C91" s="72">
        <v>80</v>
      </c>
      <c r="D91" s="72">
        <v>19</v>
      </c>
      <c r="E91" s="126">
        <v>7.68</v>
      </c>
      <c r="F91" s="126">
        <v>6.2</v>
      </c>
      <c r="G91" s="83">
        <v>1.48</v>
      </c>
    </row>
    <row r="92" spans="1:7" ht="14.1" customHeight="1" x14ac:dyDescent="0.25">
      <c r="A92" s="202" t="s">
        <v>88</v>
      </c>
      <c r="B92" s="336">
        <f t="shared" si="1"/>
        <v>145</v>
      </c>
      <c r="C92" s="72">
        <v>120</v>
      </c>
      <c r="D92" s="72">
        <v>25</v>
      </c>
      <c r="E92" s="126">
        <v>11.45</v>
      </c>
      <c r="F92" s="126">
        <v>9.4700000000000006</v>
      </c>
      <c r="G92" s="83">
        <v>1.99</v>
      </c>
    </row>
    <row r="93" spans="1:7" ht="14.1" customHeight="1" x14ac:dyDescent="0.25">
      <c r="A93" s="202" t="s">
        <v>97</v>
      </c>
      <c r="B93" s="336">
        <f t="shared" si="1"/>
        <v>32</v>
      </c>
      <c r="C93" s="72">
        <v>21</v>
      </c>
      <c r="D93" s="72">
        <v>11</v>
      </c>
      <c r="E93" s="126">
        <v>9.61</v>
      </c>
      <c r="F93" s="126">
        <v>6.31</v>
      </c>
      <c r="G93" s="83">
        <v>3.33</v>
      </c>
    </row>
    <row r="94" spans="1:7" ht="14.1" customHeight="1" x14ac:dyDescent="0.25">
      <c r="A94" s="202" t="s">
        <v>98</v>
      </c>
      <c r="B94" s="336">
        <f t="shared" si="1"/>
        <v>118</v>
      </c>
      <c r="C94" s="72">
        <v>83</v>
      </c>
      <c r="D94" s="72">
        <v>35</v>
      </c>
      <c r="E94" s="126">
        <v>6.44</v>
      </c>
      <c r="F94" s="126">
        <v>4.53</v>
      </c>
      <c r="G94" s="83">
        <v>1.92</v>
      </c>
    </row>
    <row r="95" spans="1:7" ht="14.1" customHeight="1" x14ac:dyDescent="0.25">
      <c r="A95" s="202" t="s">
        <v>99</v>
      </c>
      <c r="B95" s="336">
        <f t="shared" si="1"/>
        <v>107</v>
      </c>
      <c r="C95" s="72">
        <v>100</v>
      </c>
      <c r="D95" s="72">
        <v>7</v>
      </c>
      <c r="E95" s="126">
        <v>7.36</v>
      </c>
      <c r="F95" s="126">
        <v>6.88</v>
      </c>
      <c r="G95" s="83">
        <v>0.49</v>
      </c>
    </row>
    <row r="96" spans="1:7" ht="14.1" customHeight="1" x14ac:dyDescent="0.25">
      <c r="A96" s="202" t="s">
        <v>100</v>
      </c>
      <c r="B96" s="336">
        <f t="shared" si="1"/>
        <v>72</v>
      </c>
      <c r="C96" s="72">
        <v>64</v>
      </c>
      <c r="D96" s="72">
        <v>8</v>
      </c>
      <c r="E96" s="126">
        <v>8.99</v>
      </c>
      <c r="F96" s="126">
        <v>8</v>
      </c>
      <c r="G96" s="83">
        <v>1.01</v>
      </c>
    </row>
    <row r="97" spans="1:7" ht="14.1" customHeight="1" x14ac:dyDescent="0.25">
      <c r="A97" s="202" t="s">
        <v>101</v>
      </c>
      <c r="B97" s="336">
        <f t="shared" si="1"/>
        <v>10</v>
      </c>
      <c r="C97" s="72">
        <v>5</v>
      </c>
      <c r="D97" s="72">
        <v>5</v>
      </c>
      <c r="E97" s="126">
        <v>7.75</v>
      </c>
      <c r="F97" s="126">
        <v>3.88</v>
      </c>
      <c r="G97" s="83">
        <v>3.89</v>
      </c>
    </row>
    <row r="98" spans="1:7" ht="14.1" customHeight="1" x14ac:dyDescent="0.25">
      <c r="A98" s="202" t="s">
        <v>102</v>
      </c>
      <c r="B98" s="336">
        <f t="shared" si="1"/>
        <v>45</v>
      </c>
      <c r="C98" s="72">
        <v>35</v>
      </c>
      <c r="D98" s="72">
        <v>10</v>
      </c>
      <c r="E98" s="126">
        <v>7.71</v>
      </c>
      <c r="F98" s="126">
        <v>6</v>
      </c>
      <c r="G98" s="83">
        <v>1.72</v>
      </c>
    </row>
    <row r="99" spans="1:7" ht="14.1" customHeight="1" x14ac:dyDescent="0.25">
      <c r="A99" s="202" t="s">
        <v>103</v>
      </c>
      <c r="B99" s="336">
        <f t="shared" si="1"/>
        <v>21</v>
      </c>
      <c r="C99" s="72">
        <v>14</v>
      </c>
      <c r="D99" s="72">
        <v>7</v>
      </c>
      <c r="E99" s="126">
        <v>12.37</v>
      </c>
      <c r="F99" s="126">
        <v>8.25</v>
      </c>
      <c r="G99" s="83">
        <v>4.16</v>
      </c>
    </row>
    <row r="100" spans="1:7" ht="14.1" customHeight="1" x14ac:dyDescent="0.25">
      <c r="A100" s="273" t="s">
        <v>104</v>
      </c>
      <c r="B100" s="370">
        <f t="shared" si="1"/>
        <v>5</v>
      </c>
      <c r="C100" s="282">
        <v>3</v>
      </c>
      <c r="D100" s="282">
        <v>2</v>
      </c>
      <c r="E100" s="286">
        <v>9.4700000000000006</v>
      </c>
      <c r="F100" s="286">
        <v>5.68</v>
      </c>
      <c r="G100" s="287">
        <v>3.81</v>
      </c>
    </row>
    <row r="103" spans="1:7" x14ac:dyDescent="0.25">
      <c r="B103" s="82"/>
    </row>
    <row r="104" spans="1:7" x14ac:dyDescent="0.25">
      <c r="B104" s="82"/>
    </row>
    <row r="105" spans="1:7" x14ac:dyDescent="0.25">
      <c r="B105" s="82"/>
    </row>
  </sheetData>
  <mergeCells count="5">
    <mergeCell ref="A1:G1"/>
    <mergeCell ref="B3:D3"/>
    <mergeCell ref="A3:A4"/>
    <mergeCell ref="E3:F3"/>
    <mergeCell ref="A2:G2"/>
  </mergeCells>
  <printOptions horizontalCentered="1"/>
  <pageMargins left="0.70866141732283472" right="0.70866141732283472" top="0.62992125984251968" bottom="0.35433070866141736" header="0.31496062992125984" footer="0.31496062992125984"/>
  <pageSetup paperSize="9" firstPageNumber="38" orientation="landscape" useFirstPageNumber="1" r:id="rId1"/>
  <headerFooter>
    <oddHeader>&amp;C&amp;"Arial,обычный"&amp;10&amp;P</oddHeader>
  </headerFooter>
  <rowBreaks count="2" manualBreakCount="2">
    <brk id="37" max="16383" man="1"/>
    <brk id="6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H206"/>
  <sheetViews>
    <sheetView zoomScaleNormal="100" zoomScaleSheetLayoutView="80" workbookViewId="0">
      <selection sqref="A1:F1"/>
    </sheetView>
  </sheetViews>
  <sheetFormatPr defaultColWidth="10.28515625" defaultRowHeight="14.25" x14ac:dyDescent="0.2"/>
  <cols>
    <col min="1" max="1" width="41.7109375" style="5" customWidth="1"/>
    <col min="2" max="4" width="16.7109375" style="5" customWidth="1"/>
    <col min="5" max="6" width="20.140625" style="5" customWidth="1"/>
    <col min="7" max="16384" width="10.28515625" style="9"/>
  </cols>
  <sheetData>
    <row r="1" spans="1:8" s="8" customFormat="1" ht="15" customHeight="1" x14ac:dyDescent="0.25">
      <c r="A1" s="563" t="s">
        <v>279</v>
      </c>
      <c r="B1" s="563"/>
      <c r="C1" s="563"/>
      <c r="D1" s="563"/>
      <c r="E1" s="563"/>
      <c r="F1" s="563"/>
    </row>
    <row r="2" spans="1:8" ht="14.25" customHeight="1" x14ac:dyDescent="0.2">
      <c r="A2" s="564"/>
      <c r="B2" s="565"/>
      <c r="C2" s="565"/>
      <c r="D2" s="565"/>
      <c r="E2" s="565"/>
      <c r="F2" s="565"/>
    </row>
    <row r="3" spans="1:8" x14ac:dyDescent="0.2">
      <c r="A3" s="566"/>
      <c r="B3" s="557" t="s">
        <v>207</v>
      </c>
      <c r="C3" s="558"/>
      <c r="D3" s="558"/>
      <c r="E3" s="557" t="s">
        <v>269</v>
      </c>
      <c r="F3" s="561"/>
    </row>
    <row r="4" spans="1:8" x14ac:dyDescent="0.2">
      <c r="A4" s="566"/>
      <c r="B4" s="559"/>
      <c r="C4" s="560"/>
      <c r="D4" s="560"/>
      <c r="E4" s="559"/>
      <c r="F4" s="562"/>
    </row>
    <row r="5" spans="1:8" ht="25.5" x14ac:dyDescent="0.2">
      <c r="A5" s="566"/>
      <c r="B5" s="248" t="s">
        <v>343</v>
      </c>
      <c r="C5" s="248" t="s">
        <v>354</v>
      </c>
      <c r="D5" s="248" t="s">
        <v>321</v>
      </c>
      <c r="E5" s="248" t="s">
        <v>343</v>
      </c>
      <c r="F5" s="248" t="s">
        <v>330</v>
      </c>
    </row>
    <row r="6" spans="1:8" s="8" customFormat="1" ht="18.75" customHeight="1" x14ac:dyDescent="0.25">
      <c r="A6" s="200" t="s">
        <v>13</v>
      </c>
      <c r="B6" s="84">
        <v>7328</v>
      </c>
      <c r="C6" s="84">
        <v>8244</v>
      </c>
      <c r="D6" s="371">
        <f>B6-C6</f>
        <v>-916</v>
      </c>
      <c r="E6" s="85">
        <v>4.9000000000000004</v>
      </c>
      <c r="F6" s="85">
        <v>5.0999999999999996</v>
      </c>
      <c r="H6" s="84"/>
    </row>
    <row r="7" spans="1:8" s="8" customFormat="1" ht="12.75" customHeight="1" x14ac:dyDescent="0.25">
      <c r="A7" s="201" t="s">
        <v>14</v>
      </c>
      <c r="B7" s="84">
        <v>1620</v>
      </c>
      <c r="C7" s="84">
        <v>1884</v>
      </c>
      <c r="D7" s="372">
        <f t="shared" ref="D7:D70" si="0">B7-C7</f>
        <v>-264</v>
      </c>
      <c r="E7" s="85">
        <v>4.4000000000000004</v>
      </c>
      <c r="F7" s="85">
        <v>4.8</v>
      </c>
      <c r="H7" s="84"/>
    </row>
    <row r="8" spans="1:8" ht="12.75" customHeight="1" x14ac:dyDescent="0.2">
      <c r="A8" s="202" t="s">
        <v>15</v>
      </c>
      <c r="B8" s="86">
        <v>39</v>
      </c>
      <c r="C8" s="86">
        <v>73</v>
      </c>
      <c r="D8" s="373">
        <f t="shared" si="0"/>
        <v>-34</v>
      </c>
      <c r="E8" s="87">
        <v>2.9</v>
      </c>
      <c r="F8" s="87">
        <v>5.0999999999999996</v>
      </c>
      <c r="H8" s="86"/>
    </row>
    <row r="9" spans="1:8" ht="12.75" customHeight="1" x14ac:dyDescent="0.2">
      <c r="A9" s="202" t="s">
        <v>16</v>
      </c>
      <c r="B9" s="86">
        <v>37</v>
      </c>
      <c r="C9" s="86">
        <v>45</v>
      </c>
      <c r="D9" s="373">
        <f t="shared" si="0"/>
        <v>-8</v>
      </c>
      <c r="E9" s="87">
        <v>3.6</v>
      </c>
      <c r="F9" s="87">
        <v>4</v>
      </c>
      <c r="H9" s="86"/>
    </row>
    <row r="10" spans="1:8" ht="12.75" customHeight="1" x14ac:dyDescent="0.2">
      <c r="A10" s="202" t="s">
        <v>17</v>
      </c>
      <c r="B10" s="86">
        <v>58</v>
      </c>
      <c r="C10" s="86">
        <v>67</v>
      </c>
      <c r="D10" s="373">
        <f t="shared" si="0"/>
        <v>-9</v>
      </c>
      <c r="E10" s="87">
        <v>5.0999999999999996</v>
      </c>
      <c r="F10" s="87">
        <v>5.2</v>
      </c>
      <c r="H10" s="86"/>
    </row>
    <row r="11" spans="1:8" ht="12.75" customHeight="1" x14ac:dyDescent="0.2">
      <c r="A11" s="202" t="s">
        <v>18</v>
      </c>
      <c r="B11" s="86">
        <v>81</v>
      </c>
      <c r="C11" s="86">
        <v>99</v>
      </c>
      <c r="D11" s="373">
        <f t="shared" si="0"/>
        <v>-18</v>
      </c>
      <c r="E11" s="87">
        <v>4.0999999999999996</v>
      </c>
      <c r="F11" s="87">
        <v>4.5999999999999996</v>
      </c>
      <c r="H11" s="86"/>
    </row>
    <row r="12" spans="1:8" ht="12.75" customHeight="1" x14ac:dyDescent="0.2">
      <c r="A12" s="202" t="s">
        <v>19</v>
      </c>
      <c r="B12" s="86">
        <v>40</v>
      </c>
      <c r="C12" s="86">
        <v>35</v>
      </c>
      <c r="D12" s="373">
        <f t="shared" si="0"/>
        <v>5</v>
      </c>
      <c r="E12" s="87">
        <v>4.9000000000000004</v>
      </c>
      <c r="F12" s="87">
        <v>3.8</v>
      </c>
      <c r="H12" s="86"/>
    </row>
    <row r="13" spans="1:8" ht="12.75" customHeight="1" x14ac:dyDescent="0.2">
      <c r="A13" s="202" t="s">
        <v>20</v>
      </c>
      <c r="B13" s="86">
        <v>36</v>
      </c>
      <c r="C13" s="86">
        <v>51</v>
      </c>
      <c r="D13" s="373">
        <f t="shared" si="0"/>
        <v>-15</v>
      </c>
      <c r="E13" s="87">
        <v>3.9</v>
      </c>
      <c r="F13" s="87">
        <v>4.9000000000000004</v>
      </c>
      <c r="H13" s="86"/>
    </row>
    <row r="14" spans="1:8" ht="12.75" customHeight="1" x14ac:dyDescent="0.2">
      <c r="A14" s="203" t="s">
        <v>21</v>
      </c>
      <c r="B14" s="86">
        <v>43</v>
      </c>
      <c r="C14" s="86">
        <v>35</v>
      </c>
      <c r="D14" s="373">
        <f t="shared" si="0"/>
        <v>8</v>
      </c>
      <c r="E14" s="87">
        <v>7.3</v>
      </c>
      <c r="F14" s="87">
        <v>5.6</v>
      </c>
      <c r="H14" s="86"/>
    </row>
    <row r="15" spans="1:8" ht="12.75" customHeight="1" x14ac:dyDescent="0.2">
      <c r="A15" s="202" t="s">
        <v>22</v>
      </c>
      <c r="B15" s="86">
        <v>41</v>
      </c>
      <c r="C15" s="86">
        <v>55</v>
      </c>
      <c r="D15" s="373">
        <f t="shared" si="0"/>
        <v>-14</v>
      </c>
      <c r="E15" s="87">
        <v>4.3</v>
      </c>
      <c r="F15" s="87">
        <v>5.3</v>
      </c>
      <c r="H15" s="86"/>
    </row>
    <row r="16" spans="1:8" ht="12.75" customHeight="1" x14ac:dyDescent="0.2">
      <c r="A16" s="202" t="s">
        <v>23</v>
      </c>
      <c r="B16" s="86">
        <v>29</v>
      </c>
      <c r="C16" s="86">
        <v>39</v>
      </c>
      <c r="D16" s="373">
        <f t="shared" si="0"/>
        <v>-10</v>
      </c>
      <c r="E16" s="87">
        <v>2.9</v>
      </c>
      <c r="F16" s="87">
        <v>3.6</v>
      </c>
      <c r="H16" s="86"/>
    </row>
    <row r="17" spans="1:8" ht="12.75" customHeight="1" x14ac:dyDescent="0.2">
      <c r="A17" s="202" t="s">
        <v>24</v>
      </c>
      <c r="B17" s="86">
        <v>296</v>
      </c>
      <c r="C17" s="86">
        <v>341</v>
      </c>
      <c r="D17" s="373">
        <f t="shared" si="0"/>
        <v>-45</v>
      </c>
      <c r="E17" s="87">
        <v>4</v>
      </c>
      <c r="F17" s="87">
        <v>4.0999999999999996</v>
      </c>
      <c r="H17" s="86"/>
    </row>
    <row r="18" spans="1:8" ht="12.75" customHeight="1" x14ac:dyDescent="0.2">
      <c r="A18" s="202" t="s">
        <v>25</v>
      </c>
      <c r="B18" s="86">
        <v>32</v>
      </c>
      <c r="C18" s="86">
        <v>35</v>
      </c>
      <c r="D18" s="373">
        <f t="shared" si="0"/>
        <v>-3</v>
      </c>
      <c r="E18" s="87">
        <v>5.2</v>
      </c>
      <c r="F18" s="87">
        <v>5.0999999999999996</v>
      </c>
      <c r="H18" s="86"/>
    </row>
    <row r="19" spans="1:8" ht="12.75" customHeight="1" x14ac:dyDescent="0.2">
      <c r="A19" s="203" t="s">
        <v>26</v>
      </c>
      <c r="B19" s="86">
        <v>46</v>
      </c>
      <c r="C19" s="86">
        <v>49</v>
      </c>
      <c r="D19" s="373">
        <f t="shared" si="0"/>
        <v>-3</v>
      </c>
      <c r="E19" s="87">
        <v>4.9000000000000004</v>
      </c>
      <c r="F19" s="87">
        <v>4.7</v>
      </c>
      <c r="H19" s="86"/>
    </row>
    <row r="20" spans="1:8" ht="12.75" customHeight="1" x14ac:dyDescent="0.2">
      <c r="A20" s="202" t="s">
        <v>27</v>
      </c>
      <c r="B20" s="86">
        <v>29</v>
      </c>
      <c r="C20" s="86">
        <v>52</v>
      </c>
      <c r="D20" s="373">
        <f t="shared" si="0"/>
        <v>-23</v>
      </c>
      <c r="E20" s="87">
        <v>4</v>
      </c>
      <c r="F20" s="87">
        <v>6.6</v>
      </c>
      <c r="H20" s="86"/>
    </row>
    <row r="21" spans="1:8" ht="12.75" customHeight="1" x14ac:dyDescent="0.2">
      <c r="A21" s="202" t="s">
        <v>28</v>
      </c>
      <c r="B21" s="86">
        <v>30</v>
      </c>
      <c r="C21" s="86">
        <v>33</v>
      </c>
      <c r="D21" s="373">
        <f t="shared" si="0"/>
        <v>-3</v>
      </c>
      <c r="E21" s="87">
        <v>3.8</v>
      </c>
      <c r="F21" s="87">
        <v>3.9</v>
      </c>
      <c r="H21" s="86"/>
    </row>
    <row r="22" spans="1:8" ht="12.75" customHeight="1" x14ac:dyDescent="0.2">
      <c r="A22" s="202" t="s">
        <v>29</v>
      </c>
      <c r="B22" s="86">
        <v>45</v>
      </c>
      <c r="C22" s="86">
        <v>57</v>
      </c>
      <c r="D22" s="373">
        <f t="shared" si="0"/>
        <v>-12</v>
      </c>
      <c r="E22" s="87">
        <v>4.2</v>
      </c>
      <c r="F22" s="87">
        <v>4.8</v>
      </c>
      <c r="H22" s="86"/>
    </row>
    <row r="23" spans="1:8" ht="12.75" customHeight="1" x14ac:dyDescent="0.2">
      <c r="A23" s="202" t="s">
        <v>30</v>
      </c>
      <c r="B23" s="86">
        <v>54</v>
      </c>
      <c r="C23" s="86">
        <v>61</v>
      </c>
      <c r="D23" s="373">
        <f t="shared" si="0"/>
        <v>-7</v>
      </c>
      <c r="E23" s="87">
        <v>4.8</v>
      </c>
      <c r="F23" s="87">
        <v>4.9000000000000004</v>
      </c>
      <c r="H23" s="86"/>
    </row>
    <row r="24" spans="1:8" ht="12.75" customHeight="1" x14ac:dyDescent="0.2">
      <c r="A24" s="202" t="s">
        <v>31</v>
      </c>
      <c r="B24" s="86">
        <v>37</v>
      </c>
      <c r="C24" s="86">
        <v>42</v>
      </c>
      <c r="D24" s="373">
        <f t="shared" si="0"/>
        <v>-5</v>
      </c>
      <c r="E24" s="87">
        <v>3.3</v>
      </c>
      <c r="F24" s="87">
        <v>3.4</v>
      </c>
      <c r="H24" s="86"/>
    </row>
    <row r="25" spans="1:8" ht="12.75" customHeight="1" x14ac:dyDescent="0.2">
      <c r="A25" s="202" t="s">
        <v>32</v>
      </c>
      <c r="B25" s="86">
        <v>647</v>
      </c>
      <c r="C25" s="86">
        <v>715</v>
      </c>
      <c r="D25" s="373">
        <f t="shared" si="0"/>
        <v>-68</v>
      </c>
      <c r="E25" s="87">
        <v>4.8</v>
      </c>
      <c r="F25" s="87">
        <v>5.4</v>
      </c>
      <c r="H25" s="86"/>
    </row>
    <row r="26" spans="1:8" s="8" customFormat="1" ht="12.75" customHeight="1" x14ac:dyDescent="0.25">
      <c r="A26" s="204" t="s">
        <v>33</v>
      </c>
      <c r="B26" s="88">
        <v>593</v>
      </c>
      <c r="C26" s="88">
        <v>619</v>
      </c>
      <c r="D26" s="375">
        <f t="shared" si="0"/>
        <v>-26</v>
      </c>
      <c r="E26" s="89">
        <v>4.4000000000000004</v>
      </c>
      <c r="F26" s="89">
        <v>4.2</v>
      </c>
      <c r="H26" s="88"/>
    </row>
    <row r="27" spans="1:8" ht="12.75" customHeight="1" x14ac:dyDescent="0.2">
      <c r="A27" s="202" t="s">
        <v>34</v>
      </c>
      <c r="B27" s="86">
        <v>26</v>
      </c>
      <c r="C27" s="86">
        <v>34</v>
      </c>
      <c r="D27" s="373">
        <f t="shared" si="0"/>
        <v>-8</v>
      </c>
      <c r="E27" s="87">
        <v>4.7</v>
      </c>
      <c r="F27" s="87">
        <v>5.6</v>
      </c>
      <c r="H27" s="86"/>
    </row>
    <row r="28" spans="1:8" ht="12.75" customHeight="1" x14ac:dyDescent="0.2">
      <c r="A28" s="202" t="s">
        <v>35</v>
      </c>
      <c r="B28" s="86">
        <v>40</v>
      </c>
      <c r="C28" s="86">
        <v>39</v>
      </c>
      <c r="D28" s="373">
        <f t="shared" si="0"/>
        <v>1</v>
      </c>
      <c r="E28" s="87">
        <v>5</v>
      </c>
      <c r="F28" s="87">
        <v>4.5</v>
      </c>
      <c r="H28" s="86"/>
    </row>
    <row r="29" spans="1:8" ht="12.75" customHeight="1" x14ac:dyDescent="0.2">
      <c r="A29" s="202" t="s">
        <v>36</v>
      </c>
      <c r="B29" s="86">
        <v>59</v>
      </c>
      <c r="C29" s="86">
        <v>54</v>
      </c>
      <c r="D29" s="373">
        <f t="shared" si="0"/>
        <v>5</v>
      </c>
      <c r="E29" s="87">
        <v>5.7</v>
      </c>
      <c r="F29" s="87">
        <v>4.8</v>
      </c>
      <c r="H29" s="86"/>
    </row>
    <row r="30" spans="1:8" ht="12.75" customHeight="1" x14ac:dyDescent="0.2">
      <c r="A30" s="202" t="s">
        <v>37</v>
      </c>
      <c r="B30" s="86">
        <v>1</v>
      </c>
      <c r="C30" s="86">
        <v>1</v>
      </c>
      <c r="D30" s="373">
        <f t="shared" si="0"/>
        <v>0</v>
      </c>
      <c r="E30" s="87">
        <v>1.7</v>
      </c>
      <c r="F30" s="87">
        <v>1.6</v>
      </c>
      <c r="H30" s="86"/>
    </row>
    <row r="31" spans="1:8" ht="12.75" customHeight="1" x14ac:dyDescent="0.2">
      <c r="A31" s="205" t="s">
        <v>287</v>
      </c>
      <c r="B31" s="86">
        <v>58</v>
      </c>
      <c r="C31" s="86">
        <v>53</v>
      </c>
      <c r="D31" s="373">
        <f t="shared" si="0"/>
        <v>5</v>
      </c>
      <c r="E31" s="87">
        <v>5.9</v>
      </c>
      <c r="F31" s="87">
        <v>4.9000000000000004</v>
      </c>
      <c r="H31" s="86"/>
    </row>
    <row r="32" spans="1:8" ht="12.75" customHeight="1" x14ac:dyDescent="0.2">
      <c r="A32" s="202" t="s">
        <v>38</v>
      </c>
      <c r="B32" s="86">
        <v>66</v>
      </c>
      <c r="C32" s="86">
        <v>65</v>
      </c>
      <c r="D32" s="373">
        <f t="shared" si="0"/>
        <v>1</v>
      </c>
      <c r="E32" s="87">
        <v>5.9</v>
      </c>
      <c r="F32" s="87">
        <v>5.2</v>
      </c>
      <c r="H32" s="86"/>
    </row>
    <row r="33" spans="1:8" ht="12.75" customHeight="1" x14ac:dyDescent="0.2">
      <c r="A33" s="202" t="s">
        <v>39</v>
      </c>
      <c r="B33" s="86">
        <v>56</v>
      </c>
      <c r="C33" s="86">
        <v>47</v>
      </c>
      <c r="D33" s="373">
        <f t="shared" si="0"/>
        <v>9</v>
      </c>
      <c r="E33" s="87">
        <v>5.9</v>
      </c>
      <c r="F33" s="87">
        <v>4.5</v>
      </c>
      <c r="H33" s="86"/>
    </row>
    <row r="34" spans="1:8" ht="12.75" customHeight="1" x14ac:dyDescent="0.2">
      <c r="A34" s="202" t="s">
        <v>40</v>
      </c>
      <c r="B34" s="86">
        <v>40</v>
      </c>
      <c r="C34" s="86">
        <v>46</v>
      </c>
      <c r="D34" s="373">
        <f t="shared" si="0"/>
        <v>-6</v>
      </c>
      <c r="E34" s="87">
        <v>2.9</v>
      </c>
      <c r="F34" s="87">
        <v>3.3</v>
      </c>
      <c r="H34" s="86"/>
    </row>
    <row r="35" spans="1:8" ht="12.75" customHeight="1" x14ac:dyDescent="0.2">
      <c r="A35" s="202" t="s">
        <v>41</v>
      </c>
      <c r="B35" s="86">
        <v>34</v>
      </c>
      <c r="C35" s="86">
        <v>42</v>
      </c>
      <c r="D35" s="373">
        <f t="shared" si="0"/>
        <v>-8</v>
      </c>
      <c r="E35" s="87">
        <v>5</v>
      </c>
      <c r="F35" s="87">
        <v>5.6</v>
      </c>
      <c r="H35" s="86"/>
    </row>
    <row r="36" spans="1:8" ht="12.75" customHeight="1" x14ac:dyDescent="0.2">
      <c r="A36" s="202" t="s">
        <v>42</v>
      </c>
      <c r="B36" s="86">
        <v>28</v>
      </c>
      <c r="C36" s="86">
        <v>28</v>
      </c>
      <c r="D36" s="373">
        <f t="shared" si="0"/>
        <v>0</v>
      </c>
      <c r="E36" s="87">
        <v>5.2</v>
      </c>
      <c r="F36" s="87">
        <v>4.7</v>
      </c>
      <c r="H36" s="86"/>
    </row>
    <row r="37" spans="1:8" ht="12.75" customHeight="1" x14ac:dyDescent="0.2">
      <c r="A37" s="202" t="s">
        <v>43</v>
      </c>
      <c r="B37" s="86">
        <v>30</v>
      </c>
      <c r="C37" s="86">
        <v>25</v>
      </c>
      <c r="D37" s="373">
        <f t="shared" si="0"/>
        <v>5</v>
      </c>
      <c r="E37" s="87">
        <v>5.6</v>
      </c>
      <c r="F37" s="87">
        <v>4.3</v>
      </c>
      <c r="H37" s="86"/>
    </row>
    <row r="38" spans="1:8" s="8" customFormat="1" ht="12.75" customHeight="1" x14ac:dyDescent="0.25">
      <c r="A38" s="202" t="s">
        <v>44</v>
      </c>
      <c r="B38" s="86">
        <v>214</v>
      </c>
      <c r="C38" s="86">
        <v>239</v>
      </c>
      <c r="D38" s="373">
        <f t="shared" si="0"/>
        <v>-25</v>
      </c>
      <c r="E38" s="87">
        <v>3.6</v>
      </c>
      <c r="F38" s="87">
        <v>3.7</v>
      </c>
      <c r="H38" s="86"/>
    </row>
    <row r="39" spans="1:8" ht="12.75" customHeight="1" x14ac:dyDescent="0.2">
      <c r="A39" s="206" t="s">
        <v>45</v>
      </c>
      <c r="B39" s="337">
        <v>698</v>
      </c>
      <c r="C39" s="337">
        <v>798</v>
      </c>
      <c r="D39" s="375">
        <f t="shared" si="0"/>
        <v>-100</v>
      </c>
      <c r="E39" s="338">
        <v>4.3</v>
      </c>
      <c r="F39" s="338">
        <v>4.5999999999999996</v>
      </c>
      <c r="H39" s="337"/>
    </row>
    <row r="40" spans="1:8" ht="12.75" customHeight="1" x14ac:dyDescent="0.2">
      <c r="A40" s="202" t="s">
        <v>46</v>
      </c>
      <c r="B40" s="86">
        <v>20</v>
      </c>
      <c r="C40" s="86">
        <v>18</v>
      </c>
      <c r="D40" s="373">
        <f t="shared" si="0"/>
        <v>2</v>
      </c>
      <c r="E40" s="87">
        <v>4.8</v>
      </c>
      <c r="F40" s="87">
        <v>3.9</v>
      </c>
      <c r="H40" s="86"/>
    </row>
    <row r="41" spans="1:8" ht="12.75" customHeight="1" x14ac:dyDescent="0.2">
      <c r="A41" s="202" t="s">
        <v>47</v>
      </c>
      <c r="B41" s="86">
        <v>4</v>
      </c>
      <c r="C41" s="86">
        <v>19</v>
      </c>
      <c r="D41" s="373">
        <f t="shared" si="0"/>
        <v>-15</v>
      </c>
      <c r="E41" s="87">
        <v>1.4</v>
      </c>
      <c r="F41" s="87">
        <v>6.2</v>
      </c>
      <c r="H41" s="86"/>
    </row>
    <row r="42" spans="1:8" ht="12.75" customHeight="1" x14ac:dyDescent="0.2">
      <c r="A42" s="202" t="s">
        <v>202</v>
      </c>
      <c r="B42" s="86">
        <v>89</v>
      </c>
      <c r="C42" s="86">
        <v>80</v>
      </c>
      <c r="D42" s="373">
        <f t="shared" si="0"/>
        <v>9</v>
      </c>
      <c r="E42" s="87">
        <v>4.5999999999999996</v>
      </c>
      <c r="F42" s="87">
        <v>3.9</v>
      </c>
      <c r="H42" s="86"/>
    </row>
    <row r="43" spans="1:8" ht="12.75" customHeight="1" x14ac:dyDescent="0.2">
      <c r="A43" s="202" t="s">
        <v>48</v>
      </c>
      <c r="B43" s="86">
        <v>229</v>
      </c>
      <c r="C43" s="86">
        <v>263</v>
      </c>
      <c r="D43" s="373">
        <f t="shared" si="0"/>
        <v>-34</v>
      </c>
      <c r="E43" s="87">
        <v>3.7</v>
      </c>
      <c r="F43" s="87">
        <v>4</v>
      </c>
      <c r="H43" s="86"/>
    </row>
    <row r="44" spans="1:8" ht="12.75" customHeight="1" x14ac:dyDescent="0.2">
      <c r="A44" s="202" t="s">
        <v>49</v>
      </c>
      <c r="B44" s="86">
        <v>72</v>
      </c>
      <c r="C44" s="86">
        <v>71</v>
      </c>
      <c r="D44" s="373">
        <f t="shared" si="0"/>
        <v>1</v>
      </c>
      <c r="E44" s="87">
        <v>6.4</v>
      </c>
      <c r="F44" s="87">
        <v>6</v>
      </c>
      <c r="H44" s="86"/>
    </row>
    <row r="45" spans="1:8" ht="12.75" customHeight="1" x14ac:dyDescent="0.2">
      <c r="A45" s="202" t="s">
        <v>50</v>
      </c>
      <c r="B45" s="86">
        <v>87</v>
      </c>
      <c r="C45" s="86">
        <v>122</v>
      </c>
      <c r="D45" s="373">
        <f t="shared" si="0"/>
        <v>-35</v>
      </c>
      <c r="E45" s="87">
        <v>4.0999999999999996</v>
      </c>
      <c r="F45" s="87">
        <v>5.0999999999999996</v>
      </c>
      <c r="H45" s="86"/>
    </row>
    <row r="46" spans="1:8" ht="12.75" customHeight="1" x14ac:dyDescent="0.2">
      <c r="A46" s="202" t="s">
        <v>51</v>
      </c>
      <c r="B46" s="86">
        <v>182</v>
      </c>
      <c r="C46" s="86">
        <v>212</v>
      </c>
      <c r="D46" s="373">
        <f t="shared" si="0"/>
        <v>-30</v>
      </c>
      <c r="E46" s="87">
        <v>4.8</v>
      </c>
      <c r="F46" s="87">
        <v>5.0999999999999996</v>
      </c>
      <c r="H46" s="86"/>
    </row>
    <row r="47" spans="1:8" ht="12.75" customHeight="1" x14ac:dyDescent="0.2">
      <c r="A47" s="202" t="s">
        <v>204</v>
      </c>
      <c r="B47" s="86">
        <v>15</v>
      </c>
      <c r="C47" s="86">
        <v>13</v>
      </c>
      <c r="D47" s="373">
        <f t="shared" si="0"/>
        <v>2</v>
      </c>
      <c r="E47" s="87">
        <v>3.5</v>
      </c>
      <c r="F47" s="87">
        <v>2.8</v>
      </c>
      <c r="H47" s="86"/>
    </row>
    <row r="48" spans="1:8" ht="12.75" customHeight="1" x14ac:dyDescent="0.2">
      <c r="A48" s="207" t="s">
        <v>52</v>
      </c>
      <c r="B48" s="88">
        <v>868</v>
      </c>
      <c r="C48" s="88">
        <v>982</v>
      </c>
      <c r="D48" s="375">
        <f t="shared" si="0"/>
        <v>-114</v>
      </c>
      <c r="E48" s="89">
        <v>6.3</v>
      </c>
      <c r="F48" s="89">
        <v>6.9</v>
      </c>
      <c r="H48" s="88"/>
    </row>
    <row r="49" spans="1:8" ht="12.75" customHeight="1" x14ac:dyDescent="0.2">
      <c r="A49" s="202" t="s">
        <v>53</v>
      </c>
      <c r="B49" s="86">
        <v>357</v>
      </c>
      <c r="C49" s="86">
        <v>381</v>
      </c>
      <c r="D49" s="373">
        <f t="shared" si="0"/>
        <v>-24</v>
      </c>
      <c r="E49" s="87">
        <v>7.7</v>
      </c>
      <c r="F49" s="87">
        <v>7.8</v>
      </c>
      <c r="H49" s="86"/>
    </row>
    <row r="50" spans="1:8" ht="12.75" customHeight="1" x14ac:dyDescent="0.2">
      <c r="A50" s="202" t="s">
        <v>54</v>
      </c>
      <c r="B50" s="86">
        <v>49</v>
      </c>
      <c r="C50" s="86">
        <v>49</v>
      </c>
      <c r="D50" s="373">
        <f t="shared" si="0"/>
        <v>0</v>
      </c>
      <c r="E50" s="87">
        <v>6</v>
      </c>
      <c r="F50" s="87">
        <v>6.1</v>
      </c>
      <c r="H50" s="86"/>
    </row>
    <row r="51" spans="1:8" ht="12.75" customHeight="1" x14ac:dyDescent="0.2">
      <c r="A51" s="202" t="s">
        <v>55</v>
      </c>
      <c r="B51" s="86">
        <v>50</v>
      </c>
      <c r="C51" s="86">
        <v>52</v>
      </c>
      <c r="D51" s="373">
        <f t="shared" si="0"/>
        <v>-2</v>
      </c>
      <c r="E51" s="87">
        <v>4.9000000000000004</v>
      </c>
      <c r="F51" s="87">
        <v>4.8</v>
      </c>
      <c r="H51" s="86"/>
    </row>
    <row r="52" spans="1:8" ht="12.75" customHeight="1" x14ac:dyDescent="0.2">
      <c r="A52" s="202" t="s">
        <v>56</v>
      </c>
      <c r="B52" s="86">
        <v>27</v>
      </c>
      <c r="C52" s="86">
        <v>41</v>
      </c>
      <c r="D52" s="373">
        <f t="shared" si="0"/>
        <v>-14</v>
      </c>
      <c r="E52" s="87">
        <v>5.4</v>
      </c>
      <c r="F52" s="87">
        <v>8.1999999999999993</v>
      </c>
      <c r="H52" s="86"/>
    </row>
    <row r="53" spans="1:8" ht="12.75" customHeight="1" x14ac:dyDescent="0.2">
      <c r="A53" s="202" t="s">
        <v>57</v>
      </c>
      <c r="B53" s="86">
        <v>53</v>
      </c>
      <c r="C53" s="86">
        <v>42</v>
      </c>
      <c r="D53" s="373">
        <f t="shared" si="0"/>
        <v>11</v>
      </c>
      <c r="E53" s="87">
        <v>6.1</v>
      </c>
      <c r="F53" s="87">
        <v>4.5999999999999996</v>
      </c>
      <c r="H53" s="86"/>
    </row>
    <row r="54" spans="1:8" ht="12.75" customHeight="1" x14ac:dyDescent="0.2">
      <c r="A54" s="202" t="s">
        <v>58</v>
      </c>
      <c r="B54" s="86">
        <v>167</v>
      </c>
      <c r="C54" s="86">
        <v>209</v>
      </c>
      <c r="D54" s="373">
        <f t="shared" si="0"/>
        <v>-42</v>
      </c>
      <c r="E54" s="87">
        <v>5.6</v>
      </c>
      <c r="F54" s="87">
        <v>6.9</v>
      </c>
      <c r="H54" s="86"/>
    </row>
    <row r="55" spans="1:8" s="8" customFormat="1" ht="12.75" customHeight="1" x14ac:dyDescent="0.25">
      <c r="A55" s="202" t="s">
        <v>59</v>
      </c>
      <c r="B55" s="86">
        <v>165</v>
      </c>
      <c r="C55" s="86">
        <v>208</v>
      </c>
      <c r="D55" s="373">
        <f t="shared" si="0"/>
        <v>-43</v>
      </c>
      <c r="E55" s="87">
        <v>5.8</v>
      </c>
      <c r="F55" s="87">
        <v>6.7</v>
      </c>
      <c r="H55" s="86"/>
    </row>
    <row r="56" spans="1:8" ht="12.75" customHeight="1" x14ac:dyDescent="0.2">
      <c r="A56" s="201" t="s">
        <v>60</v>
      </c>
      <c r="B56" s="88">
        <v>1331</v>
      </c>
      <c r="C56" s="88">
        <v>1509</v>
      </c>
      <c r="D56" s="375">
        <f t="shared" si="0"/>
        <v>-178</v>
      </c>
      <c r="E56" s="89">
        <v>4.7</v>
      </c>
      <c r="F56" s="89">
        <v>4.8</v>
      </c>
      <c r="H56" s="88"/>
    </row>
    <row r="57" spans="1:8" ht="12.75" customHeight="1" x14ac:dyDescent="0.2">
      <c r="A57" s="202" t="s">
        <v>61</v>
      </c>
      <c r="B57" s="86">
        <v>261</v>
      </c>
      <c r="C57" s="86">
        <v>240</v>
      </c>
      <c r="D57" s="373">
        <f t="shared" si="0"/>
        <v>21</v>
      </c>
      <c r="E57" s="87">
        <v>6.1</v>
      </c>
      <c r="F57" s="87">
        <v>5.0999999999999996</v>
      </c>
      <c r="H57" s="86"/>
    </row>
    <row r="58" spans="1:8" ht="12.75" customHeight="1" x14ac:dyDescent="0.2">
      <c r="A58" s="202" t="s">
        <v>62</v>
      </c>
      <c r="B58" s="86">
        <v>30</v>
      </c>
      <c r="C58" s="86">
        <v>42</v>
      </c>
      <c r="D58" s="373">
        <f t="shared" si="0"/>
        <v>-12</v>
      </c>
      <c r="E58" s="87">
        <v>4.4000000000000004</v>
      </c>
      <c r="F58" s="87">
        <v>5.6</v>
      </c>
      <c r="H58" s="86"/>
    </row>
    <row r="59" spans="1:8" ht="12.75" customHeight="1" x14ac:dyDescent="0.2">
      <c r="A59" s="202" t="s">
        <v>63</v>
      </c>
      <c r="B59" s="86">
        <v>26</v>
      </c>
      <c r="C59" s="86">
        <v>20</v>
      </c>
      <c r="D59" s="373">
        <f t="shared" si="0"/>
        <v>6</v>
      </c>
      <c r="E59" s="87">
        <v>4.3</v>
      </c>
      <c r="F59" s="87">
        <v>3</v>
      </c>
      <c r="H59" s="86"/>
    </row>
    <row r="60" spans="1:8" ht="12.75" customHeight="1" x14ac:dyDescent="0.2">
      <c r="A60" s="202" t="s">
        <v>64</v>
      </c>
      <c r="B60" s="86">
        <v>210</v>
      </c>
      <c r="C60" s="86">
        <v>207</v>
      </c>
      <c r="D60" s="373">
        <f t="shared" si="0"/>
        <v>3</v>
      </c>
      <c r="E60" s="87">
        <v>4.9000000000000004</v>
      </c>
      <c r="F60" s="87">
        <v>4.5</v>
      </c>
      <c r="H60" s="86"/>
    </row>
    <row r="61" spans="1:8" ht="12.75" customHeight="1" x14ac:dyDescent="0.2">
      <c r="A61" s="202" t="s">
        <v>65</v>
      </c>
      <c r="B61" s="86">
        <v>66</v>
      </c>
      <c r="C61" s="86">
        <v>72</v>
      </c>
      <c r="D61" s="373">
        <f t="shared" si="0"/>
        <v>-6</v>
      </c>
      <c r="E61" s="87">
        <v>4.4000000000000004</v>
      </c>
      <c r="F61" s="87">
        <v>4.3</v>
      </c>
      <c r="H61" s="86"/>
    </row>
    <row r="62" spans="1:8" ht="12.75" customHeight="1" x14ac:dyDescent="0.2">
      <c r="A62" s="202" t="s">
        <v>66</v>
      </c>
      <c r="B62" s="86">
        <v>36</v>
      </c>
      <c r="C62" s="86">
        <v>58</v>
      </c>
      <c r="D62" s="373">
        <f t="shared" si="0"/>
        <v>-22</v>
      </c>
      <c r="E62" s="87">
        <v>3</v>
      </c>
      <c r="F62" s="87">
        <v>4.4000000000000004</v>
      </c>
      <c r="H62" s="86"/>
    </row>
    <row r="63" spans="1:8" ht="12.75" customHeight="1" x14ac:dyDescent="0.2">
      <c r="A63" s="202" t="s">
        <v>67</v>
      </c>
      <c r="B63" s="86">
        <v>113</v>
      </c>
      <c r="C63" s="86">
        <v>139</v>
      </c>
      <c r="D63" s="373">
        <f t="shared" si="0"/>
        <v>-26</v>
      </c>
      <c r="E63" s="87">
        <v>4.2</v>
      </c>
      <c r="F63" s="87">
        <v>4.7</v>
      </c>
      <c r="H63" s="86"/>
    </row>
    <row r="64" spans="1:8" ht="12.75" customHeight="1" x14ac:dyDescent="0.2">
      <c r="A64" s="202" t="s">
        <v>68</v>
      </c>
      <c r="B64" s="86">
        <v>37</v>
      </c>
      <c r="C64" s="86">
        <v>56</v>
      </c>
      <c r="D64" s="373">
        <f t="shared" si="0"/>
        <v>-19</v>
      </c>
      <c r="E64" s="87">
        <v>3.2</v>
      </c>
      <c r="F64" s="87">
        <v>4.4000000000000004</v>
      </c>
      <c r="H64" s="86"/>
    </row>
    <row r="65" spans="1:8" ht="12.75" customHeight="1" x14ac:dyDescent="0.2">
      <c r="A65" s="202" t="s">
        <v>69</v>
      </c>
      <c r="B65" s="86">
        <v>146</v>
      </c>
      <c r="C65" s="86">
        <v>188</v>
      </c>
      <c r="D65" s="373">
        <f t="shared" si="0"/>
        <v>-42</v>
      </c>
      <c r="E65" s="87">
        <v>5</v>
      </c>
      <c r="F65" s="87">
        <v>5.8</v>
      </c>
      <c r="H65" s="86"/>
    </row>
    <row r="66" spans="1:8" ht="12.75" customHeight="1" x14ac:dyDescent="0.2">
      <c r="A66" s="202" t="s">
        <v>70</v>
      </c>
      <c r="B66" s="86">
        <v>89</v>
      </c>
      <c r="C66" s="86">
        <v>118</v>
      </c>
      <c r="D66" s="373">
        <f t="shared" si="0"/>
        <v>-29</v>
      </c>
      <c r="E66" s="87">
        <v>4.4000000000000004</v>
      </c>
      <c r="F66" s="87">
        <v>5.4</v>
      </c>
      <c r="H66" s="86"/>
    </row>
    <row r="67" spans="1:8" ht="12.75" customHeight="1" x14ac:dyDescent="0.2">
      <c r="A67" s="202" t="s">
        <v>71</v>
      </c>
      <c r="B67" s="86">
        <v>57</v>
      </c>
      <c r="C67" s="86">
        <v>46</v>
      </c>
      <c r="D67" s="373">
        <f t="shared" si="0"/>
        <v>11</v>
      </c>
      <c r="E67" s="87">
        <v>5.5</v>
      </c>
      <c r="F67" s="87">
        <v>4</v>
      </c>
      <c r="H67" s="86"/>
    </row>
    <row r="68" spans="1:8" ht="12.75" customHeight="1" x14ac:dyDescent="0.2">
      <c r="A68" s="202" t="s">
        <v>72</v>
      </c>
      <c r="B68" s="86">
        <v>126</v>
      </c>
      <c r="C68" s="86">
        <v>151</v>
      </c>
      <c r="D68" s="373">
        <f t="shared" si="0"/>
        <v>-25</v>
      </c>
      <c r="E68" s="87">
        <v>4.2</v>
      </c>
      <c r="F68" s="87">
        <v>4.5</v>
      </c>
      <c r="H68" s="86"/>
    </row>
    <row r="69" spans="1:8" ht="12.75" customHeight="1" x14ac:dyDescent="0.2">
      <c r="A69" s="203" t="s">
        <v>73</v>
      </c>
      <c r="B69" s="86">
        <v>86</v>
      </c>
      <c r="C69" s="86">
        <v>107</v>
      </c>
      <c r="D69" s="373">
        <f t="shared" si="0"/>
        <v>-21</v>
      </c>
      <c r="E69" s="87">
        <v>4.2</v>
      </c>
      <c r="F69" s="87">
        <v>4.7</v>
      </c>
      <c r="H69" s="86"/>
    </row>
    <row r="70" spans="1:8" s="8" customFormat="1" ht="13.5" customHeight="1" x14ac:dyDescent="0.25">
      <c r="A70" s="202" t="s">
        <v>74</v>
      </c>
      <c r="B70" s="86">
        <v>48</v>
      </c>
      <c r="C70" s="86">
        <v>65</v>
      </c>
      <c r="D70" s="373">
        <f t="shared" si="0"/>
        <v>-17</v>
      </c>
      <c r="E70" s="87">
        <v>4.3</v>
      </c>
      <c r="F70" s="87">
        <v>5.4</v>
      </c>
      <c r="H70" s="86"/>
    </row>
    <row r="71" spans="1:8" ht="12.75" customHeight="1" x14ac:dyDescent="0.2">
      <c r="A71" s="206" t="s">
        <v>75</v>
      </c>
      <c r="B71" s="88">
        <v>636</v>
      </c>
      <c r="C71" s="88">
        <v>706</v>
      </c>
      <c r="D71" s="375">
        <f t="shared" ref="D71:D101" si="1">B71-C71</f>
        <v>-70</v>
      </c>
      <c r="E71" s="89">
        <v>4.5999999999999996</v>
      </c>
      <c r="F71" s="89">
        <v>4.8</v>
      </c>
      <c r="H71" s="88"/>
    </row>
    <row r="72" spans="1:8" ht="12.75" customHeight="1" x14ac:dyDescent="0.2">
      <c r="A72" s="202" t="s">
        <v>76</v>
      </c>
      <c r="B72" s="86">
        <v>38</v>
      </c>
      <c r="C72" s="86">
        <v>59</v>
      </c>
      <c r="D72" s="373">
        <f t="shared" si="1"/>
        <v>-21</v>
      </c>
      <c r="E72" s="87">
        <v>4.9000000000000004</v>
      </c>
      <c r="F72" s="87">
        <v>6.7</v>
      </c>
      <c r="H72" s="86"/>
    </row>
    <row r="73" spans="1:8" ht="12.75" customHeight="1" x14ac:dyDescent="0.2">
      <c r="A73" s="202" t="s">
        <v>77</v>
      </c>
      <c r="B73" s="86">
        <v>221</v>
      </c>
      <c r="C73" s="86">
        <v>239</v>
      </c>
      <c r="D73" s="373">
        <f t="shared" si="1"/>
        <v>-18</v>
      </c>
      <c r="E73" s="87">
        <v>4.7</v>
      </c>
      <c r="F73" s="87">
        <v>4.7</v>
      </c>
      <c r="H73" s="86"/>
    </row>
    <row r="74" spans="1:8" ht="12.75" customHeight="1" x14ac:dyDescent="0.2">
      <c r="A74" s="202" t="s">
        <v>78</v>
      </c>
      <c r="B74" s="86">
        <v>206</v>
      </c>
      <c r="C74" s="86">
        <v>193</v>
      </c>
      <c r="D74" s="373">
        <f t="shared" si="1"/>
        <v>13</v>
      </c>
      <c r="E74" s="87">
        <v>4.3</v>
      </c>
      <c r="F74" s="87">
        <v>3.8</v>
      </c>
      <c r="H74" s="86"/>
    </row>
    <row r="75" spans="1:8" ht="12.75" customHeight="1" x14ac:dyDescent="0.2">
      <c r="A75" s="202" t="s">
        <v>79</v>
      </c>
      <c r="B75" s="86">
        <v>87</v>
      </c>
      <c r="C75" s="86">
        <v>65</v>
      </c>
      <c r="D75" s="373">
        <f t="shared" si="1"/>
        <v>22</v>
      </c>
      <c r="E75" s="87">
        <v>4.0999999999999996</v>
      </c>
      <c r="F75" s="87">
        <v>2.9</v>
      </c>
      <c r="H75" s="86"/>
    </row>
    <row r="76" spans="1:8" ht="12.75" customHeight="1" x14ac:dyDescent="0.2">
      <c r="A76" s="202" t="s">
        <v>80</v>
      </c>
      <c r="B76" s="86">
        <v>38</v>
      </c>
      <c r="C76" s="86">
        <v>41</v>
      </c>
      <c r="D76" s="373">
        <f t="shared" si="1"/>
        <v>-3</v>
      </c>
      <c r="E76" s="87">
        <v>5.5</v>
      </c>
      <c r="F76" s="87">
        <v>5.6</v>
      </c>
      <c r="H76" s="86"/>
    </row>
    <row r="77" spans="1:8" s="8" customFormat="1" ht="15" x14ac:dyDescent="0.25">
      <c r="A77" s="205" t="s">
        <v>288</v>
      </c>
      <c r="B77" s="86">
        <v>81</v>
      </c>
      <c r="C77" s="86">
        <v>87</v>
      </c>
      <c r="D77" s="373">
        <f t="shared" si="1"/>
        <v>-6</v>
      </c>
      <c r="E77" s="87">
        <v>4.2</v>
      </c>
      <c r="F77" s="87">
        <v>4.2</v>
      </c>
      <c r="H77" s="86"/>
    </row>
    <row r="78" spans="1:8" ht="12.75" customHeight="1" x14ac:dyDescent="0.2">
      <c r="A78" s="202" t="s">
        <v>81</v>
      </c>
      <c r="B78" s="86">
        <v>171</v>
      </c>
      <c r="C78" s="86">
        <v>215</v>
      </c>
      <c r="D78" s="373">
        <f t="shared" si="1"/>
        <v>-44</v>
      </c>
      <c r="E78" s="87">
        <v>4.9000000000000004</v>
      </c>
      <c r="F78" s="87">
        <v>5.7</v>
      </c>
      <c r="H78" s="86"/>
    </row>
    <row r="79" spans="1:8" ht="12.75" customHeight="1" x14ac:dyDescent="0.2">
      <c r="A79" s="201" t="s">
        <v>345</v>
      </c>
      <c r="B79" s="88">
        <v>1058</v>
      </c>
      <c r="C79" s="88">
        <v>1216</v>
      </c>
      <c r="D79" s="375">
        <f t="shared" si="1"/>
        <v>-158</v>
      </c>
      <c r="E79" s="89">
        <v>5.8</v>
      </c>
      <c r="F79" s="89">
        <v>6.1</v>
      </c>
      <c r="H79" s="88"/>
    </row>
    <row r="80" spans="1:8" ht="12.75" customHeight="1" x14ac:dyDescent="0.2">
      <c r="A80" s="202" t="s">
        <v>83</v>
      </c>
      <c r="B80" s="86">
        <v>33</v>
      </c>
      <c r="C80" s="86">
        <v>28</v>
      </c>
      <c r="D80" s="373">
        <f t="shared" si="1"/>
        <v>5</v>
      </c>
      <c r="E80" s="87">
        <v>10.9</v>
      </c>
      <c r="F80" s="87">
        <v>8.4</v>
      </c>
      <c r="H80" s="86"/>
    </row>
    <row r="81" spans="1:8" ht="12.75" customHeight="1" x14ac:dyDescent="0.2">
      <c r="A81" s="202" t="s">
        <v>85</v>
      </c>
      <c r="B81" s="86">
        <v>41</v>
      </c>
      <c r="C81" s="86">
        <v>62</v>
      </c>
      <c r="D81" s="373">
        <f t="shared" si="1"/>
        <v>-21</v>
      </c>
      <c r="E81" s="87">
        <v>6.6</v>
      </c>
      <c r="F81" s="87">
        <v>9.4</v>
      </c>
      <c r="H81" s="86"/>
    </row>
    <row r="82" spans="1:8" s="8" customFormat="1" ht="12.75" customHeight="1" x14ac:dyDescent="0.25">
      <c r="A82" s="202" t="s">
        <v>86</v>
      </c>
      <c r="B82" s="86">
        <v>22</v>
      </c>
      <c r="C82" s="86">
        <v>26</v>
      </c>
      <c r="D82" s="373">
        <f t="shared" si="1"/>
        <v>-4</v>
      </c>
      <c r="E82" s="87">
        <v>3.9</v>
      </c>
      <c r="F82" s="87">
        <v>4.0999999999999996</v>
      </c>
      <c r="H82" s="86"/>
    </row>
    <row r="83" spans="1:8" ht="12.75" customHeight="1" x14ac:dyDescent="0.2">
      <c r="A83" s="202" t="s">
        <v>87</v>
      </c>
      <c r="B83" s="86">
        <v>114</v>
      </c>
      <c r="C83" s="86">
        <v>176</v>
      </c>
      <c r="D83" s="373">
        <f t="shared" si="1"/>
        <v>-62</v>
      </c>
      <c r="E83" s="87">
        <v>5.3</v>
      </c>
      <c r="F83" s="87">
        <v>7.4</v>
      </c>
      <c r="H83" s="86"/>
    </row>
    <row r="84" spans="1:8" ht="12.75" customHeight="1" x14ac:dyDescent="0.2">
      <c r="A84" s="202" t="s">
        <v>89</v>
      </c>
      <c r="B84" s="86">
        <v>196</v>
      </c>
      <c r="C84" s="86">
        <v>187</v>
      </c>
      <c r="D84" s="373">
        <f t="shared" si="1"/>
        <v>9</v>
      </c>
      <c r="E84" s="87">
        <v>6.4</v>
      </c>
      <c r="F84" s="87">
        <v>5.5</v>
      </c>
      <c r="H84" s="86"/>
    </row>
    <row r="85" spans="1:8" ht="12.75" customHeight="1" x14ac:dyDescent="0.2">
      <c r="A85" s="202" t="s">
        <v>90</v>
      </c>
      <c r="B85" s="86">
        <v>171</v>
      </c>
      <c r="C85" s="86">
        <v>222</v>
      </c>
      <c r="D85" s="373">
        <f t="shared" si="1"/>
        <v>-51</v>
      </c>
      <c r="E85" s="87">
        <v>5.9</v>
      </c>
      <c r="F85" s="87">
        <v>7.1</v>
      </c>
      <c r="H85" s="86"/>
    </row>
    <row r="86" spans="1:8" ht="12.75" customHeight="1" x14ac:dyDescent="0.2">
      <c r="A86" s="202" t="s">
        <v>91</v>
      </c>
      <c r="B86" s="86">
        <v>150</v>
      </c>
      <c r="C86" s="86">
        <v>141</v>
      </c>
      <c r="D86" s="373">
        <f t="shared" si="1"/>
        <v>9</v>
      </c>
      <c r="E86" s="87">
        <v>6.2</v>
      </c>
      <c r="F86" s="87">
        <v>5.2</v>
      </c>
      <c r="H86" s="86"/>
    </row>
    <row r="87" spans="1:8" ht="12.75" customHeight="1" x14ac:dyDescent="0.2">
      <c r="A87" s="202" t="s">
        <v>92</v>
      </c>
      <c r="B87" s="86">
        <v>150</v>
      </c>
      <c r="C87" s="86">
        <v>168</v>
      </c>
      <c r="D87" s="373">
        <f t="shared" si="1"/>
        <v>-18</v>
      </c>
      <c r="E87" s="87">
        <v>4.9000000000000004</v>
      </c>
      <c r="F87" s="87">
        <v>5.0999999999999996</v>
      </c>
      <c r="H87" s="86"/>
    </row>
    <row r="88" spans="1:8" ht="12.75" customHeight="1" x14ac:dyDescent="0.2">
      <c r="A88" s="202" t="s">
        <v>93</v>
      </c>
      <c r="B88" s="86">
        <v>133</v>
      </c>
      <c r="C88" s="86">
        <v>145</v>
      </c>
      <c r="D88" s="373">
        <f t="shared" si="1"/>
        <v>-12</v>
      </c>
      <c r="E88" s="87">
        <v>6.9</v>
      </c>
      <c r="F88" s="87">
        <v>6.7</v>
      </c>
      <c r="H88" s="86"/>
    </row>
    <row r="89" spans="1:8" ht="12.75" customHeight="1" x14ac:dyDescent="0.2">
      <c r="A89" s="202" t="s">
        <v>94</v>
      </c>
      <c r="B89" s="86">
        <v>48</v>
      </c>
      <c r="C89" s="86">
        <v>61</v>
      </c>
      <c r="D89" s="373">
        <f t="shared" si="1"/>
        <v>-13</v>
      </c>
      <c r="E89" s="87">
        <v>4.4000000000000004</v>
      </c>
      <c r="F89" s="87">
        <v>5.0999999999999996</v>
      </c>
      <c r="H89" s="86"/>
    </row>
    <row r="90" spans="1:8" ht="12.75" customHeight="1" x14ac:dyDescent="0.2">
      <c r="A90" s="206" t="s">
        <v>344</v>
      </c>
      <c r="B90" s="88">
        <v>524</v>
      </c>
      <c r="C90" s="88">
        <v>530</v>
      </c>
      <c r="D90" s="375">
        <f t="shared" si="1"/>
        <v>-6</v>
      </c>
      <c r="E90" s="89">
        <v>5.7</v>
      </c>
      <c r="F90" s="89">
        <v>5.4</v>
      </c>
      <c r="H90" s="88"/>
    </row>
    <row r="91" spans="1:8" ht="12.75" customHeight="1" x14ac:dyDescent="0.2">
      <c r="A91" s="202" t="s">
        <v>84</v>
      </c>
      <c r="B91" s="86">
        <v>77</v>
      </c>
      <c r="C91" s="86">
        <v>85</v>
      </c>
      <c r="D91" s="373">
        <f t="shared" si="1"/>
        <v>-8</v>
      </c>
      <c r="E91" s="87">
        <v>6</v>
      </c>
      <c r="F91" s="87">
        <v>6.1</v>
      </c>
      <c r="H91" s="86"/>
    </row>
    <row r="92" spans="1:8" ht="12.75" customHeight="1" x14ac:dyDescent="0.2">
      <c r="A92" s="202" t="s">
        <v>96</v>
      </c>
      <c r="B92" s="86">
        <v>57</v>
      </c>
      <c r="C92" s="86">
        <v>66</v>
      </c>
      <c r="D92" s="373">
        <f t="shared" si="1"/>
        <v>-9</v>
      </c>
      <c r="E92" s="87">
        <v>4.4000000000000004</v>
      </c>
      <c r="F92" s="87">
        <v>5</v>
      </c>
      <c r="H92" s="86"/>
    </row>
    <row r="93" spans="1:8" ht="12.75" customHeight="1" x14ac:dyDescent="0.2">
      <c r="A93" s="202" t="s">
        <v>88</v>
      </c>
      <c r="B93" s="86">
        <v>88</v>
      </c>
      <c r="C93" s="86">
        <v>96</v>
      </c>
      <c r="D93" s="373">
        <f t="shared" si="1"/>
        <v>-8</v>
      </c>
      <c r="E93" s="87">
        <v>6.9</v>
      </c>
      <c r="F93" s="87">
        <v>7</v>
      </c>
      <c r="H93" s="86"/>
    </row>
    <row r="94" spans="1:8" ht="12.75" customHeight="1" x14ac:dyDescent="0.2">
      <c r="A94" s="202" t="s">
        <v>97</v>
      </c>
      <c r="B94" s="86">
        <v>29</v>
      </c>
      <c r="C94" s="86">
        <v>20</v>
      </c>
      <c r="D94" s="373">
        <f t="shared" si="1"/>
        <v>9</v>
      </c>
      <c r="E94" s="87">
        <v>8.6999999999999993</v>
      </c>
      <c r="F94" s="87">
        <v>5.8</v>
      </c>
      <c r="H94" s="86"/>
    </row>
    <row r="95" spans="1:8" ht="12.75" customHeight="1" x14ac:dyDescent="0.2">
      <c r="A95" s="202" t="s">
        <v>98</v>
      </c>
      <c r="B95" s="86">
        <v>116</v>
      </c>
      <c r="C95" s="86">
        <v>95</v>
      </c>
      <c r="D95" s="373">
        <f t="shared" si="1"/>
        <v>21</v>
      </c>
      <c r="E95" s="87">
        <v>6.2</v>
      </c>
      <c r="F95" s="87">
        <v>4.7</v>
      </c>
      <c r="H95" s="86"/>
    </row>
    <row r="96" spans="1:8" ht="12.75" customHeight="1" x14ac:dyDescent="0.2">
      <c r="A96" s="202" t="s">
        <v>99</v>
      </c>
      <c r="B96" s="86">
        <v>59</v>
      </c>
      <c r="C96" s="86">
        <v>74</v>
      </c>
      <c r="D96" s="373">
        <f t="shared" si="1"/>
        <v>-15</v>
      </c>
      <c r="E96" s="87">
        <v>4</v>
      </c>
      <c r="F96" s="87">
        <v>4.9000000000000004</v>
      </c>
      <c r="H96" s="86"/>
    </row>
    <row r="97" spans="1:8" ht="12.75" customHeight="1" x14ac:dyDescent="0.2">
      <c r="A97" s="202" t="s">
        <v>100</v>
      </c>
      <c r="B97" s="86">
        <v>43</v>
      </c>
      <c r="C97" s="86">
        <v>46</v>
      </c>
      <c r="D97" s="373">
        <f t="shared" si="1"/>
        <v>-3</v>
      </c>
      <c r="E97" s="87">
        <v>5.3</v>
      </c>
      <c r="F97" s="87">
        <v>5.0999999999999996</v>
      </c>
      <c r="H97" s="86"/>
    </row>
    <row r="98" spans="1:8" ht="12.75" customHeight="1" x14ac:dyDescent="0.2">
      <c r="A98" s="202" t="s">
        <v>101</v>
      </c>
      <c r="B98" s="86">
        <v>8</v>
      </c>
      <c r="C98" s="86">
        <v>5</v>
      </c>
      <c r="D98" s="373">
        <f t="shared" si="1"/>
        <v>3</v>
      </c>
      <c r="E98" s="87">
        <v>6.1</v>
      </c>
      <c r="F98" s="87">
        <v>3.5</v>
      </c>
      <c r="H98" s="86"/>
    </row>
    <row r="99" spans="1:8" ht="12.75" customHeight="1" x14ac:dyDescent="0.2">
      <c r="A99" s="202" t="s">
        <v>102</v>
      </c>
      <c r="B99" s="86">
        <v>25</v>
      </c>
      <c r="C99" s="86">
        <v>17</v>
      </c>
      <c r="D99" s="373">
        <f t="shared" si="1"/>
        <v>8</v>
      </c>
      <c r="E99" s="87">
        <v>4.3</v>
      </c>
      <c r="F99" s="87">
        <v>2.8</v>
      </c>
      <c r="H99" s="86"/>
    </row>
    <row r="100" spans="1:8" ht="12.75" customHeight="1" x14ac:dyDescent="0.2">
      <c r="A100" s="202" t="s">
        <v>103</v>
      </c>
      <c r="B100" s="431">
        <v>16</v>
      </c>
      <c r="C100" s="431">
        <v>18</v>
      </c>
      <c r="D100" s="373">
        <f t="shared" si="1"/>
        <v>-2</v>
      </c>
      <c r="E100" s="432">
        <v>9.1999999999999993</v>
      </c>
      <c r="F100" s="432">
        <v>9.6</v>
      </c>
      <c r="G100" s="168"/>
      <c r="H100" s="86"/>
    </row>
    <row r="101" spans="1:8" ht="12.75" customHeight="1" x14ac:dyDescent="0.2">
      <c r="A101" s="273" t="s">
        <v>104</v>
      </c>
      <c r="B101" s="288">
        <v>6</v>
      </c>
      <c r="C101" s="288">
        <v>8</v>
      </c>
      <c r="D101" s="374">
        <f t="shared" si="1"/>
        <v>-2</v>
      </c>
      <c r="E101" s="289">
        <v>10.5</v>
      </c>
      <c r="F101" s="289">
        <v>12.7</v>
      </c>
      <c r="G101" s="433"/>
      <c r="H101" s="288"/>
    </row>
    <row r="102" spans="1:8" ht="29.25" customHeight="1" x14ac:dyDescent="0.2">
      <c r="A102" s="555"/>
      <c r="B102" s="556"/>
      <c r="C102" s="556"/>
      <c r="D102" s="556"/>
      <c r="E102" s="556"/>
      <c r="F102" s="556"/>
    </row>
    <row r="103" spans="1:8" ht="27.75" customHeight="1" x14ac:dyDescent="0.2">
      <c r="A103" s="489"/>
      <c r="B103" s="489"/>
      <c r="C103" s="489"/>
      <c r="D103" s="489"/>
      <c r="E103" s="489"/>
      <c r="F103" s="489"/>
    </row>
    <row r="105" spans="1:8" x14ac:dyDescent="0.2">
      <c r="B105" s="90"/>
      <c r="C105" s="90"/>
      <c r="D105" s="90"/>
    </row>
    <row r="106" spans="1:8" x14ac:dyDescent="0.2">
      <c r="B106" s="90"/>
      <c r="C106" s="90"/>
      <c r="D106" s="90"/>
    </row>
    <row r="107" spans="1:8" x14ac:dyDescent="0.2">
      <c r="B107" s="90"/>
      <c r="C107" s="90"/>
      <c r="D107" s="90"/>
    </row>
    <row r="108" spans="1:8" x14ac:dyDescent="0.2">
      <c r="B108" s="90"/>
      <c r="C108" s="90"/>
      <c r="D108" s="90"/>
    </row>
    <row r="109" spans="1:8" x14ac:dyDescent="0.2">
      <c r="B109" s="90"/>
      <c r="C109" s="90"/>
      <c r="D109" s="90"/>
    </row>
    <row r="110" spans="1:8" x14ac:dyDescent="0.2">
      <c r="B110" s="90"/>
      <c r="C110" s="90"/>
      <c r="D110" s="90"/>
    </row>
    <row r="111" spans="1:8" x14ac:dyDescent="0.2">
      <c r="B111" s="90"/>
      <c r="C111" s="90"/>
      <c r="D111" s="90"/>
    </row>
    <row r="112" spans="1:8" x14ac:dyDescent="0.2">
      <c r="A112" s="9"/>
      <c r="B112" s="90"/>
      <c r="C112" s="90"/>
      <c r="D112" s="90"/>
    </row>
    <row r="113" spans="1:6" x14ac:dyDescent="0.2">
      <c r="A113" s="9"/>
      <c r="B113" s="90"/>
      <c r="C113" s="90"/>
      <c r="D113" s="90"/>
    </row>
    <row r="114" spans="1:6" x14ac:dyDescent="0.2">
      <c r="A114" s="9"/>
      <c r="B114" s="90"/>
      <c r="C114" s="90"/>
      <c r="D114" s="90"/>
      <c r="E114" s="9"/>
      <c r="F114" s="9"/>
    </row>
    <row r="115" spans="1:6" x14ac:dyDescent="0.2">
      <c r="A115" s="9"/>
      <c r="B115" s="90"/>
      <c r="C115" s="90"/>
      <c r="D115" s="90"/>
      <c r="E115" s="9"/>
      <c r="F115" s="9"/>
    </row>
    <row r="116" spans="1:6" x14ac:dyDescent="0.2">
      <c r="A116" s="9"/>
      <c r="B116" s="90"/>
      <c r="C116" s="90"/>
      <c r="D116" s="90"/>
      <c r="E116" s="9"/>
      <c r="F116" s="9"/>
    </row>
    <row r="117" spans="1:6" x14ac:dyDescent="0.2">
      <c r="A117" s="9"/>
      <c r="B117" s="90"/>
      <c r="C117" s="90"/>
      <c r="D117" s="90"/>
      <c r="E117" s="9"/>
      <c r="F117" s="9"/>
    </row>
    <row r="118" spans="1:6" x14ac:dyDescent="0.2">
      <c r="A118" s="9"/>
      <c r="B118" s="90"/>
      <c r="C118" s="90"/>
      <c r="D118" s="90"/>
      <c r="E118" s="9"/>
      <c r="F118" s="9"/>
    </row>
    <row r="119" spans="1:6" x14ac:dyDescent="0.2">
      <c r="A119" s="9"/>
      <c r="B119" s="90"/>
      <c r="C119" s="90"/>
      <c r="D119" s="90"/>
      <c r="E119" s="9"/>
      <c r="F119" s="9"/>
    </row>
    <row r="120" spans="1:6" x14ac:dyDescent="0.2">
      <c r="A120" s="9"/>
      <c r="B120" s="90"/>
      <c r="C120" s="90"/>
      <c r="D120" s="90"/>
      <c r="E120" s="9"/>
      <c r="F120" s="9"/>
    </row>
    <row r="121" spans="1:6" x14ac:dyDescent="0.2">
      <c r="A121" s="9"/>
      <c r="E121" s="9"/>
      <c r="F121" s="9"/>
    </row>
    <row r="122" spans="1:6" x14ac:dyDescent="0.2">
      <c r="A122" s="9"/>
      <c r="E122" s="9"/>
      <c r="F122" s="9"/>
    </row>
    <row r="123" spans="1:6" x14ac:dyDescent="0.2">
      <c r="A123" s="9"/>
      <c r="E123" s="9"/>
      <c r="F123" s="9"/>
    </row>
    <row r="124" spans="1:6" x14ac:dyDescent="0.2">
      <c r="A124" s="9"/>
      <c r="E124" s="9"/>
      <c r="F124" s="9"/>
    </row>
    <row r="125" spans="1:6" x14ac:dyDescent="0.2">
      <c r="A125" s="9"/>
      <c r="E125" s="9"/>
      <c r="F125" s="9"/>
    </row>
    <row r="126" spans="1:6" x14ac:dyDescent="0.2">
      <c r="A126" s="9"/>
      <c r="E126" s="9"/>
      <c r="F126" s="9"/>
    </row>
    <row r="127" spans="1:6" x14ac:dyDescent="0.2">
      <c r="A127" s="9"/>
      <c r="E127" s="9"/>
      <c r="F127" s="9"/>
    </row>
    <row r="128" spans="1:6" x14ac:dyDescent="0.2">
      <c r="A128" s="9"/>
      <c r="B128" s="9"/>
      <c r="C128" s="9"/>
      <c r="D128" s="9"/>
      <c r="E128" s="9"/>
      <c r="F128" s="9"/>
    </row>
    <row r="129" spans="1:6" x14ac:dyDescent="0.2">
      <c r="A129" s="9"/>
      <c r="B129" s="9"/>
      <c r="C129" s="9"/>
      <c r="D129" s="9"/>
      <c r="E129" s="9"/>
      <c r="F129" s="9"/>
    </row>
    <row r="130" spans="1:6" x14ac:dyDescent="0.2">
      <c r="A130" s="9"/>
      <c r="B130" s="9"/>
      <c r="C130" s="9"/>
      <c r="D130" s="9"/>
      <c r="E130" s="9"/>
      <c r="F130" s="9"/>
    </row>
    <row r="131" spans="1:6" x14ac:dyDescent="0.2">
      <c r="A131" s="9"/>
      <c r="B131" s="9"/>
      <c r="C131" s="9"/>
      <c r="D131" s="9"/>
      <c r="E131" s="9"/>
      <c r="F131" s="9"/>
    </row>
    <row r="132" spans="1:6" x14ac:dyDescent="0.2">
      <c r="A132" s="9"/>
      <c r="B132" s="9"/>
      <c r="C132" s="9"/>
      <c r="D132" s="9"/>
      <c r="E132" s="9"/>
      <c r="F132" s="9"/>
    </row>
    <row r="133" spans="1:6" x14ac:dyDescent="0.2">
      <c r="A133" s="9"/>
      <c r="B133" s="9"/>
      <c r="C133" s="9"/>
      <c r="D133" s="9"/>
      <c r="E133" s="9"/>
      <c r="F133" s="9"/>
    </row>
    <row r="134" spans="1:6" x14ac:dyDescent="0.2">
      <c r="A134" s="9"/>
      <c r="B134" s="9"/>
      <c r="C134" s="9"/>
      <c r="D134" s="9"/>
      <c r="E134" s="9"/>
      <c r="F134" s="9"/>
    </row>
    <row r="135" spans="1:6" x14ac:dyDescent="0.2">
      <c r="A135" s="9"/>
      <c r="B135" s="9"/>
      <c r="C135" s="9"/>
      <c r="D135" s="9"/>
      <c r="E135" s="9"/>
      <c r="F135" s="9"/>
    </row>
    <row r="136" spans="1:6" x14ac:dyDescent="0.2">
      <c r="A136" s="9"/>
      <c r="B136" s="9"/>
      <c r="C136" s="9"/>
      <c r="D136" s="9"/>
      <c r="E136" s="9"/>
      <c r="F136" s="9"/>
    </row>
    <row r="137" spans="1:6" x14ac:dyDescent="0.2">
      <c r="A137" s="9"/>
      <c r="B137" s="9"/>
      <c r="C137" s="9"/>
      <c r="D137" s="9"/>
      <c r="E137" s="9"/>
      <c r="F137" s="9"/>
    </row>
    <row r="138" spans="1:6" x14ac:dyDescent="0.2">
      <c r="A138" s="9"/>
      <c r="B138" s="9"/>
      <c r="C138" s="9"/>
      <c r="D138" s="9"/>
      <c r="E138" s="9"/>
      <c r="F138" s="9"/>
    </row>
    <row r="139" spans="1:6" x14ac:dyDescent="0.2">
      <c r="A139" s="9"/>
      <c r="B139" s="9"/>
      <c r="C139" s="9"/>
      <c r="D139" s="9"/>
      <c r="E139" s="9"/>
      <c r="F139" s="9"/>
    </row>
    <row r="140" spans="1:6" x14ac:dyDescent="0.2">
      <c r="A140" s="9"/>
      <c r="B140" s="9"/>
      <c r="C140" s="9"/>
      <c r="D140" s="9"/>
      <c r="E140" s="9"/>
      <c r="F140" s="9"/>
    </row>
    <row r="141" spans="1:6" x14ac:dyDescent="0.2">
      <c r="A141" s="9"/>
      <c r="B141" s="9"/>
      <c r="C141" s="9"/>
      <c r="D141" s="9"/>
      <c r="E141" s="9"/>
      <c r="F141" s="9"/>
    </row>
    <row r="142" spans="1:6" x14ac:dyDescent="0.2">
      <c r="A142" s="9"/>
      <c r="B142" s="9"/>
      <c r="C142" s="9"/>
      <c r="D142" s="9"/>
      <c r="E142" s="9"/>
      <c r="F142" s="9"/>
    </row>
    <row r="143" spans="1:6" x14ac:dyDescent="0.2">
      <c r="A143" s="9"/>
      <c r="B143" s="9"/>
      <c r="C143" s="9"/>
      <c r="D143" s="9"/>
      <c r="E143" s="9"/>
      <c r="F143" s="9"/>
    </row>
    <row r="144" spans="1:6" x14ac:dyDescent="0.2">
      <c r="A144" s="9"/>
      <c r="B144" s="9"/>
      <c r="C144" s="9"/>
      <c r="D144" s="9"/>
      <c r="E144" s="9"/>
      <c r="F144" s="9"/>
    </row>
    <row r="145" spans="1:6" x14ac:dyDescent="0.2">
      <c r="A145" s="9"/>
      <c r="B145" s="9"/>
      <c r="C145" s="9"/>
      <c r="D145" s="9"/>
      <c r="E145" s="9"/>
      <c r="F145" s="9"/>
    </row>
    <row r="146" spans="1:6" x14ac:dyDescent="0.2">
      <c r="A146" s="9"/>
      <c r="B146" s="9"/>
      <c r="C146" s="9"/>
      <c r="D146" s="9"/>
      <c r="E146" s="9"/>
      <c r="F146" s="9"/>
    </row>
    <row r="147" spans="1:6" x14ac:dyDescent="0.2">
      <c r="A147" s="9"/>
      <c r="B147" s="9"/>
      <c r="C147" s="9"/>
      <c r="D147" s="9"/>
      <c r="E147" s="9"/>
      <c r="F147" s="9"/>
    </row>
    <row r="148" spans="1:6" x14ac:dyDescent="0.2">
      <c r="A148" s="9"/>
      <c r="B148" s="9"/>
      <c r="C148" s="9"/>
      <c r="D148" s="9"/>
      <c r="E148" s="9"/>
      <c r="F148" s="9"/>
    </row>
    <row r="149" spans="1:6" x14ac:dyDescent="0.2">
      <c r="A149" s="9"/>
      <c r="B149" s="9"/>
      <c r="C149" s="9"/>
      <c r="D149" s="9"/>
      <c r="E149" s="9"/>
      <c r="F149" s="9"/>
    </row>
    <row r="150" spans="1:6" x14ac:dyDescent="0.2">
      <c r="A150" s="9"/>
      <c r="B150" s="9"/>
      <c r="C150" s="9"/>
      <c r="D150" s="9"/>
      <c r="E150" s="9"/>
      <c r="F150" s="9"/>
    </row>
    <row r="151" spans="1:6" x14ac:dyDescent="0.2">
      <c r="A151" s="9"/>
      <c r="B151" s="9"/>
      <c r="C151" s="9"/>
      <c r="D151" s="9"/>
      <c r="E151" s="9"/>
      <c r="F151" s="9"/>
    </row>
    <row r="152" spans="1:6" x14ac:dyDescent="0.2">
      <c r="A152" s="9"/>
      <c r="B152" s="9"/>
      <c r="C152" s="9"/>
      <c r="D152" s="9"/>
      <c r="E152" s="9"/>
      <c r="F152" s="9"/>
    </row>
    <row r="153" spans="1:6" x14ac:dyDescent="0.2">
      <c r="A153" s="9"/>
      <c r="B153" s="9"/>
      <c r="C153" s="9"/>
      <c r="D153" s="9"/>
      <c r="E153" s="9"/>
      <c r="F153" s="9"/>
    </row>
    <row r="154" spans="1:6" x14ac:dyDescent="0.2">
      <c r="A154" s="9"/>
      <c r="B154" s="9"/>
      <c r="C154" s="9"/>
      <c r="D154" s="9"/>
      <c r="E154" s="9"/>
      <c r="F154" s="9"/>
    </row>
    <row r="155" spans="1:6" x14ac:dyDescent="0.2">
      <c r="A155" s="9"/>
      <c r="B155" s="9"/>
      <c r="C155" s="9"/>
      <c r="D155" s="9"/>
      <c r="E155" s="9"/>
      <c r="F155" s="9"/>
    </row>
    <row r="156" spans="1:6" x14ac:dyDescent="0.2">
      <c r="A156" s="9"/>
      <c r="B156" s="9"/>
      <c r="C156" s="9"/>
      <c r="D156" s="9"/>
      <c r="E156" s="9"/>
      <c r="F156" s="9"/>
    </row>
    <row r="157" spans="1:6" x14ac:dyDescent="0.2">
      <c r="A157" s="9"/>
      <c r="B157" s="9"/>
      <c r="C157" s="9"/>
      <c r="D157" s="9"/>
      <c r="E157" s="9"/>
      <c r="F157" s="9"/>
    </row>
    <row r="158" spans="1:6" x14ac:dyDescent="0.2">
      <c r="A158" s="9"/>
      <c r="B158" s="9"/>
      <c r="C158" s="9"/>
      <c r="D158" s="9"/>
      <c r="E158" s="9"/>
      <c r="F158" s="9"/>
    </row>
    <row r="159" spans="1:6" x14ac:dyDescent="0.2">
      <c r="A159" s="9"/>
      <c r="B159" s="9"/>
      <c r="C159" s="9"/>
      <c r="D159" s="9"/>
      <c r="E159" s="9"/>
      <c r="F159" s="9"/>
    </row>
    <row r="160" spans="1:6" x14ac:dyDescent="0.2">
      <c r="A160" s="9"/>
      <c r="B160" s="9"/>
      <c r="C160" s="9"/>
      <c r="D160" s="9"/>
      <c r="E160" s="9"/>
      <c r="F160" s="9"/>
    </row>
    <row r="161" spans="1:6" x14ac:dyDescent="0.2">
      <c r="A161" s="9"/>
      <c r="B161" s="9"/>
      <c r="C161" s="9"/>
      <c r="D161" s="9"/>
      <c r="E161" s="9"/>
      <c r="F161" s="9"/>
    </row>
    <row r="162" spans="1:6" x14ac:dyDescent="0.2">
      <c r="A162" s="9"/>
      <c r="B162" s="9"/>
      <c r="C162" s="9"/>
      <c r="D162" s="9"/>
      <c r="E162" s="9"/>
      <c r="F162" s="9"/>
    </row>
    <row r="163" spans="1:6" x14ac:dyDescent="0.2">
      <c r="A163" s="9"/>
      <c r="B163" s="9"/>
      <c r="C163" s="9"/>
      <c r="D163" s="9"/>
      <c r="E163" s="9"/>
      <c r="F163" s="9"/>
    </row>
    <row r="164" spans="1:6" x14ac:dyDescent="0.2">
      <c r="A164" s="9"/>
      <c r="B164" s="9"/>
      <c r="C164" s="9"/>
      <c r="D164" s="9"/>
      <c r="E164" s="9"/>
      <c r="F164" s="9"/>
    </row>
    <row r="165" spans="1:6" x14ac:dyDescent="0.2">
      <c r="A165" s="9"/>
      <c r="B165" s="9"/>
      <c r="C165" s="9"/>
      <c r="D165" s="9"/>
      <c r="E165" s="9"/>
      <c r="F165" s="9"/>
    </row>
    <row r="166" spans="1:6" x14ac:dyDescent="0.2">
      <c r="A166" s="9"/>
      <c r="B166" s="9"/>
      <c r="C166" s="9"/>
      <c r="D166" s="9"/>
      <c r="E166" s="9"/>
      <c r="F166" s="9"/>
    </row>
    <row r="167" spans="1:6" x14ac:dyDescent="0.2">
      <c r="A167" s="9"/>
      <c r="B167" s="9"/>
      <c r="C167" s="9"/>
      <c r="D167" s="9"/>
      <c r="E167" s="9"/>
      <c r="F167" s="9"/>
    </row>
    <row r="168" spans="1:6" x14ac:dyDescent="0.2">
      <c r="A168" s="9"/>
      <c r="B168" s="9"/>
      <c r="C168" s="9"/>
      <c r="D168" s="9"/>
      <c r="E168" s="9"/>
      <c r="F168" s="9"/>
    </row>
    <row r="169" spans="1:6" x14ac:dyDescent="0.2">
      <c r="A169" s="9"/>
      <c r="B169" s="9"/>
      <c r="C169" s="9"/>
      <c r="D169" s="9"/>
      <c r="E169" s="9"/>
      <c r="F169" s="9"/>
    </row>
    <row r="170" spans="1:6" x14ac:dyDescent="0.2">
      <c r="A170" s="9"/>
      <c r="B170" s="9"/>
      <c r="C170" s="9"/>
      <c r="D170" s="9"/>
      <c r="E170" s="9"/>
      <c r="F170" s="9"/>
    </row>
    <row r="171" spans="1:6" x14ac:dyDescent="0.2">
      <c r="A171" s="9"/>
      <c r="B171" s="9"/>
      <c r="C171" s="9"/>
      <c r="D171" s="9"/>
      <c r="E171" s="9"/>
      <c r="F171" s="9"/>
    </row>
    <row r="172" spans="1:6" x14ac:dyDescent="0.2">
      <c r="A172" s="9"/>
      <c r="B172" s="9"/>
      <c r="C172" s="9"/>
      <c r="D172" s="9"/>
      <c r="E172" s="9"/>
      <c r="F172" s="9"/>
    </row>
    <row r="173" spans="1:6" x14ac:dyDescent="0.2">
      <c r="A173" s="9"/>
      <c r="B173" s="9"/>
      <c r="C173" s="9"/>
      <c r="D173" s="9"/>
      <c r="E173" s="9"/>
      <c r="F173" s="9"/>
    </row>
    <row r="174" spans="1:6" x14ac:dyDescent="0.2">
      <c r="A174" s="9"/>
      <c r="B174" s="9"/>
      <c r="C174" s="9"/>
      <c r="D174" s="9"/>
      <c r="E174" s="9"/>
      <c r="F174" s="9"/>
    </row>
    <row r="175" spans="1:6" x14ac:dyDescent="0.2">
      <c r="A175" s="9"/>
      <c r="B175" s="9"/>
      <c r="C175" s="9"/>
      <c r="D175" s="9"/>
      <c r="E175" s="9"/>
      <c r="F175" s="9"/>
    </row>
    <row r="176" spans="1:6" x14ac:dyDescent="0.2">
      <c r="A176" s="9"/>
      <c r="B176" s="9"/>
      <c r="C176" s="9"/>
      <c r="D176" s="9"/>
      <c r="E176" s="9"/>
      <c r="F176" s="9"/>
    </row>
    <row r="177" spans="1:6" x14ac:dyDescent="0.2">
      <c r="A177" s="9"/>
      <c r="B177" s="9"/>
      <c r="C177" s="9"/>
      <c r="D177" s="9"/>
      <c r="E177" s="9"/>
      <c r="F177" s="9"/>
    </row>
    <row r="178" spans="1:6" x14ac:dyDescent="0.2">
      <c r="A178" s="9"/>
      <c r="B178" s="9"/>
      <c r="C178" s="9"/>
      <c r="D178" s="9"/>
      <c r="E178" s="9"/>
      <c r="F178" s="9"/>
    </row>
    <row r="179" spans="1:6" x14ac:dyDescent="0.2">
      <c r="A179" s="9"/>
      <c r="B179" s="9"/>
      <c r="C179" s="9"/>
      <c r="D179" s="9"/>
      <c r="E179" s="9"/>
      <c r="F179" s="9"/>
    </row>
    <row r="180" spans="1:6" x14ac:dyDescent="0.2">
      <c r="A180" s="9"/>
      <c r="B180" s="9"/>
      <c r="C180" s="9"/>
      <c r="D180" s="9"/>
      <c r="E180" s="9"/>
      <c r="F180" s="9"/>
    </row>
    <row r="181" spans="1:6" x14ac:dyDescent="0.2">
      <c r="A181" s="9"/>
      <c r="B181" s="9"/>
      <c r="C181" s="9"/>
      <c r="D181" s="9"/>
      <c r="E181" s="9"/>
      <c r="F181" s="9"/>
    </row>
    <row r="182" spans="1:6" x14ac:dyDescent="0.2">
      <c r="A182" s="9"/>
      <c r="B182" s="9"/>
      <c r="C182" s="9"/>
      <c r="D182" s="9"/>
      <c r="E182" s="9"/>
      <c r="F182" s="9"/>
    </row>
    <row r="183" spans="1:6" x14ac:dyDescent="0.2">
      <c r="A183" s="9"/>
      <c r="B183" s="9"/>
      <c r="C183" s="9"/>
      <c r="D183" s="9"/>
      <c r="E183" s="9"/>
      <c r="F183" s="9"/>
    </row>
    <row r="184" spans="1:6" x14ac:dyDescent="0.2">
      <c r="A184" s="9"/>
      <c r="B184" s="9"/>
      <c r="C184" s="9"/>
      <c r="D184" s="9"/>
      <c r="E184" s="9"/>
      <c r="F184" s="9"/>
    </row>
    <row r="185" spans="1:6" x14ac:dyDescent="0.2">
      <c r="A185" s="9"/>
      <c r="B185" s="9"/>
      <c r="C185" s="9"/>
      <c r="D185" s="9"/>
      <c r="E185" s="9"/>
      <c r="F185" s="9"/>
    </row>
    <row r="186" spans="1:6" x14ac:dyDescent="0.2">
      <c r="A186" s="9"/>
      <c r="B186" s="9"/>
      <c r="C186" s="9"/>
      <c r="D186" s="9"/>
      <c r="E186" s="9"/>
      <c r="F186" s="9"/>
    </row>
    <row r="187" spans="1:6" x14ac:dyDescent="0.2">
      <c r="A187" s="9"/>
      <c r="B187" s="9"/>
      <c r="C187" s="9"/>
      <c r="D187" s="9"/>
      <c r="E187" s="9"/>
      <c r="F187" s="9"/>
    </row>
    <row r="188" spans="1:6" x14ac:dyDescent="0.2">
      <c r="A188" s="9"/>
      <c r="B188" s="9"/>
      <c r="C188" s="9"/>
      <c r="D188" s="9"/>
      <c r="E188" s="9"/>
      <c r="F188" s="9"/>
    </row>
    <row r="189" spans="1:6" x14ac:dyDescent="0.2">
      <c r="A189" s="9"/>
      <c r="B189" s="9"/>
      <c r="C189" s="9"/>
      <c r="D189" s="9"/>
      <c r="E189" s="9"/>
      <c r="F189" s="9"/>
    </row>
    <row r="190" spans="1:6" x14ac:dyDescent="0.2">
      <c r="A190" s="9"/>
      <c r="B190" s="9"/>
      <c r="C190" s="9"/>
      <c r="D190" s="9"/>
      <c r="E190" s="9"/>
      <c r="F190" s="9"/>
    </row>
    <row r="191" spans="1:6" x14ac:dyDescent="0.2">
      <c r="A191" s="9"/>
      <c r="B191" s="9"/>
      <c r="C191" s="9"/>
      <c r="D191" s="9"/>
      <c r="E191" s="9"/>
      <c r="F191" s="9"/>
    </row>
    <row r="192" spans="1:6" x14ac:dyDescent="0.2">
      <c r="A192" s="9"/>
      <c r="B192" s="9"/>
      <c r="C192" s="9"/>
      <c r="D192" s="9"/>
      <c r="E192" s="9"/>
      <c r="F192" s="9"/>
    </row>
    <row r="193" spans="1:6" x14ac:dyDescent="0.2">
      <c r="A193" s="9"/>
      <c r="B193" s="9"/>
      <c r="C193" s="9"/>
      <c r="D193" s="9"/>
      <c r="E193" s="9"/>
      <c r="F193" s="9"/>
    </row>
    <row r="194" spans="1:6" x14ac:dyDescent="0.2">
      <c r="A194" s="9"/>
      <c r="B194" s="9"/>
      <c r="C194" s="9"/>
      <c r="D194" s="9"/>
      <c r="E194" s="9"/>
      <c r="F194" s="9"/>
    </row>
    <row r="195" spans="1:6" x14ac:dyDescent="0.2">
      <c r="A195" s="9"/>
      <c r="B195" s="9"/>
      <c r="C195" s="9"/>
      <c r="D195" s="9"/>
      <c r="E195" s="9"/>
      <c r="F195" s="9"/>
    </row>
    <row r="196" spans="1:6" x14ac:dyDescent="0.2">
      <c r="A196" s="9"/>
      <c r="B196" s="9"/>
      <c r="C196" s="9"/>
      <c r="D196" s="9"/>
      <c r="E196" s="9"/>
      <c r="F196" s="9"/>
    </row>
    <row r="197" spans="1:6" x14ac:dyDescent="0.2">
      <c r="A197" s="9"/>
      <c r="B197" s="9"/>
      <c r="C197" s="9"/>
      <c r="D197" s="9"/>
      <c r="E197" s="9"/>
      <c r="F197" s="9"/>
    </row>
    <row r="198" spans="1:6" x14ac:dyDescent="0.2">
      <c r="A198" s="9"/>
      <c r="B198" s="9"/>
      <c r="C198" s="9"/>
      <c r="D198" s="9"/>
      <c r="E198" s="9"/>
      <c r="F198" s="9"/>
    </row>
    <row r="199" spans="1:6" x14ac:dyDescent="0.2">
      <c r="A199" s="9"/>
      <c r="B199" s="9"/>
      <c r="C199" s="9"/>
      <c r="D199" s="9"/>
      <c r="E199" s="9"/>
      <c r="F199" s="9"/>
    </row>
    <row r="200" spans="1:6" x14ac:dyDescent="0.2">
      <c r="A200" s="9"/>
      <c r="B200" s="9"/>
      <c r="C200" s="9"/>
      <c r="D200" s="9"/>
      <c r="E200" s="9"/>
      <c r="F200" s="9"/>
    </row>
    <row r="201" spans="1:6" x14ac:dyDescent="0.2">
      <c r="A201" s="9"/>
      <c r="B201" s="9"/>
      <c r="C201" s="9"/>
      <c r="D201" s="9"/>
      <c r="E201" s="9"/>
      <c r="F201" s="9"/>
    </row>
    <row r="202" spans="1:6" x14ac:dyDescent="0.2">
      <c r="A202" s="9"/>
      <c r="B202" s="9"/>
      <c r="C202" s="9"/>
      <c r="D202" s="9"/>
      <c r="E202" s="9"/>
      <c r="F202" s="9"/>
    </row>
    <row r="203" spans="1:6" x14ac:dyDescent="0.2">
      <c r="A203" s="9"/>
      <c r="B203" s="9"/>
      <c r="C203" s="9"/>
      <c r="D203" s="9"/>
      <c r="E203" s="9"/>
      <c r="F203" s="9"/>
    </row>
    <row r="204" spans="1:6" x14ac:dyDescent="0.2">
      <c r="A204" s="9"/>
      <c r="B204" s="9"/>
      <c r="C204" s="9"/>
      <c r="D204" s="9"/>
      <c r="E204" s="9"/>
      <c r="F204" s="9"/>
    </row>
    <row r="205" spans="1:6" x14ac:dyDescent="0.2">
      <c r="E205" s="9"/>
      <c r="F205" s="9"/>
    </row>
    <row r="206" spans="1:6" x14ac:dyDescent="0.2">
      <c r="E206" s="9"/>
      <c r="F206" s="9"/>
    </row>
  </sheetData>
  <mergeCells count="7">
    <mergeCell ref="A103:F103"/>
    <mergeCell ref="A102:F102"/>
    <mergeCell ref="B3:D4"/>
    <mergeCell ref="E3:F4"/>
    <mergeCell ref="A1:F1"/>
    <mergeCell ref="A2:F2"/>
    <mergeCell ref="A3:A5"/>
  </mergeCells>
  <conditionalFormatting sqref="H6:H101">
    <cfRule type="cellIs" dxfId="1" priority="4" operator="notEqual">
      <formula>C6</formula>
    </cfRule>
    <cfRule type="cellIs" dxfId="0" priority="5" operator="notEqual">
      <formula>C6</formula>
    </cfRule>
  </conditionalFormatting>
  <printOptions horizontalCentered="1"/>
  <pageMargins left="0.59055118110236227" right="0.59055118110236227" top="0.70866141732283472" bottom="0.19685039370078741" header="0.31496062992125984" footer="0.51181102362204722"/>
  <pageSetup paperSize="9" firstPageNumber="41" orientation="landscape" useFirstPageNumber="1" r:id="rId1"/>
  <headerFooter alignWithMargins="0">
    <oddHeader>&amp;C&amp;"Arial,обычный"&amp;10 &amp;P</oddHeader>
  </headerFooter>
  <rowBreaks count="2" manualBreakCount="2">
    <brk id="38" max="16383" man="1"/>
    <brk id="70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J111"/>
  <sheetViews>
    <sheetView zoomScaleNormal="100" zoomScaleSheetLayoutView="100" workbookViewId="0">
      <selection sqref="A1:F1"/>
    </sheetView>
  </sheetViews>
  <sheetFormatPr defaultRowHeight="14.25" x14ac:dyDescent="0.2"/>
  <cols>
    <col min="1" max="1" width="50.28515625" style="5" customWidth="1"/>
    <col min="2" max="3" width="14.7109375" style="5" customWidth="1"/>
    <col min="4" max="4" width="15.42578125" style="5" customWidth="1"/>
    <col min="5" max="6" width="19.7109375" style="5" customWidth="1"/>
    <col min="7" max="7" width="14.85546875" style="9" customWidth="1"/>
    <col min="8" max="16384" width="9.140625" style="9"/>
  </cols>
  <sheetData>
    <row r="1" spans="1:10" ht="16.5" customHeight="1" x14ac:dyDescent="0.2">
      <c r="A1" s="567" t="s">
        <v>270</v>
      </c>
      <c r="B1" s="567"/>
      <c r="C1" s="567"/>
      <c r="D1" s="567"/>
      <c r="E1" s="567"/>
      <c r="F1" s="567"/>
    </row>
    <row r="2" spans="1:10" ht="12.75" customHeight="1" x14ac:dyDescent="0.2">
      <c r="A2" s="91"/>
      <c r="B2" s="91"/>
      <c r="C2" s="91"/>
      <c r="D2" s="91"/>
      <c r="E2" s="91"/>
      <c r="F2" s="91"/>
    </row>
    <row r="3" spans="1:10" ht="15" customHeight="1" x14ac:dyDescent="0.2">
      <c r="A3" s="568"/>
      <c r="B3" s="569" t="s">
        <v>208</v>
      </c>
      <c r="C3" s="569"/>
      <c r="D3" s="569"/>
      <c r="E3" s="569" t="s">
        <v>293</v>
      </c>
      <c r="F3" s="569"/>
    </row>
    <row r="4" spans="1:10" ht="15" customHeight="1" x14ac:dyDescent="0.2">
      <c r="A4" s="568"/>
      <c r="B4" s="569"/>
      <c r="C4" s="569"/>
      <c r="D4" s="569"/>
      <c r="E4" s="569"/>
      <c r="F4" s="569"/>
    </row>
    <row r="5" spans="1:10" ht="39.75" customHeight="1" x14ac:dyDescent="0.2">
      <c r="A5" s="568"/>
      <c r="B5" s="250" t="s">
        <v>343</v>
      </c>
      <c r="C5" s="250" t="s">
        <v>330</v>
      </c>
      <c r="D5" s="253" t="s">
        <v>356</v>
      </c>
      <c r="E5" s="250" t="s">
        <v>343</v>
      </c>
      <c r="F5" s="250" t="s">
        <v>330</v>
      </c>
    </row>
    <row r="6" spans="1:10" s="8" customFormat="1" ht="15" x14ac:dyDescent="0.25">
      <c r="A6" s="255" t="s">
        <v>177</v>
      </c>
      <c r="B6" s="169">
        <v>7328</v>
      </c>
      <c r="C6" s="169">
        <v>8244</v>
      </c>
      <c r="D6" s="140">
        <f>ROUND(B6/$B$6*100,1)</f>
        <v>100</v>
      </c>
      <c r="E6" s="426">
        <v>48.8</v>
      </c>
      <c r="F6" s="426">
        <v>50.9</v>
      </c>
      <c r="G6" s="139"/>
    </row>
    <row r="7" spans="1:10" s="8" customFormat="1" ht="15" x14ac:dyDescent="0.25">
      <c r="A7" s="230" t="s">
        <v>178</v>
      </c>
      <c r="C7" s="170"/>
      <c r="D7" s="140"/>
      <c r="F7" s="417"/>
      <c r="G7" s="469"/>
      <c r="H7" s="469"/>
    </row>
    <row r="8" spans="1:10" ht="15" x14ac:dyDescent="0.25">
      <c r="A8" s="227" t="s">
        <v>278</v>
      </c>
      <c r="B8" s="171">
        <v>287</v>
      </c>
      <c r="C8" s="171">
        <v>363</v>
      </c>
      <c r="D8" s="141">
        <f t="shared" ref="D8:D31" si="0">ROUND(B8/$B$6*100,1)</f>
        <v>3.9</v>
      </c>
      <c r="E8" s="417">
        <v>1.9</v>
      </c>
      <c r="F8" s="417">
        <v>2.2000000000000002</v>
      </c>
      <c r="G8" s="139"/>
    </row>
    <row r="9" spans="1:10" ht="15" x14ac:dyDescent="0.25">
      <c r="A9" s="228" t="s">
        <v>179</v>
      </c>
      <c r="B9" s="172"/>
      <c r="C9" s="172"/>
      <c r="D9" s="141"/>
      <c r="E9" s="417"/>
      <c r="F9" s="417"/>
      <c r="G9" s="139"/>
      <c r="I9" s="470"/>
      <c r="J9" s="470"/>
    </row>
    <row r="10" spans="1:10" ht="15" x14ac:dyDescent="0.25">
      <c r="A10" s="256" t="s">
        <v>275</v>
      </c>
      <c r="B10" s="171">
        <v>38</v>
      </c>
      <c r="C10" s="171">
        <v>45</v>
      </c>
      <c r="D10" s="141">
        <f t="shared" si="0"/>
        <v>0.5</v>
      </c>
      <c r="E10" s="417">
        <v>0.3</v>
      </c>
      <c r="F10" s="417">
        <v>0.3</v>
      </c>
      <c r="G10" s="139"/>
    </row>
    <row r="11" spans="1:10" ht="15" x14ac:dyDescent="0.25">
      <c r="A11" s="256" t="s">
        <v>274</v>
      </c>
      <c r="B11" s="173">
        <v>55</v>
      </c>
      <c r="C11" s="173">
        <v>88</v>
      </c>
      <c r="D11" s="141">
        <f t="shared" si="0"/>
        <v>0.8</v>
      </c>
      <c r="E11" s="417">
        <v>0.4</v>
      </c>
      <c r="F11" s="417">
        <v>0.5</v>
      </c>
      <c r="G11" s="139"/>
    </row>
    <row r="12" spans="1:10" ht="25.5" x14ac:dyDescent="0.2">
      <c r="A12" s="227" t="s">
        <v>271</v>
      </c>
      <c r="B12" s="171">
        <v>76</v>
      </c>
      <c r="C12" s="171">
        <v>65</v>
      </c>
      <c r="D12" s="141">
        <f t="shared" si="0"/>
        <v>1</v>
      </c>
      <c r="E12" s="417">
        <v>0.5</v>
      </c>
      <c r="F12" s="417">
        <v>0.4</v>
      </c>
      <c r="G12" s="470"/>
      <c r="H12" s="470"/>
    </row>
    <row r="13" spans="1:10" ht="15" x14ac:dyDescent="0.25">
      <c r="A13" s="227" t="s">
        <v>272</v>
      </c>
      <c r="B13" s="171">
        <v>248</v>
      </c>
      <c r="C13" s="171">
        <v>243</v>
      </c>
      <c r="D13" s="141">
        <f t="shared" si="0"/>
        <v>3.4</v>
      </c>
      <c r="E13" s="417">
        <v>1.7</v>
      </c>
      <c r="F13" s="417">
        <v>1.5</v>
      </c>
      <c r="G13" s="139"/>
    </row>
    <row r="14" spans="1:10" ht="26.25" x14ac:dyDescent="0.25">
      <c r="A14" s="257" t="s">
        <v>273</v>
      </c>
      <c r="B14" s="173">
        <v>20</v>
      </c>
      <c r="C14" s="173">
        <v>25</v>
      </c>
      <c r="D14" s="141">
        <f t="shared" si="0"/>
        <v>0.3</v>
      </c>
      <c r="E14" s="417">
        <v>0.1</v>
      </c>
      <c r="F14" s="417">
        <v>0.2</v>
      </c>
      <c r="G14" s="77"/>
      <c r="H14" s="77"/>
    </row>
    <row r="15" spans="1:10" x14ac:dyDescent="0.2">
      <c r="A15" s="227" t="s">
        <v>237</v>
      </c>
      <c r="B15" s="171">
        <v>344</v>
      </c>
      <c r="C15" s="171">
        <v>384</v>
      </c>
      <c r="D15" s="141">
        <f t="shared" si="0"/>
        <v>4.7</v>
      </c>
      <c r="E15" s="417">
        <v>2.2999999999999998</v>
      </c>
      <c r="F15" s="417">
        <v>2.4</v>
      </c>
      <c r="G15" s="470"/>
      <c r="H15" s="470"/>
    </row>
    <row r="16" spans="1:10" ht="15" x14ac:dyDescent="0.25">
      <c r="A16" s="228" t="s">
        <v>180</v>
      </c>
      <c r="B16" s="172"/>
      <c r="C16" s="172"/>
      <c r="D16" s="141"/>
      <c r="E16" s="417"/>
      <c r="F16" s="417"/>
      <c r="G16" s="139"/>
    </row>
    <row r="17" spans="1:8" x14ac:dyDescent="0.2">
      <c r="A17" s="228" t="s">
        <v>336</v>
      </c>
      <c r="B17" s="171">
        <v>214</v>
      </c>
      <c r="C17" s="171">
        <v>227</v>
      </c>
      <c r="D17" s="141">
        <f t="shared" si="0"/>
        <v>2.9</v>
      </c>
      <c r="E17" s="417">
        <v>1.4</v>
      </c>
      <c r="F17" s="417">
        <v>1.4</v>
      </c>
      <c r="G17" s="470"/>
      <c r="H17" s="470"/>
    </row>
    <row r="18" spans="1:8" x14ac:dyDescent="0.2">
      <c r="A18" s="228" t="s">
        <v>181</v>
      </c>
      <c r="B18" s="172">
        <v>82</v>
      </c>
      <c r="C18" s="172">
        <v>116</v>
      </c>
      <c r="D18" s="141">
        <f t="shared" si="0"/>
        <v>1.1000000000000001</v>
      </c>
      <c r="E18" s="417">
        <v>0.5</v>
      </c>
      <c r="F18" s="417">
        <v>0.7</v>
      </c>
      <c r="G18" s="471"/>
      <c r="H18" s="471"/>
    </row>
    <row r="19" spans="1:8" x14ac:dyDescent="0.2">
      <c r="A19" s="227" t="s">
        <v>238</v>
      </c>
      <c r="B19" s="171">
        <v>41</v>
      </c>
      <c r="C19" s="171">
        <v>48</v>
      </c>
      <c r="D19" s="141">
        <f t="shared" si="0"/>
        <v>0.6</v>
      </c>
      <c r="E19" s="417">
        <v>0.3</v>
      </c>
      <c r="F19" s="417">
        <v>0.3</v>
      </c>
      <c r="G19" s="470"/>
      <c r="H19" s="470"/>
    </row>
    <row r="20" spans="1:8" ht="25.5" x14ac:dyDescent="0.2">
      <c r="A20" s="227" t="s">
        <v>276</v>
      </c>
      <c r="B20" s="171">
        <v>1551</v>
      </c>
      <c r="C20" s="171">
        <v>1842</v>
      </c>
      <c r="D20" s="141">
        <f t="shared" si="0"/>
        <v>21.2</v>
      </c>
      <c r="E20" s="417">
        <v>10.3</v>
      </c>
      <c r="F20" s="417">
        <v>11.4</v>
      </c>
      <c r="G20" s="470"/>
      <c r="H20" s="470"/>
    </row>
    <row r="21" spans="1:8" ht="15" x14ac:dyDescent="0.25">
      <c r="A21" s="258" t="s">
        <v>182</v>
      </c>
      <c r="B21" s="172"/>
      <c r="C21" s="172"/>
      <c r="D21" s="141"/>
      <c r="E21" s="417"/>
      <c r="F21" s="417"/>
      <c r="G21" s="139"/>
    </row>
    <row r="22" spans="1:8" x14ac:dyDescent="0.2">
      <c r="A22" s="259" t="s">
        <v>183</v>
      </c>
      <c r="B22" s="173">
        <v>40</v>
      </c>
      <c r="C22" s="173">
        <v>71</v>
      </c>
      <c r="D22" s="141">
        <f t="shared" si="0"/>
        <v>0.5</v>
      </c>
      <c r="E22" s="417">
        <v>0.3</v>
      </c>
      <c r="F22" s="417">
        <v>0.4</v>
      </c>
      <c r="G22" s="471"/>
      <c r="H22" s="471"/>
    </row>
    <row r="23" spans="1:8" x14ac:dyDescent="0.2">
      <c r="A23" s="258" t="s">
        <v>184</v>
      </c>
      <c r="B23" s="171">
        <v>706</v>
      </c>
      <c r="C23" s="171">
        <v>805</v>
      </c>
      <c r="D23" s="141">
        <f t="shared" si="0"/>
        <v>9.6</v>
      </c>
      <c r="E23" s="427">
        <v>4.7</v>
      </c>
      <c r="F23" s="427">
        <v>5</v>
      </c>
      <c r="G23" s="471"/>
      <c r="H23" s="471"/>
    </row>
    <row r="24" spans="1:8" ht="25.5" x14ac:dyDescent="0.2">
      <c r="A24" s="260" t="s">
        <v>277</v>
      </c>
      <c r="B24" s="171">
        <v>3755</v>
      </c>
      <c r="C24" s="171">
        <v>4106</v>
      </c>
      <c r="D24" s="141">
        <f t="shared" si="0"/>
        <v>51.2</v>
      </c>
      <c r="E24" s="427">
        <v>25</v>
      </c>
      <c r="F24" s="417">
        <v>25.3</v>
      </c>
      <c r="G24" s="470"/>
      <c r="H24" s="470"/>
    </row>
    <row r="25" spans="1:8" ht="15" x14ac:dyDescent="0.25">
      <c r="A25" s="259" t="s">
        <v>182</v>
      </c>
      <c r="B25" s="172"/>
      <c r="C25" s="172"/>
      <c r="D25" s="141"/>
      <c r="E25" s="417"/>
      <c r="F25" s="417"/>
      <c r="G25" s="139"/>
    </row>
    <row r="26" spans="1:8" x14ac:dyDescent="0.2">
      <c r="A26" s="259" t="s">
        <v>185</v>
      </c>
      <c r="B26" s="173">
        <v>23</v>
      </c>
      <c r="C26" s="173">
        <v>41</v>
      </c>
      <c r="D26" s="141">
        <f t="shared" si="0"/>
        <v>0.3</v>
      </c>
      <c r="E26" s="417">
        <v>0.2</v>
      </c>
      <c r="F26" s="417">
        <v>0.3</v>
      </c>
      <c r="G26" s="471"/>
      <c r="H26" s="471"/>
    </row>
    <row r="27" spans="1:8" x14ac:dyDescent="0.2">
      <c r="A27" s="258" t="s">
        <v>186</v>
      </c>
      <c r="B27" s="173">
        <v>262</v>
      </c>
      <c r="C27" s="173">
        <v>290</v>
      </c>
      <c r="D27" s="141">
        <f t="shared" si="0"/>
        <v>3.6</v>
      </c>
      <c r="E27" s="417">
        <v>1.7</v>
      </c>
      <c r="F27" s="417">
        <v>1.8</v>
      </c>
      <c r="G27" s="471"/>
      <c r="H27" s="471"/>
    </row>
    <row r="28" spans="1:8" x14ac:dyDescent="0.2">
      <c r="A28" s="261" t="s">
        <v>333</v>
      </c>
      <c r="B28" s="173">
        <v>529</v>
      </c>
      <c r="C28" s="173">
        <v>556</v>
      </c>
      <c r="D28" s="141">
        <f t="shared" si="0"/>
        <v>7.2</v>
      </c>
      <c r="E28" s="417">
        <v>3.5</v>
      </c>
      <c r="F28" s="417">
        <v>3.4</v>
      </c>
      <c r="G28" s="471"/>
      <c r="H28" s="471"/>
    </row>
    <row r="29" spans="1:8" x14ac:dyDescent="0.2">
      <c r="A29" s="261" t="s">
        <v>335</v>
      </c>
      <c r="B29" s="173">
        <v>463</v>
      </c>
      <c r="C29" s="173">
        <v>536</v>
      </c>
      <c r="D29" s="141">
        <f t="shared" si="0"/>
        <v>6.3</v>
      </c>
      <c r="E29" s="417">
        <v>3.1</v>
      </c>
      <c r="F29" s="417">
        <v>3.3</v>
      </c>
      <c r="G29" s="471"/>
      <c r="H29" s="471"/>
    </row>
    <row r="30" spans="1:8" ht="25.5" x14ac:dyDescent="0.2">
      <c r="A30" s="428" t="s">
        <v>334</v>
      </c>
      <c r="B30" s="173">
        <v>672</v>
      </c>
      <c r="C30" s="173">
        <v>729</v>
      </c>
      <c r="D30" s="141">
        <f t="shared" si="0"/>
        <v>9.1999999999999993</v>
      </c>
      <c r="E30" s="417">
        <v>4.5</v>
      </c>
      <c r="F30" s="417">
        <v>4.5</v>
      </c>
      <c r="G30" s="469"/>
      <c r="H30" s="469"/>
    </row>
    <row r="31" spans="1:8" ht="15" x14ac:dyDescent="0.25">
      <c r="A31" s="290" t="s">
        <v>236</v>
      </c>
      <c r="B31" s="291">
        <v>413</v>
      </c>
      <c r="C31" s="291">
        <v>535</v>
      </c>
      <c r="D31" s="292">
        <f t="shared" si="0"/>
        <v>5.6</v>
      </c>
      <c r="E31" s="293">
        <v>2.7</v>
      </c>
      <c r="F31" s="293">
        <v>3.3</v>
      </c>
      <c r="G31" s="139"/>
    </row>
    <row r="32" spans="1:8" ht="12.75" customHeight="1" x14ac:dyDescent="0.2">
      <c r="A32" s="137"/>
      <c r="B32" s="94"/>
      <c r="C32" s="86"/>
      <c r="D32" s="95"/>
      <c r="E32" s="155"/>
      <c r="F32" s="18"/>
    </row>
    <row r="33" spans="1:6" ht="12.75" customHeight="1" x14ac:dyDescent="0.2">
      <c r="A33" s="130"/>
      <c r="B33" s="94"/>
      <c r="C33" s="86"/>
      <c r="E33" s="93"/>
    </row>
    <row r="34" spans="1:6" ht="12.75" customHeight="1" x14ac:dyDescent="0.2">
      <c r="A34" s="9"/>
      <c r="B34" s="94"/>
      <c r="C34" s="86"/>
      <c r="E34" s="93"/>
    </row>
    <row r="35" spans="1:6" ht="12.75" customHeight="1" x14ac:dyDescent="0.2">
      <c r="C35" s="86"/>
      <c r="E35" s="92"/>
    </row>
    <row r="36" spans="1:6" ht="12.75" customHeight="1" x14ac:dyDescent="0.2">
      <c r="B36" s="94"/>
      <c r="C36" s="88"/>
      <c r="E36" s="93"/>
    </row>
    <row r="37" spans="1:6" ht="12.75" customHeight="1" x14ac:dyDescent="0.2">
      <c r="B37" s="94"/>
      <c r="C37" s="86"/>
      <c r="E37" s="92"/>
    </row>
    <row r="38" spans="1:6" ht="12.75" customHeight="1" x14ac:dyDescent="0.2">
      <c r="B38" s="94"/>
      <c r="C38" s="86"/>
      <c r="E38" s="93"/>
    </row>
    <row r="39" spans="1:6" ht="12.75" customHeight="1" x14ac:dyDescent="0.2">
      <c r="B39" s="94"/>
      <c r="C39" s="86"/>
      <c r="E39" s="93"/>
    </row>
    <row r="40" spans="1:6" ht="12.75" customHeight="1" x14ac:dyDescent="0.2">
      <c r="B40" s="18"/>
      <c r="C40" s="86"/>
      <c r="E40" s="93"/>
    </row>
    <row r="41" spans="1:6" ht="12.75" customHeight="1" x14ac:dyDescent="0.2">
      <c r="C41" s="86"/>
      <c r="E41" s="93"/>
    </row>
    <row r="42" spans="1:6" ht="12.75" customHeight="1" x14ac:dyDescent="0.2">
      <c r="C42" s="86"/>
      <c r="E42" s="18"/>
    </row>
    <row r="43" spans="1:6" ht="12.75" customHeight="1" x14ac:dyDescent="0.2">
      <c r="A43" s="9"/>
      <c r="C43" s="88"/>
      <c r="D43" s="9"/>
      <c r="F43" s="9"/>
    </row>
    <row r="44" spans="1:6" ht="12.75" customHeight="1" x14ac:dyDescent="0.2">
      <c r="A44" s="9"/>
      <c r="C44" s="86"/>
      <c r="D44" s="9"/>
      <c r="F44" s="9"/>
    </row>
    <row r="45" spans="1:6" ht="12.75" customHeight="1" x14ac:dyDescent="0.2">
      <c r="A45" s="9"/>
      <c r="C45" s="86"/>
      <c r="D45" s="9"/>
      <c r="F45" s="9"/>
    </row>
    <row r="46" spans="1:6" ht="12.75" customHeight="1" x14ac:dyDescent="0.2">
      <c r="A46" s="9"/>
      <c r="C46" s="86"/>
      <c r="D46" s="9"/>
      <c r="F46" s="9"/>
    </row>
    <row r="47" spans="1:6" ht="12.75" customHeight="1" x14ac:dyDescent="0.2">
      <c r="A47" s="9"/>
      <c r="C47" s="86"/>
      <c r="D47" s="9"/>
      <c r="F47" s="9"/>
    </row>
    <row r="48" spans="1:6" ht="12.75" customHeight="1" x14ac:dyDescent="0.2">
      <c r="A48" s="9"/>
      <c r="C48" s="86"/>
      <c r="D48" s="9"/>
      <c r="F48" s="9"/>
    </row>
    <row r="49" spans="1:6" ht="12.75" customHeight="1" x14ac:dyDescent="0.2">
      <c r="A49" s="9"/>
      <c r="C49" s="86"/>
      <c r="D49" s="9"/>
      <c r="F49" s="9"/>
    </row>
    <row r="50" spans="1:6" ht="12.75" customHeight="1" x14ac:dyDescent="0.2">
      <c r="A50" s="9"/>
      <c r="C50" s="86"/>
      <c r="D50" s="9"/>
      <c r="F50" s="9"/>
    </row>
    <row r="51" spans="1:6" ht="12.75" customHeight="1" x14ac:dyDescent="0.2">
      <c r="A51" s="9"/>
      <c r="B51" s="9"/>
      <c r="C51" s="88"/>
      <c r="D51" s="9"/>
      <c r="F51" s="9"/>
    </row>
    <row r="52" spans="1:6" ht="12.75" customHeight="1" x14ac:dyDescent="0.2">
      <c r="A52" s="9"/>
      <c r="B52" s="9"/>
      <c r="C52" s="86"/>
      <c r="D52" s="9"/>
      <c r="F52" s="9"/>
    </row>
    <row r="53" spans="1:6" ht="12.75" customHeight="1" x14ac:dyDescent="0.2">
      <c r="A53" s="9"/>
      <c r="B53" s="9"/>
      <c r="C53" s="86"/>
      <c r="D53" s="9"/>
      <c r="E53" s="9"/>
      <c r="F53" s="9"/>
    </row>
    <row r="54" spans="1:6" ht="12.75" customHeight="1" x14ac:dyDescent="0.2">
      <c r="A54" s="9"/>
      <c r="B54" s="9"/>
      <c r="C54" s="86"/>
      <c r="D54" s="9"/>
      <c r="E54" s="9"/>
      <c r="F54" s="9"/>
    </row>
    <row r="55" spans="1:6" ht="12.75" customHeight="1" x14ac:dyDescent="0.2">
      <c r="A55" s="9"/>
      <c r="B55" s="9"/>
      <c r="C55" s="86"/>
      <c r="D55" s="9"/>
      <c r="E55" s="9"/>
      <c r="F55" s="9"/>
    </row>
    <row r="56" spans="1:6" ht="12.75" customHeight="1" x14ac:dyDescent="0.2">
      <c r="A56" s="9"/>
      <c r="B56" s="9"/>
      <c r="C56" s="86"/>
      <c r="D56" s="9"/>
      <c r="E56" s="9"/>
      <c r="F56" s="9"/>
    </row>
    <row r="57" spans="1:6" ht="12.75" customHeight="1" x14ac:dyDescent="0.2">
      <c r="A57" s="9"/>
      <c r="B57" s="9"/>
      <c r="C57" s="86"/>
      <c r="D57" s="9"/>
      <c r="E57" s="9"/>
      <c r="F57" s="9"/>
    </row>
    <row r="58" spans="1:6" ht="12.75" customHeight="1" x14ac:dyDescent="0.2">
      <c r="A58" s="9"/>
      <c r="B58" s="9"/>
      <c r="C58" s="86"/>
      <c r="D58" s="9"/>
      <c r="E58" s="9"/>
      <c r="F58" s="9"/>
    </row>
    <row r="59" spans="1:6" ht="12.75" customHeight="1" x14ac:dyDescent="0.2">
      <c r="A59" s="9"/>
      <c r="B59" s="9"/>
      <c r="C59" s="86"/>
      <c r="D59" s="9"/>
      <c r="E59" s="9"/>
      <c r="F59" s="9"/>
    </row>
    <row r="60" spans="1:6" ht="12.75" customHeight="1" x14ac:dyDescent="0.2">
      <c r="A60" s="9"/>
      <c r="B60" s="9"/>
      <c r="C60" s="86"/>
      <c r="D60" s="9"/>
      <c r="E60" s="9"/>
      <c r="F60" s="9"/>
    </row>
    <row r="61" spans="1:6" ht="12.75" customHeight="1" x14ac:dyDescent="0.2">
      <c r="A61" s="9"/>
      <c r="B61" s="9"/>
      <c r="C61" s="86"/>
      <c r="D61" s="9"/>
      <c r="E61" s="9"/>
      <c r="F61" s="9"/>
    </row>
    <row r="62" spans="1:6" ht="12.75" customHeight="1" x14ac:dyDescent="0.2">
      <c r="A62" s="9"/>
      <c r="B62" s="9"/>
      <c r="C62" s="86"/>
      <c r="D62" s="9"/>
      <c r="E62" s="9"/>
      <c r="F62" s="9"/>
    </row>
    <row r="63" spans="1:6" ht="12.75" customHeight="1" x14ac:dyDescent="0.2">
      <c r="A63" s="9"/>
      <c r="B63" s="9"/>
      <c r="C63" s="86"/>
      <c r="D63" s="9"/>
      <c r="E63" s="9"/>
      <c r="F63" s="9"/>
    </row>
    <row r="64" spans="1:6" ht="12.75" customHeight="1" x14ac:dyDescent="0.2">
      <c r="A64" s="9"/>
      <c r="B64" s="9"/>
      <c r="C64" s="86"/>
      <c r="D64" s="9"/>
      <c r="E64" s="9"/>
      <c r="F64" s="9"/>
    </row>
    <row r="65" spans="1:6" ht="12.75" customHeight="1" x14ac:dyDescent="0.2">
      <c r="A65" s="9"/>
      <c r="B65" s="9"/>
      <c r="C65" s="86"/>
      <c r="D65" s="9"/>
      <c r="E65" s="9"/>
      <c r="F65" s="9"/>
    </row>
    <row r="66" spans="1:6" ht="12.75" customHeight="1" x14ac:dyDescent="0.2">
      <c r="A66" s="9"/>
      <c r="B66" s="9"/>
      <c r="C66" s="88"/>
      <c r="D66" s="9"/>
      <c r="E66" s="9"/>
      <c r="F66" s="9"/>
    </row>
    <row r="67" spans="1:6" ht="12.75" customHeight="1" x14ac:dyDescent="0.2">
      <c r="A67" s="9"/>
      <c r="B67" s="9"/>
      <c r="C67" s="86"/>
      <c r="D67" s="9"/>
      <c r="E67" s="9"/>
      <c r="F67" s="9"/>
    </row>
    <row r="68" spans="1:6" ht="12.75" customHeight="1" x14ac:dyDescent="0.2">
      <c r="A68" s="9"/>
      <c r="B68" s="9"/>
      <c r="C68" s="86"/>
      <c r="D68" s="9"/>
      <c r="E68" s="9"/>
      <c r="F68" s="9"/>
    </row>
    <row r="69" spans="1:6" ht="12.75" customHeight="1" x14ac:dyDescent="0.2">
      <c r="A69" s="9"/>
      <c r="B69" s="9"/>
      <c r="C69" s="86"/>
      <c r="D69" s="9"/>
      <c r="E69" s="9"/>
      <c r="F69" s="9"/>
    </row>
    <row r="70" spans="1:6" ht="12.75" customHeight="1" x14ac:dyDescent="0.2">
      <c r="A70" s="9"/>
      <c r="B70" s="9"/>
      <c r="C70" s="86"/>
      <c r="D70" s="9"/>
      <c r="E70" s="9"/>
      <c r="F70" s="9"/>
    </row>
    <row r="71" spans="1:6" ht="12.75" customHeight="1" x14ac:dyDescent="0.2">
      <c r="A71" s="9"/>
      <c r="B71" s="9"/>
      <c r="C71" s="86"/>
      <c r="D71" s="9"/>
      <c r="E71" s="9"/>
      <c r="F71" s="9"/>
    </row>
    <row r="72" spans="1:6" ht="12.75" customHeight="1" x14ac:dyDescent="0.2">
      <c r="A72" s="9"/>
      <c r="B72" s="9"/>
      <c r="C72" s="86"/>
      <c r="D72" s="9"/>
      <c r="E72" s="9"/>
      <c r="F72" s="9"/>
    </row>
    <row r="73" spans="1:6" ht="12.75" customHeight="1" x14ac:dyDescent="0.2">
      <c r="A73" s="9"/>
      <c r="B73" s="9"/>
      <c r="C73" s="86"/>
      <c r="D73" s="9"/>
      <c r="E73" s="9"/>
      <c r="F73" s="9"/>
    </row>
    <row r="74" spans="1:6" ht="12.75" customHeight="1" x14ac:dyDescent="0.2">
      <c r="A74" s="9"/>
      <c r="B74" s="9"/>
      <c r="C74" s="88"/>
      <c r="D74" s="9"/>
      <c r="E74" s="9"/>
      <c r="F74" s="9"/>
    </row>
    <row r="75" spans="1:6" ht="12.75" customHeight="1" x14ac:dyDescent="0.2">
      <c r="A75" s="9"/>
      <c r="B75" s="9"/>
      <c r="C75" s="86"/>
      <c r="D75" s="9"/>
      <c r="E75" s="9"/>
      <c r="F75" s="9"/>
    </row>
    <row r="76" spans="1:6" ht="12.75" customHeight="1" x14ac:dyDescent="0.2">
      <c r="A76" s="9"/>
      <c r="B76" s="9"/>
      <c r="C76" s="86"/>
      <c r="D76" s="9"/>
      <c r="E76" s="9"/>
      <c r="F76" s="9"/>
    </row>
    <row r="77" spans="1:6" ht="12.75" customHeight="1" x14ac:dyDescent="0.2">
      <c r="A77" s="9"/>
      <c r="B77" s="9"/>
      <c r="C77" s="86"/>
      <c r="D77" s="9"/>
      <c r="E77" s="9"/>
      <c r="F77" s="9"/>
    </row>
    <row r="78" spans="1:6" ht="12.75" customHeight="1" x14ac:dyDescent="0.2">
      <c r="A78" s="9"/>
      <c r="B78" s="9"/>
      <c r="C78" s="86"/>
      <c r="D78" s="9"/>
      <c r="E78" s="9"/>
      <c r="F78" s="9"/>
    </row>
    <row r="79" spans="1:6" ht="12.75" customHeight="1" x14ac:dyDescent="0.2">
      <c r="A79" s="9"/>
      <c r="B79" s="9"/>
      <c r="C79" s="86"/>
      <c r="D79" s="9"/>
      <c r="E79" s="9"/>
      <c r="F79" s="9"/>
    </row>
    <row r="80" spans="1:6" ht="12.75" customHeight="1" x14ac:dyDescent="0.2">
      <c r="A80" s="9"/>
      <c r="B80" s="9"/>
      <c r="C80" s="86"/>
      <c r="D80" s="9"/>
      <c r="E80" s="9"/>
      <c r="F80" s="9"/>
    </row>
    <row r="81" spans="1:6" ht="12.75" customHeight="1" x14ac:dyDescent="0.2">
      <c r="A81" s="9"/>
      <c r="B81" s="9"/>
      <c r="C81" s="86"/>
      <c r="D81" s="9"/>
      <c r="E81" s="9"/>
      <c r="F81" s="9"/>
    </row>
    <row r="82" spans="1:6" ht="12.75" customHeight="1" x14ac:dyDescent="0.2">
      <c r="A82" s="9"/>
      <c r="B82" s="9"/>
      <c r="C82" s="86"/>
      <c r="D82" s="9"/>
      <c r="E82" s="9"/>
      <c r="F82" s="9"/>
    </row>
    <row r="83" spans="1:6" ht="12.75" customHeight="1" x14ac:dyDescent="0.2">
      <c r="A83" s="9"/>
      <c r="B83" s="9"/>
      <c r="C83" s="86"/>
      <c r="D83" s="9"/>
      <c r="E83" s="9"/>
      <c r="F83" s="9"/>
    </row>
    <row r="84" spans="1:6" ht="12.75" customHeight="1" x14ac:dyDescent="0.2">
      <c r="A84" s="9"/>
      <c r="B84" s="9"/>
      <c r="C84" s="86"/>
      <c r="D84" s="9"/>
      <c r="E84" s="9"/>
      <c r="F84" s="9"/>
    </row>
    <row r="85" spans="1:6" ht="12.75" customHeight="1" x14ac:dyDescent="0.2">
      <c r="A85" s="9"/>
      <c r="B85" s="9"/>
      <c r="C85" s="86"/>
      <c r="D85" s="9"/>
      <c r="E85" s="9"/>
      <c r="F85" s="9"/>
    </row>
    <row r="86" spans="1:6" ht="12.75" customHeight="1" x14ac:dyDescent="0.2">
      <c r="A86" s="9"/>
      <c r="B86" s="9"/>
      <c r="C86" s="86"/>
      <c r="D86" s="9"/>
      <c r="E86" s="9"/>
      <c r="F86" s="9"/>
    </row>
    <row r="87" spans="1:6" ht="12.75" customHeight="1" x14ac:dyDescent="0.2">
      <c r="A87" s="9"/>
      <c r="B87" s="9"/>
      <c r="C87" s="88"/>
      <c r="D87" s="9"/>
      <c r="E87" s="9"/>
      <c r="F87" s="9"/>
    </row>
    <row r="88" spans="1:6" ht="12.75" customHeight="1" x14ac:dyDescent="0.2">
      <c r="A88" s="9"/>
      <c r="B88" s="9"/>
      <c r="C88" s="86"/>
      <c r="D88" s="9"/>
      <c r="E88" s="9"/>
      <c r="F88" s="9"/>
    </row>
    <row r="89" spans="1:6" ht="12.75" customHeight="1" x14ac:dyDescent="0.2">
      <c r="A89" s="9"/>
      <c r="B89" s="9"/>
      <c r="C89" s="86"/>
      <c r="D89" s="9"/>
      <c r="E89" s="9"/>
      <c r="F89" s="9"/>
    </row>
    <row r="90" spans="1:6" ht="12.75" customHeight="1" x14ac:dyDescent="0.2">
      <c r="A90" s="9"/>
      <c r="B90" s="9"/>
      <c r="C90" s="86"/>
      <c r="D90" s="9"/>
      <c r="E90" s="9"/>
      <c r="F90" s="9"/>
    </row>
    <row r="91" spans="1:6" ht="12.75" customHeight="1" x14ac:dyDescent="0.2">
      <c r="A91" s="9"/>
      <c r="B91" s="9"/>
      <c r="C91" s="86"/>
      <c r="D91" s="9"/>
      <c r="E91" s="9"/>
      <c r="F91" s="9"/>
    </row>
    <row r="92" spans="1:6" ht="12.75" customHeight="1" x14ac:dyDescent="0.2">
      <c r="A92" s="9"/>
      <c r="B92" s="9"/>
      <c r="C92" s="86"/>
      <c r="D92" s="9"/>
      <c r="E92" s="9"/>
      <c r="F92" s="9"/>
    </row>
    <row r="93" spans="1:6" ht="12.75" customHeight="1" x14ac:dyDescent="0.2">
      <c r="A93" s="9"/>
      <c r="B93" s="9"/>
      <c r="C93" s="86"/>
      <c r="D93" s="9"/>
      <c r="E93" s="9"/>
      <c r="F93" s="9"/>
    </row>
    <row r="94" spans="1:6" ht="12.75" customHeight="1" x14ac:dyDescent="0.2">
      <c r="A94" s="9"/>
      <c r="B94" s="9"/>
      <c r="C94" s="86"/>
      <c r="D94" s="9"/>
      <c r="E94" s="9"/>
      <c r="F94" s="9"/>
    </row>
    <row r="95" spans="1:6" ht="12.75" customHeight="1" x14ac:dyDescent="0.2">
      <c r="A95" s="9"/>
      <c r="B95" s="9"/>
      <c r="C95" s="86"/>
      <c r="D95" s="9"/>
      <c r="E95" s="9"/>
      <c r="F95" s="9"/>
    </row>
    <row r="96" spans="1:6" ht="12.75" customHeight="1" x14ac:dyDescent="0.2">
      <c r="A96" s="9"/>
      <c r="B96" s="9"/>
      <c r="C96" s="86"/>
      <c r="D96" s="9"/>
      <c r="E96" s="9"/>
      <c r="F96" s="9"/>
    </row>
    <row r="97" spans="1:6" ht="12.75" customHeight="1" x14ac:dyDescent="0.2">
      <c r="A97" s="9"/>
      <c r="B97" s="9"/>
      <c r="C97" s="88"/>
      <c r="D97" s="9"/>
      <c r="E97" s="9"/>
      <c r="F97" s="9"/>
    </row>
    <row r="98" spans="1:6" ht="12.75" customHeight="1" x14ac:dyDescent="0.2">
      <c r="A98" s="9"/>
      <c r="B98" s="9"/>
      <c r="C98" s="86"/>
      <c r="D98" s="9"/>
      <c r="E98" s="9"/>
      <c r="F98" s="9"/>
    </row>
    <row r="99" spans="1:6" ht="12.75" customHeight="1" x14ac:dyDescent="0.2">
      <c r="A99" s="9"/>
      <c r="B99" s="9"/>
      <c r="C99" s="86"/>
      <c r="D99" s="9"/>
      <c r="E99" s="9"/>
      <c r="F99" s="9"/>
    </row>
    <row r="100" spans="1:6" ht="12.75" customHeight="1" x14ac:dyDescent="0.2">
      <c r="A100" s="9"/>
      <c r="B100" s="9"/>
      <c r="C100" s="9"/>
      <c r="D100" s="9"/>
      <c r="E100" s="9"/>
      <c r="F100" s="9"/>
    </row>
    <row r="101" spans="1:6" ht="12.75" customHeight="1" x14ac:dyDescent="0.2">
      <c r="A101" s="9"/>
      <c r="B101" s="9"/>
      <c r="C101" s="9"/>
      <c r="D101" s="9"/>
      <c r="E101" s="9"/>
      <c r="F101" s="9"/>
    </row>
    <row r="102" spans="1:6" x14ac:dyDescent="0.2">
      <c r="B102" s="9"/>
      <c r="E102" s="9"/>
    </row>
    <row r="103" spans="1:6" x14ac:dyDescent="0.2">
      <c r="B103" s="9"/>
      <c r="E103" s="9"/>
    </row>
    <row r="104" spans="1:6" x14ac:dyDescent="0.2">
      <c r="B104" s="9"/>
      <c r="E104" s="9"/>
    </row>
    <row r="105" spans="1:6" x14ac:dyDescent="0.2">
      <c r="B105" s="9"/>
      <c r="E105" s="9"/>
    </row>
    <row r="106" spans="1:6" x14ac:dyDescent="0.2">
      <c r="B106" s="9"/>
      <c r="E106" s="9"/>
    </row>
    <row r="107" spans="1:6" x14ac:dyDescent="0.2">
      <c r="B107" s="9"/>
      <c r="E107" s="9"/>
    </row>
    <row r="108" spans="1:6" x14ac:dyDescent="0.2">
      <c r="B108" s="9"/>
      <c r="E108" s="9"/>
    </row>
    <row r="109" spans="1:6" x14ac:dyDescent="0.2">
      <c r="B109" s="9"/>
      <c r="E109" s="9"/>
    </row>
    <row r="110" spans="1:6" x14ac:dyDescent="0.2">
      <c r="E110" s="9"/>
    </row>
    <row r="111" spans="1:6" x14ac:dyDescent="0.2">
      <c r="E111" s="9"/>
    </row>
  </sheetData>
  <mergeCells count="4">
    <mergeCell ref="A1:F1"/>
    <mergeCell ref="A3:A5"/>
    <mergeCell ref="B3:D4"/>
    <mergeCell ref="E3:F4"/>
  </mergeCells>
  <printOptions horizontalCentered="1"/>
  <pageMargins left="0.59055118110236227" right="0.31496062992125984" top="0.51181102362204722" bottom="0.19685039370078741" header="0.31496062992125984" footer="0.51181102362204722"/>
  <pageSetup paperSize="9" firstPageNumber="44" orientation="landscape" useFirstPageNumber="1" r:id="rId1"/>
  <headerFooter alignWithMargins="0">
    <oddHeader>&amp;C&amp;"Arial,обычный"&amp;10 &amp;P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I252"/>
  <sheetViews>
    <sheetView zoomScaleNormal="100" workbookViewId="0">
      <selection activeCell="J28" sqref="J28"/>
    </sheetView>
  </sheetViews>
  <sheetFormatPr defaultColWidth="9.140625" defaultRowHeight="14.25" x14ac:dyDescent="0.2"/>
  <cols>
    <col min="1" max="1" width="40.28515625" style="5" customWidth="1"/>
    <col min="2" max="2" width="13" style="5" customWidth="1"/>
    <col min="3" max="3" width="15.5703125" style="5" customWidth="1"/>
    <col min="4" max="4" width="14.5703125" style="5" customWidth="1"/>
    <col min="5" max="5" width="12.7109375" style="5" customWidth="1"/>
    <col min="6" max="6" width="15.140625" style="142" customWidth="1"/>
    <col min="7" max="7" width="11.42578125" style="5" customWidth="1"/>
    <col min="8" max="8" width="12.7109375" style="5" customWidth="1"/>
    <col min="9" max="16384" width="9.140625" style="9"/>
  </cols>
  <sheetData>
    <row r="1" spans="1:9" ht="14.1" customHeight="1" x14ac:dyDescent="0.25">
      <c r="A1" s="570" t="s">
        <v>280</v>
      </c>
      <c r="B1" s="570"/>
      <c r="C1" s="570"/>
      <c r="D1" s="570"/>
      <c r="E1" s="570"/>
      <c r="F1" s="570"/>
      <c r="G1" s="570"/>
      <c r="H1" s="570"/>
    </row>
    <row r="2" spans="1:9" ht="14.1" customHeight="1" x14ac:dyDescent="0.25">
      <c r="A2" s="570" t="s">
        <v>357</v>
      </c>
      <c r="B2" s="570"/>
      <c r="C2" s="570"/>
      <c r="D2" s="570"/>
      <c r="E2" s="570"/>
      <c r="F2" s="570"/>
      <c r="G2" s="570"/>
      <c r="H2" s="570"/>
    </row>
    <row r="3" spans="1:9" s="8" customFormat="1" ht="10.5" customHeight="1" x14ac:dyDescent="0.25">
      <c r="A3" s="571"/>
      <c r="B3" s="571"/>
      <c r="C3" s="483" t="s">
        <v>187</v>
      </c>
      <c r="D3" s="483" t="s">
        <v>188</v>
      </c>
      <c r="E3" s="483" t="s">
        <v>142</v>
      </c>
      <c r="F3" s="483"/>
      <c r="G3" s="483"/>
      <c r="H3" s="483"/>
    </row>
    <row r="4" spans="1:9" ht="12.95" customHeight="1" x14ac:dyDescent="0.2">
      <c r="A4" s="572"/>
      <c r="B4" s="575" t="s">
        <v>323</v>
      </c>
      <c r="C4" s="573" t="s">
        <v>328</v>
      </c>
      <c r="D4" s="574"/>
      <c r="E4" s="574"/>
      <c r="F4" s="574"/>
      <c r="G4" s="574"/>
      <c r="H4" s="574"/>
    </row>
    <row r="5" spans="1:9" ht="65.25" customHeight="1" x14ac:dyDescent="0.2">
      <c r="A5" s="572"/>
      <c r="B5" s="576"/>
      <c r="C5" s="294" t="s">
        <v>189</v>
      </c>
      <c r="D5" s="254" t="s">
        <v>190</v>
      </c>
      <c r="E5" s="254" t="s">
        <v>191</v>
      </c>
      <c r="F5" s="254" t="s">
        <v>143</v>
      </c>
      <c r="G5" s="254" t="s">
        <v>209</v>
      </c>
      <c r="H5" s="254" t="s">
        <v>192</v>
      </c>
    </row>
    <row r="6" spans="1:9" s="54" customFormat="1" ht="14.1" customHeight="1" x14ac:dyDescent="0.25">
      <c r="A6" s="234" t="s">
        <v>13</v>
      </c>
      <c r="B6" s="341">
        <v>7328</v>
      </c>
      <c r="C6" s="408">
        <v>3755</v>
      </c>
      <c r="D6" s="96">
        <v>1551</v>
      </c>
      <c r="E6" s="145">
        <v>344</v>
      </c>
      <c r="F6" s="350">
        <v>287</v>
      </c>
      <c r="G6" s="341">
        <v>413</v>
      </c>
      <c r="H6" s="97">
        <v>41</v>
      </c>
      <c r="I6" s="98"/>
    </row>
    <row r="7" spans="1:9" s="54" customFormat="1" ht="14.1" customHeight="1" x14ac:dyDescent="0.25">
      <c r="A7" s="201" t="s">
        <v>14</v>
      </c>
      <c r="B7" s="341">
        <v>1620</v>
      </c>
      <c r="C7" s="408">
        <v>780</v>
      </c>
      <c r="D7" s="96">
        <v>489</v>
      </c>
      <c r="E7" s="145">
        <v>60</v>
      </c>
      <c r="F7" s="350">
        <v>36</v>
      </c>
      <c r="G7" s="341">
        <v>65</v>
      </c>
      <c r="H7" s="97">
        <v>4</v>
      </c>
      <c r="I7" s="98"/>
    </row>
    <row r="8" spans="1:9" ht="14.1" customHeight="1" x14ac:dyDescent="0.2">
      <c r="A8" s="202" t="s">
        <v>15</v>
      </c>
      <c r="B8" s="342">
        <v>39</v>
      </c>
      <c r="C8" s="100">
        <v>25</v>
      </c>
      <c r="D8" s="99">
        <v>5</v>
      </c>
      <c r="E8" s="146">
        <v>1</v>
      </c>
      <c r="F8" s="351">
        <v>3</v>
      </c>
      <c r="G8" s="342">
        <v>1</v>
      </c>
      <c r="H8" s="101">
        <v>0</v>
      </c>
      <c r="I8" s="98"/>
    </row>
    <row r="9" spans="1:9" ht="14.1" customHeight="1" x14ac:dyDescent="0.2">
      <c r="A9" s="202" t="s">
        <v>16</v>
      </c>
      <c r="B9" s="342">
        <v>37</v>
      </c>
      <c r="C9" s="100">
        <v>12</v>
      </c>
      <c r="D9" s="99">
        <v>8</v>
      </c>
      <c r="E9" s="146">
        <v>9</v>
      </c>
      <c r="F9" s="351">
        <v>1</v>
      </c>
      <c r="G9" s="342">
        <v>2</v>
      </c>
      <c r="H9" s="101">
        <v>0</v>
      </c>
      <c r="I9" s="98"/>
    </row>
    <row r="10" spans="1:9" ht="14.1" customHeight="1" x14ac:dyDescent="0.2">
      <c r="A10" s="202" t="s">
        <v>17</v>
      </c>
      <c r="B10" s="342">
        <v>58</v>
      </c>
      <c r="C10" s="100">
        <v>37</v>
      </c>
      <c r="D10" s="99">
        <v>12</v>
      </c>
      <c r="E10" s="146">
        <v>3</v>
      </c>
      <c r="F10" s="351">
        <v>2</v>
      </c>
      <c r="G10" s="342">
        <v>3</v>
      </c>
      <c r="H10" s="101">
        <v>0</v>
      </c>
      <c r="I10" s="98"/>
    </row>
    <row r="11" spans="1:9" ht="14.1" customHeight="1" x14ac:dyDescent="0.2">
      <c r="A11" s="202" t="s">
        <v>18</v>
      </c>
      <c r="B11" s="342">
        <v>81</v>
      </c>
      <c r="C11" s="100">
        <v>41</v>
      </c>
      <c r="D11" s="99">
        <v>20</v>
      </c>
      <c r="E11" s="146">
        <v>0</v>
      </c>
      <c r="F11" s="351">
        <v>3</v>
      </c>
      <c r="G11" s="342">
        <v>1</v>
      </c>
      <c r="H11" s="101">
        <v>1</v>
      </c>
      <c r="I11" s="98"/>
    </row>
    <row r="12" spans="1:9" ht="14.1" customHeight="1" x14ac:dyDescent="0.2">
      <c r="A12" s="202" t="s">
        <v>19</v>
      </c>
      <c r="B12" s="342">
        <v>40</v>
      </c>
      <c r="C12" s="100">
        <v>16</v>
      </c>
      <c r="D12" s="99">
        <v>13</v>
      </c>
      <c r="E12" s="146">
        <v>0</v>
      </c>
      <c r="F12" s="351">
        <v>0</v>
      </c>
      <c r="G12" s="342">
        <v>3</v>
      </c>
      <c r="H12" s="101">
        <v>0</v>
      </c>
      <c r="I12" s="98"/>
    </row>
    <row r="13" spans="1:9" ht="14.1" customHeight="1" x14ac:dyDescent="0.2">
      <c r="A13" s="202" t="s">
        <v>20</v>
      </c>
      <c r="B13" s="342">
        <v>36</v>
      </c>
      <c r="C13" s="100">
        <v>9</v>
      </c>
      <c r="D13" s="99">
        <v>15</v>
      </c>
      <c r="E13" s="146">
        <v>3</v>
      </c>
      <c r="F13" s="351">
        <v>3</v>
      </c>
      <c r="G13" s="342">
        <v>2</v>
      </c>
      <c r="H13" s="101">
        <v>0</v>
      </c>
      <c r="I13" s="98"/>
    </row>
    <row r="14" spans="1:9" ht="14.1" customHeight="1" x14ac:dyDescent="0.2">
      <c r="A14" s="203" t="s">
        <v>21</v>
      </c>
      <c r="B14" s="342">
        <v>43</v>
      </c>
      <c r="C14" s="100">
        <v>28</v>
      </c>
      <c r="D14" s="99">
        <v>4</v>
      </c>
      <c r="E14" s="146">
        <v>1</v>
      </c>
      <c r="F14" s="351">
        <v>1</v>
      </c>
      <c r="G14" s="342">
        <v>1</v>
      </c>
      <c r="H14" s="101">
        <v>0</v>
      </c>
      <c r="I14" s="98"/>
    </row>
    <row r="15" spans="1:9" ht="14.1" customHeight="1" x14ac:dyDescent="0.2">
      <c r="A15" s="202" t="s">
        <v>22</v>
      </c>
      <c r="B15" s="342">
        <v>41</v>
      </c>
      <c r="C15" s="100">
        <v>15</v>
      </c>
      <c r="D15" s="99">
        <v>6</v>
      </c>
      <c r="E15" s="146">
        <v>5</v>
      </c>
      <c r="F15" s="351">
        <v>2</v>
      </c>
      <c r="G15" s="342">
        <v>6</v>
      </c>
      <c r="H15" s="101">
        <v>0</v>
      </c>
      <c r="I15" s="98"/>
    </row>
    <row r="16" spans="1:9" ht="14.1" customHeight="1" x14ac:dyDescent="0.2">
      <c r="A16" s="202" t="s">
        <v>23</v>
      </c>
      <c r="B16" s="342">
        <v>29</v>
      </c>
      <c r="C16" s="100">
        <v>15</v>
      </c>
      <c r="D16" s="99">
        <v>4</v>
      </c>
      <c r="E16" s="146">
        <v>4</v>
      </c>
      <c r="F16" s="351">
        <v>0</v>
      </c>
      <c r="G16" s="342">
        <v>2</v>
      </c>
      <c r="H16" s="101">
        <v>0</v>
      </c>
      <c r="I16" s="98"/>
    </row>
    <row r="17" spans="1:9" ht="14.1" customHeight="1" x14ac:dyDescent="0.2">
      <c r="A17" s="202" t="s">
        <v>24</v>
      </c>
      <c r="B17" s="342">
        <v>296</v>
      </c>
      <c r="C17" s="100">
        <v>159</v>
      </c>
      <c r="D17" s="99">
        <v>70</v>
      </c>
      <c r="E17" s="146">
        <v>17</v>
      </c>
      <c r="F17" s="351">
        <v>6</v>
      </c>
      <c r="G17" s="342">
        <v>14</v>
      </c>
      <c r="H17" s="101">
        <v>2</v>
      </c>
      <c r="I17" s="98"/>
    </row>
    <row r="18" spans="1:9" ht="14.1" customHeight="1" x14ac:dyDescent="0.2">
      <c r="A18" s="202" t="s">
        <v>25</v>
      </c>
      <c r="B18" s="342">
        <v>32</v>
      </c>
      <c r="C18" s="100">
        <v>21</v>
      </c>
      <c r="D18" s="99">
        <v>2</v>
      </c>
      <c r="E18" s="146">
        <v>0</v>
      </c>
      <c r="F18" s="351">
        <v>0</v>
      </c>
      <c r="G18" s="342">
        <v>3</v>
      </c>
      <c r="H18" s="101">
        <v>0</v>
      </c>
      <c r="I18" s="98"/>
    </row>
    <row r="19" spans="1:9" ht="14.1" customHeight="1" x14ac:dyDescent="0.2">
      <c r="A19" s="203" t="s">
        <v>26</v>
      </c>
      <c r="B19" s="342">
        <v>46</v>
      </c>
      <c r="C19" s="100">
        <v>24</v>
      </c>
      <c r="D19" s="99">
        <v>12</v>
      </c>
      <c r="E19" s="146">
        <v>0</v>
      </c>
      <c r="F19" s="351">
        <v>0</v>
      </c>
      <c r="G19" s="342">
        <v>3</v>
      </c>
      <c r="H19" s="101">
        <v>0</v>
      </c>
      <c r="I19" s="98"/>
    </row>
    <row r="20" spans="1:9" ht="14.1" customHeight="1" x14ac:dyDescent="0.2">
      <c r="A20" s="202" t="s">
        <v>27</v>
      </c>
      <c r="B20" s="342">
        <v>29</v>
      </c>
      <c r="C20" s="100">
        <v>17</v>
      </c>
      <c r="D20" s="99">
        <v>1</v>
      </c>
      <c r="E20" s="146">
        <v>1</v>
      </c>
      <c r="F20" s="351">
        <v>2</v>
      </c>
      <c r="G20" s="342">
        <v>3</v>
      </c>
      <c r="H20" s="101">
        <v>0</v>
      </c>
      <c r="I20" s="98"/>
    </row>
    <row r="21" spans="1:9" ht="14.1" customHeight="1" x14ac:dyDescent="0.2">
      <c r="A21" s="202" t="s">
        <v>28</v>
      </c>
      <c r="B21" s="342">
        <v>30</v>
      </c>
      <c r="C21" s="100">
        <v>10</v>
      </c>
      <c r="D21" s="99">
        <v>7</v>
      </c>
      <c r="E21" s="146">
        <v>1</v>
      </c>
      <c r="F21" s="351">
        <v>1</v>
      </c>
      <c r="G21" s="342">
        <v>5</v>
      </c>
      <c r="H21" s="101">
        <v>0</v>
      </c>
      <c r="I21" s="98"/>
    </row>
    <row r="22" spans="1:9" ht="14.1" customHeight="1" x14ac:dyDescent="0.2">
      <c r="A22" s="202" t="s">
        <v>29</v>
      </c>
      <c r="B22" s="342">
        <v>45</v>
      </c>
      <c r="C22" s="100">
        <v>20</v>
      </c>
      <c r="D22" s="99">
        <v>13</v>
      </c>
      <c r="E22" s="146">
        <v>3</v>
      </c>
      <c r="F22" s="351">
        <v>1</v>
      </c>
      <c r="G22" s="342">
        <v>2</v>
      </c>
      <c r="H22" s="101">
        <v>1</v>
      </c>
      <c r="I22" s="98"/>
    </row>
    <row r="23" spans="1:9" ht="14.1" customHeight="1" x14ac:dyDescent="0.2">
      <c r="A23" s="202" t="s">
        <v>30</v>
      </c>
      <c r="B23" s="342">
        <v>54</v>
      </c>
      <c r="C23" s="100">
        <v>31</v>
      </c>
      <c r="D23" s="99">
        <v>11</v>
      </c>
      <c r="E23" s="146">
        <v>0</v>
      </c>
      <c r="F23" s="351">
        <v>0</v>
      </c>
      <c r="G23" s="342">
        <v>3</v>
      </c>
      <c r="H23" s="101">
        <v>0</v>
      </c>
      <c r="I23" s="98"/>
    </row>
    <row r="24" spans="1:9" ht="14.1" customHeight="1" x14ac:dyDescent="0.2">
      <c r="A24" s="202" t="s">
        <v>31</v>
      </c>
      <c r="B24" s="342">
        <v>37</v>
      </c>
      <c r="C24" s="100">
        <v>13</v>
      </c>
      <c r="D24" s="99">
        <v>11</v>
      </c>
      <c r="E24" s="146">
        <v>1</v>
      </c>
      <c r="F24" s="351">
        <v>3</v>
      </c>
      <c r="G24" s="342">
        <v>0</v>
      </c>
      <c r="H24" s="101">
        <v>0</v>
      </c>
      <c r="I24" s="98"/>
    </row>
    <row r="25" spans="1:9" ht="14.1" customHeight="1" x14ac:dyDescent="0.2">
      <c r="A25" s="202" t="s">
        <v>32</v>
      </c>
      <c r="B25" s="342">
        <v>647</v>
      </c>
      <c r="C25" s="100">
        <v>287</v>
      </c>
      <c r="D25" s="99">
        <v>275</v>
      </c>
      <c r="E25" s="146">
        <v>11</v>
      </c>
      <c r="F25" s="351">
        <v>8</v>
      </c>
      <c r="G25" s="342">
        <v>11</v>
      </c>
      <c r="H25" s="101">
        <v>0</v>
      </c>
      <c r="I25" s="98"/>
    </row>
    <row r="26" spans="1:9" s="54" customFormat="1" ht="14.1" customHeight="1" x14ac:dyDescent="0.25">
      <c r="A26" s="204" t="s">
        <v>33</v>
      </c>
      <c r="B26" s="341">
        <v>593</v>
      </c>
      <c r="C26" s="408">
        <v>353</v>
      </c>
      <c r="D26" s="96">
        <v>106</v>
      </c>
      <c r="E26" s="145">
        <v>30</v>
      </c>
      <c r="F26" s="350">
        <v>27</v>
      </c>
      <c r="G26" s="341">
        <v>22</v>
      </c>
      <c r="H26" s="97">
        <v>2</v>
      </c>
      <c r="I26" s="98"/>
    </row>
    <row r="27" spans="1:9" ht="14.1" customHeight="1" x14ac:dyDescent="0.2">
      <c r="A27" s="202" t="s">
        <v>34</v>
      </c>
      <c r="B27" s="342">
        <v>26</v>
      </c>
      <c r="C27" s="100">
        <v>17</v>
      </c>
      <c r="D27" s="99">
        <v>0</v>
      </c>
      <c r="E27" s="146">
        <v>0</v>
      </c>
      <c r="F27" s="351">
        <v>3</v>
      </c>
      <c r="G27" s="342">
        <v>3</v>
      </c>
      <c r="H27" s="101">
        <v>0</v>
      </c>
      <c r="I27" s="98"/>
    </row>
    <row r="28" spans="1:9" ht="14.1" customHeight="1" x14ac:dyDescent="0.2">
      <c r="A28" s="202" t="s">
        <v>35</v>
      </c>
      <c r="B28" s="342">
        <v>40</v>
      </c>
      <c r="C28" s="100">
        <v>19</v>
      </c>
      <c r="D28" s="99">
        <v>10</v>
      </c>
      <c r="E28" s="146">
        <v>0</v>
      </c>
      <c r="F28" s="351">
        <v>5</v>
      </c>
      <c r="G28" s="342">
        <v>5</v>
      </c>
      <c r="H28" s="101">
        <v>0</v>
      </c>
      <c r="I28" s="98"/>
    </row>
    <row r="29" spans="1:9" ht="14.1" customHeight="1" x14ac:dyDescent="0.2">
      <c r="A29" s="202" t="s">
        <v>36</v>
      </c>
      <c r="B29" s="342">
        <v>59</v>
      </c>
      <c r="C29" s="100">
        <v>38</v>
      </c>
      <c r="D29" s="99">
        <v>6</v>
      </c>
      <c r="E29" s="146">
        <v>2</v>
      </c>
      <c r="F29" s="351">
        <v>0</v>
      </c>
      <c r="G29" s="342">
        <v>2</v>
      </c>
      <c r="H29" s="101">
        <v>0</v>
      </c>
      <c r="I29" s="98"/>
    </row>
    <row r="30" spans="1:9" ht="14.1" customHeight="1" x14ac:dyDescent="0.2">
      <c r="A30" s="202" t="s">
        <v>37</v>
      </c>
      <c r="B30" s="342">
        <v>1</v>
      </c>
      <c r="C30" s="100">
        <v>1</v>
      </c>
      <c r="D30" s="99">
        <v>0</v>
      </c>
      <c r="E30" s="146">
        <v>0</v>
      </c>
      <c r="F30" s="351">
        <v>0</v>
      </c>
      <c r="G30" s="342">
        <v>0</v>
      </c>
      <c r="H30" s="101">
        <v>0</v>
      </c>
      <c r="I30" s="98"/>
    </row>
    <row r="31" spans="1:9" ht="14.1" customHeight="1" x14ac:dyDescent="0.2">
      <c r="A31" s="205" t="s">
        <v>287</v>
      </c>
      <c r="B31" s="342">
        <v>58</v>
      </c>
      <c r="C31" s="100">
        <v>37</v>
      </c>
      <c r="D31" s="99">
        <v>6</v>
      </c>
      <c r="E31" s="146">
        <v>2</v>
      </c>
      <c r="F31" s="351">
        <v>0</v>
      </c>
      <c r="G31" s="342">
        <v>2</v>
      </c>
      <c r="H31" s="101">
        <v>0</v>
      </c>
      <c r="I31" s="98"/>
    </row>
    <row r="32" spans="1:9" ht="14.1" customHeight="1" x14ac:dyDescent="0.2">
      <c r="A32" s="202" t="s">
        <v>38</v>
      </c>
      <c r="B32" s="342">
        <v>66</v>
      </c>
      <c r="C32" s="100">
        <v>47</v>
      </c>
      <c r="D32" s="99">
        <v>6</v>
      </c>
      <c r="E32" s="146">
        <v>1</v>
      </c>
      <c r="F32" s="351">
        <v>1</v>
      </c>
      <c r="G32" s="342">
        <v>4</v>
      </c>
      <c r="H32" s="101">
        <v>1</v>
      </c>
      <c r="I32" s="98"/>
    </row>
    <row r="33" spans="1:9" ht="14.1" customHeight="1" x14ac:dyDescent="0.2">
      <c r="A33" s="202" t="s">
        <v>39</v>
      </c>
      <c r="B33" s="342">
        <v>56</v>
      </c>
      <c r="C33" s="100">
        <v>30</v>
      </c>
      <c r="D33" s="99">
        <v>13</v>
      </c>
      <c r="E33" s="146">
        <v>4</v>
      </c>
      <c r="F33" s="351">
        <v>3</v>
      </c>
      <c r="G33" s="342">
        <v>1</v>
      </c>
      <c r="H33" s="101">
        <v>1</v>
      </c>
      <c r="I33" s="98"/>
    </row>
    <row r="34" spans="1:9" ht="14.1" customHeight="1" x14ac:dyDescent="0.2">
      <c r="A34" s="202" t="s">
        <v>40</v>
      </c>
      <c r="B34" s="342">
        <v>40</v>
      </c>
      <c r="C34" s="100">
        <v>19</v>
      </c>
      <c r="D34" s="99">
        <v>9</v>
      </c>
      <c r="E34" s="146">
        <v>1</v>
      </c>
      <c r="F34" s="351">
        <v>6</v>
      </c>
      <c r="G34" s="342">
        <v>2</v>
      </c>
      <c r="H34" s="101">
        <v>0</v>
      </c>
      <c r="I34" s="98"/>
    </row>
    <row r="35" spans="1:9" ht="14.1" customHeight="1" x14ac:dyDescent="0.2">
      <c r="A35" s="202" t="s">
        <v>41</v>
      </c>
      <c r="B35" s="342">
        <v>34</v>
      </c>
      <c r="C35" s="100">
        <v>22</v>
      </c>
      <c r="D35" s="99">
        <v>4</v>
      </c>
      <c r="E35" s="146">
        <v>0</v>
      </c>
      <c r="F35" s="351">
        <v>0</v>
      </c>
      <c r="G35" s="342">
        <v>1</v>
      </c>
      <c r="H35" s="101">
        <v>0</v>
      </c>
      <c r="I35" s="98"/>
    </row>
    <row r="36" spans="1:9" ht="14.1" customHeight="1" x14ac:dyDescent="0.2">
      <c r="A36" s="202" t="s">
        <v>42</v>
      </c>
      <c r="B36" s="342">
        <v>28</v>
      </c>
      <c r="C36" s="100">
        <v>16</v>
      </c>
      <c r="D36" s="99">
        <v>3</v>
      </c>
      <c r="E36" s="146">
        <v>2</v>
      </c>
      <c r="F36" s="351">
        <v>1</v>
      </c>
      <c r="G36" s="342">
        <v>1</v>
      </c>
      <c r="H36" s="101">
        <v>0</v>
      </c>
      <c r="I36" s="98"/>
    </row>
    <row r="37" spans="1:9" ht="14.1" customHeight="1" x14ac:dyDescent="0.2">
      <c r="A37" s="202" t="s">
        <v>43</v>
      </c>
      <c r="B37" s="342">
        <v>30</v>
      </c>
      <c r="C37" s="100">
        <v>16</v>
      </c>
      <c r="D37" s="99">
        <v>6</v>
      </c>
      <c r="E37" s="146">
        <v>3</v>
      </c>
      <c r="F37" s="351">
        <v>5</v>
      </c>
      <c r="G37" s="342">
        <v>0</v>
      </c>
      <c r="H37" s="101">
        <v>0</v>
      </c>
      <c r="I37" s="98"/>
    </row>
    <row r="38" spans="1:9" s="54" customFormat="1" ht="14.1" customHeight="1" x14ac:dyDescent="0.25">
      <c r="A38" s="202" t="s">
        <v>44</v>
      </c>
      <c r="B38" s="342">
        <v>214</v>
      </c>
      <c r="C38" s="100">
        <v>129</v>
      </c>
      <c r="D38" s="99">
        <v>49</v>
      </c>
      <c r="E38" s="146">
        <v>17</v>
      </c>
      <c r="F38" s="351">
        <v>3</v>
      </c>
      <c r="G38" s="342">
        <v>3</v>
      </c>
      <c r="H38" s="101">
        <v>0</v>
      </c>
      <c r="I38" s="98"/>
    </row>
    <row r="39" spans="1:9" ht="14.1" customHeight="1" x14ac:dyDescent="0.2">
      <c r="A39" s="206" t="s">
        <v>45</v>
      </c>
      <c r="B39" s="341">
        <v>698</v>
      </c>
      <c r="C39" s="408">
        <v>383</v>
      </c>
      <c r="D39" s="96">
        <v>114</v>
      </c>
      <c r="E39" s="145">
        <v>40</v>
      </c>
      <c r="F39" s="350">
        <v>40</v>
      </c>
      <c r="G39" s="341">
        <v>30</v>
      </c>
      <c r="H39" s="97">
        <v>4</v>
      </c>
      <c r="I39" s="98"/>
    </row>
    <row r="40" spans="1:9" ht="14.1" customHeight="1" x14ac:dyDescent="0.2">
      <c r="A40" s="202" t="s">
        <v>46</v>
      </c>
      <c r="B40" s="342">
        <v>20</v>
      </c>
      <c r="C40" s="100">
        <v>14</v>
      </c>
      <c r="D40" s="99">
        <v>2</v>
      </c>
      <c r="E40" s="146">
        <v>3</v>
      </c>
      <c r="F40" s="351">
        <v>0</v>
      </c>
      <c r="G40" s="342">
        <v>0</v>
      </c>
      <c r="H40" s="101">
        <v>0</v>
      </c>
      <c r="I40" s="98"/>
    </row>
    <row r="41" spans="1:9" ht="14.1" customHeight="1" x14ac:dyDescent="0.2">
      <c r="A41" s="202" t="s">
        <v>47</v>
      </c>
      <c r="B41" s="342">
        <v>4</v>
      </c>
      <c r="C41" s="100">
        <v>2</v>
      </c>
      <c r="D41" s="99">
        <v>1</v>
      </c>
      <c r="E41" s="146">
        <v>0</v>
      </c>
      <c r="F41" s="351">
        <v>0</v>
      </c>
      <c r="G41" s="342">
        <v>1</v>
      </c>
      <c r="H41" s="101">
        <v>0</v>
      </c>
      <c r="I41" s="98"/>
    </row>
    <row r="42" spans="1:9" ht="14.1" customHeight="1" x14ac:dyDescent="0.2">
      <c r="A42" s="202" t="s">
        <v>202</v>
      </c>
      <c r="B42" s="342">
        <v>89</v>
      </c>
      <c r="C42" s="100">
        <v>40</v>
      </c>
      <c r="D42" s="99">
        <v>14</v>
      </c>
      <c r="E42" s="146">
        <v>17</v>
      </c>
      <c r="F42" s="351">
        <v>0</v>
      </c>
      <c r="G42" s="342">
        <v>5</v>
      </c>
      <c r="H42" s="101">
        <v>0</v>
      </c>
      <c r="I42" s="98"/>
    </row>
    <row r="43" spans="1:9" ht="14.1" customHeight="1" x14ac:dyDescent="0.2">
      <c r="A43" s="202" t="s">
        <v>48</v>
      </c>
      <c r="B43" s="342">
        <v>229</v>
      </c>
      <c r="C43" s="100">
        <v>130</v>
      </c>
      <c r="D43" s="99">
        <v>33</v>
      </c>
      <c r="E43" s="146">
        <v>7</v>
      </c>
      <c r="F43" s="351">
        <v>12</v>
      </c>
      <c r="G43" s="342">
        <v>10</v>
      </c>
      <c r="H43" s="101">
        <v>1</v>
      </c>
      <c r="I43" s="98"/>
    </row>
    <row r="44" spans="1:9" ht="14.1" customHeight="1" x14ac:dyDescent="0.2">
      <c r="A44" s="202" t="s">
        <v>49</v>
      </c>
      <c r="B44" s="342">
        <v>72</v>
      </c>
      <c r="C44" s="100">
        <v>39</v>
      </c>
      <c r="D44" s="99">
        <v>15</v>
      </c>
      <c r="E44" s="146">
        <v>1</v>
      </c>
      <c r="F44" s="351">
        <v>5</v>
      </c>
      <c r="G44" s="342">
        <v>1</v>
      </c>
      <c r="H44" s="101">
        <v>0</v>
      </c>
      <c r="I44" s="98"/>
    </row>
    <row r="45" spans="1:9" ht="14.1" customHeight="1" x14ac:dyDescent="0.2">
      <c r="A45" s="202" t="s">
        <v>50</v>
      </c>
      <c r="B45" s="342">
        <v>87</v>
      </c>
      <c r="C45" s="100">
        <v>44</v>
      </c>
      <c r="D45" s="99">
        <v>22</v>
      </c>
      <c r="E45" s="146">
        <v>3</v>
      </c>
      <c r="F45" s="351">
        <v>1</v>
      </c>
      <c r="G45" s="342">
        <v>7</v>
      </c>
      <c r="H45" s="101">
        <v>1</v>
      </c>
      <c r="I45" s="98"/>
    </row>
    <row r="46" spans="1:9" ht="14.1" customHeight="1" x14ac:dyDescent="0.2">
      <c r="A46" s="202" t="s">
        <v>51</v>
      </c>
      <c r="B46" s="342">
        <v>182</v>
      </c>
      <c r="C46" s="100">
        <v>109</v>
      </c>
      <c r="D46" s="99">
        <v>22</v>
      </c>
      <c r="E46" s="146">
        <v>9</v>
      </c>
      <c r="F46" s="351">
        <v>21</v>
      </c>
      <c r="G46" s="342">
        <v>4</v>
      </c>
      <c r="H46" s="101">
        <v>2</v>
      </c>
      <c r="I46" s="98"/>
    </row>
    <row r="47" spans="1:9" ht="14.1" customHeight="1" x14ac:dyDescent="0.2">
      <c r="A47" s="202" t="s">
        <v>204</v>
      </c>
      <c r="B47" s="342">
        <v>15</v>
      </c>
      <c r="C47" s="100">
        <v>5</v>
      </c>
      <c r="D47" s="99">
        <v>5</v>
      </c>
      <c r="E47" s="146">
        <v>0</v>
      </c>
      <c r="F47" s="351">
        <v>1</v>
      </c>
      <c r="G47" s="342">
        <v>2</v>
      </c>
      <c r="H47" s="101">
        <v>0</v>
      </c>
      <c r="I47" s="98"/>
    </row>
    <row r="48" spans="1:9" ht="14.1" customHeight="1" x14ac:dyDescent="0.2">
      <c r="A48" s="207" t="s">
        <v>52</v>
      </c>
      <c r="B48" s="341">
        <v>868</v>
      </c>
      <c r="C48" s="408">
        <v>512</v>
      </c>
      <c r="D48" s="96">
        <v>161</v>
      </c>
      <c r="E48" s="145">
        <v>34</v>
      </c>
      <c r="F48" s="350">
        <v>24</v>
      </c>
      <c r="G48" s="341">
        <v>23</v>
      </c>
      <c r="H48" s="97">
        <v>4</v>
      </c>
      <c r="I48" s="98"/>
    </row>
    <row r="49" spans="1:9" ht="14.1" customHeight="1" x14ac:dyDescent="0.2">
      <c r="A49" s="202" t="s">
        <v>53</v>
      </c>
      <c r="B49" s="342">
        <v>357</v>
      </c>
      <c r="C49" s="100">
        <v>226</v>
      </c>
      <c r="D49" s="99">
        <v>64</v>
      </c>
      <c r="E49" s="146">
        <v>12</v>
      </c>
      <c r="F49" s="351">
        <v>12</v>
      </c>
      <c r="G49" s="342">
        <v>14</v>
      </c>
      <c r="H49" s="101">
        <v>1</v>
      </c>
      <c r="I49" s="98"/>
    </row>
    <row r="50" spans="1:9" ht="14.1" customHeight="1" x14ac:dyDescent="0.2">
      <c r="A50" s="202" t="s">
        <v>54</v>
      </c>
      <c r="B50" s="342">
        <v>49</v>
      </c>
      <c r="C50" s="100">
        <v>23</v>
      </c>
      <c r="D50" s="99">
        <v>12</v>
      </c>
      <c r="E50" s="146">
        <v>3</v>
      </c>
      <c r="F50" s="351">
        <v>1</v>
      </c>
      <c r="G50" s="342">
        <v>0</v>
      </c>
      <c r="H50" s="101">
        <v>0</v>
      </c>
      <c r="I50" s="98"/>
    </row>
    <row r="51" spans="1:9" ht="14.1" customHeight="1" x14ac:dyDescent="0.2">
      <c r="A51" s="202" t="s">
        <v>55</v>
      </c>
      <c r="B51" s="342">
        <v>50</v>
      </c>
      <c r="C51" s="100">
        <v>26</v>
      </c>
      <c r="D51" s="99">
        <v>10</v>
      </c>
      <c r="E51" s="146">
        <v>4</v>
      </c>
      <c r="F51" s="351">
        <v>4</v>
      </c>
      <c r="G51" s="342">
        <v>1</v>
      </c>
      <c r="H51" s="101">
        <v>0</v>
      </c>
      <c r="I51" s="98"/>
    </row>
    <row r="52" spans="1:9" ht="14.1" customHeight="1" x14ac:dyDescent="0.2">
      <c r="A52" s="202" t="s">
        <v>56</v>
      </c>
      <c r="B52" s="342">
        <v>27</v>
      </c>
      <c r="C52" s="100">
        <v>18</v>
      </c>
      <c r="D52" s="99">
        <v>4</v>
      </c>
      <c r="E52" s="146">
        <v>1</v>
      </c>
      <c r="F52" s="351">
        <v>0</v>
      </c>
      <c r="G52" s="342">
        <v>1</v>
      </c>
      <c r="H52" s="101">
        <v>0</v>
      </c>
      <c r="I52" s="98"/>
    </row>
    <row r="53" spans="1:9" ht="14.1" customHeight="1" x14ac:dyDescent="0.2">
      <c r="A53" s="202" t="s">
        <v>57</v>
      </c>
      <c r="B53" s="342">
        <v>53</v>
      </c>
      <c r="C53" s="100">
        <v>40</v>
      </c>
      <c r="D53" s="99">
        <v>7</v>
      </c>
      <c r="E53" s="146">
        <v>4</v>
      </c>
      <c r="F53" s="351">
        <v>0</v>
      </c>
      <c r="G53" s="342">
        <v>0</v>
      </c>
      <c r="H53" s="101">
        <v>0</v>
      </c>
      <c r="I53" s="98"/>
    </row>
    <row r="54" spans="1:9" s="54" customFormat="1" ht="14.1" customHeight="1" x14ac:dyDescent="0.25">
      <c r="A54" s="202" t="s">
        <v>58</v>
      </c>
      <c r="B54" s="342">
        <v>167</v>
      </c>
      <c r="C54" s="100">
        <v>88</v>
      </c>
      <c r="D54" s="99">
        <v>26</v>
      </c>
      <c r="E54" s="146">
        <v>5</v>
      </c>
      <c r="F54" s="351">
        <v>1</v>
      </c>
      <c r="G54" s="342">
        <v>2</v>
      </c>
      <c r="H54" s="101">
        <v>3</v>
      </c>
      <c r="I54" s="98"/>
    </row>
    <row r="55" spans="1:9" ht="14.1" customHeight="1" x14ac:dyDescent="0.2">
      <c r="A55" s="202" t="s">
        <v>59</v>
      </c>
      <c r="B55" s="343">
        <v>165</v>
      </c>
      <c r="C55" s="104">
        <v>91</v>
      </c>
      <c r="D55" s="103">
        <v>38</v>
      </c>
      <c r="E55" s="146">
        <v>5</v>
      </c>
      <c r="F55" s="351">
        <v>6</v>
      </c>
      <c r="G55" s="343">
        <v>5</v>
      </c>
      <c r="H55" s="105">
        <v>0</v>
      </c>
      <c r="I55" s="98"/>
    </row>
    <row r="56" spans="1:9" ht="14.1" customHeight="1" x14ac:dyDescent="0.2">
      <c r="A56" s="201" t="s">
        <v>60</v>
      </c>
      <c r="B56" s="341">
        <v>1331</v>
      </c>
      <c r="C56" s="408">
        <v>687</v>
      </c>
      <c r="D56" s="96">
        <v>265</v>
      </c>
      <c r="E56" s="145">
        <v>59</v>
      </c>
      <c r="F56" s="350">
        <v>40</v>
      </c>
      <c r="G56" s="341">
        <v>90</v>
      </c>
      <c r="H56" s="97">
        <v>4</v>
      </c>
      <c r="I56" s="98"/>
    </row>
    <row r="57" spans="1:9" ht="14.1" customHeight="1" x14ac:dyDescent="0.2">
      <c r="A57" s="202" t="s">
        <v>61</v>
      </c>
      <c r="B57" s="343">
        <v>261</v>
      </c>
      <c r="C57" s="104">
        <v>136</v>
      </c>
      <c r="D57" s="103">
        <v>45</v>
      </c>
      <c r="E57" s="146">
        <v>30</v>
      </c>
      <c r="F57" s="351">
        <v>10</v>
      </c>
      <c r="G57" s="343">
        <v>3</v>
      </c>
      <c r="H57" s="105">
        <v>1</v>
      </c>
      <c r="I57" s="98"/>
    </row>
    <row r="58" spans="1:9" ht="14.1" customHeight="1" x14ac:dyDescent="0.2">
      <c r="A58" s="202" t="s">
        <v>62</v>
      </c>
      <c r="B58" s="343">
        <v>30</v>
      </c>
      <c r="C58" s="104">
        <v>20</v>
      </c>
      <c r="D58" s="103">
        <v>1</v>
      </c>
      <c r="E58" s="146">
        <v>1</v>
      </c>
      <c r="F58" s="351">
        <v>2</v>
      </c>
      <c r="G58" s="343">
        <v>2</v>
      </c>
      <c r="H58" s="105">
        <v>0</v>
      </c>
      <c r="I58" s="98"/>
    </row>
    <row r="59" spans="1:9" ht="14.1" customHeight="1" x14ac:dyDescent="0.2">
      <c r="A59" s="202" t="s">
        <v>63</v>
      </c>
      <c r="B59" s="343">
        <v>26</v>
      </c>
      <c r="C59" s="104">
        <v>15</v>
      </c>
      <c r="D59" s="103">
        <v>5</v>
      </c>
      <c r="E59" s="146">
        <v>1</v>
      </c>
      <c r="F59" s="351">
        <v>3</v>
      </c>
      <c r="G59" s="343">
        <v>1</v>
      </c>
      <c r="H59" s="105">
        <v>0</v>
      </c>
      <c r="I59" s="98"/>
    </row>
    <row r="60" spans="1:9" ht="14.1" customHeight="1" x14ac:dyDescent="0.2">
      <c r="A60" s="202" t="s">
        <v>64</v>
      </c>
      <c r="B60" s="343">
        <v>210</v>
      </c>
      <c r="C60" s="104">
        <v>125</v>
      </c>
      <c r="D60" s="103">
        <v>38</v>
      </c>
      <c r="E60" s="146">
        <v>5</v>
      </c>
      <c r="F60" s="351">
        <v>1</v>
      </c>
      <c r="G60" s="343">
        <v>14</v>
      </c>
      <c r="H60" s="105">
        <v>1</v>
      </c>
      <c r="I60" s="98"/>
    </row>
    <row r="61" spans="1:9" ht="14.1" customHeight="1" x14ac:dyDescent="0.2">
      <c r="A61" s="202" t="s">
        <v>65</v>
      </c>
      <c r="B61" s="343">
        <v>66</v>
      </c>
      <c r="C61" s="104">
        <v>29</v>
      </c>
      <c r="D61" s="103">
        <v>11</v>
      </c>
      <c r="E61" s="146">
        <v>2</v>
      </c>
      <c r="F61" s="351">
        <v>2</v>
      </c>
      <c r="G61" s="343">
        <v>10</v>
      </c>
      <c r="H61" s="105">
        <v>0</v>
      </c>
      <c r="I61" s="98"/>
    </row>
    <row r="62" spans="1:9" ht="14.1" customHeight="1" x14ac:dyDescent="0.2">
      <c r="A62" s="202" t="s">
        <v>66</v>
      </c>
      <c r="B62" s="343">
        <v>36</v>
      </c>
      <c r="C62" s="104">
        <v>12</v>
      </c>
      <c r="D62" s="103">
        <v>7</v>
      </c>
      <c r="E62" s="146">
        <v>1</v>
      </c>
      <c r="F62" s="351">
        <v>4</v>
      </c>
      <c r="G62" s="343">
        <v>5</v>
      </c>
      <c r="H62" s="105">
        <v>0</v>
      </c>
      <c r="I62" s="98"/>
    </row>
    <row r="63" spans="1:9" ht="14.1" customHeight="1" x14ac:dyDescent="0.2">
      <c r="A63" s="202" t="s">
        <v>67</v>
      </c>
      <c r="B63" s="343">
        <v>113</v>
      </c>
      <c r="C63" s="104">
        <v>66</v>
      </c>
      <c r="D63" s="103">
        <v>18</v>
      </c>
      <c r="E63" s="146">
        <v>7</v>
      </c>
      <c r="F63" s="351">
        <v>0</v>
      </c>
      <c r="G63" s="343">
        <v>4</v>
      </c>
      <c r="H63" s="105">
        <v>0</v>
      </c>
      <c r="I63" s="98"/>
    </row>
    <row r="64" spans="1:9" ht="14.1" customHeight="1" x14ac:dyDescent="0.2">
      <c r="A64" s="202" t="s">
        <v>68</v>
      </c>
      <c r="B64" s="342">
        <v>37</v>
      </c>
      <c r="C64" s="100">
        <v>13</v>
      </c>
      <c r="D64" s="103">
        <v>9</v>
      </c>
      <c r="E64" s="146">
        <v>3</v>
      </c>
      <c r="F64" s="351">
        <v>0</v>
      </c>
      <c r="G64" s="343">
        <v>1</v>
      </c>
      <c r="H64" s="105">
        <v>0</v>
      </c>
      <c r="I64" s="98"/>
    </row>
    <row r="65" spans="1:9" ht="14.1" customHeight="1" x14ac:dyDescent="0.2">
      <c r="A65" s="202" t="s">
        <v>69</v>
      </c>
      <c r="B65" s="343">
        <v>146</v>
      </c>
      <c r="C65" s="104">
        <v>68</v>
      </c>
      <c r="D65" s="103">
        <v>41</v>
      </c>
      <c r="E65" s="146">
        <v>1</v>
      </c>
      <c r="F65" s="351">
        <v>3</v>
      </c>
      <c r="G65" s="343">
        <v>13</v>
      </c>
      <c r="H65" s="105">
        <v>1</v>
      </c>
      <c r="I65" s="98"/>
    </row>
    <row r="66" spans="1:9" ht="14.1" customHeight="1" x14ac:dyDescent="0.2">
      <c r="A66" s="202" t="s">
        <v>70</v>
      </c>
      <c r="B66" s="343">
        <v>89</v>
      </c>
      <c r="C66" s="104">
        <v>45</v>
      </c>
      <c r="D66" s="103">
        <v>16</v>
      </c>
      <c r="E66" s="146">
        <v>5</v>
      </c>
      <c r="F66" s="351">
        <v>3</v>
      </c>
      <c r="G66" s="343">
        <v>14</v>
      </c>
      <c r="H66" s="105">
        <v>0</v>
      </c>
      <c r="I66" s="98"/>
    </row>
    <row r="67" spans="1:9" ht="14.1" customHeight="1" x14ac:dyDescent="0.2">
      <c r="A67" s="202" t="s">
        <v>71</v>
      </c>
      <c r="B67" s="343">
        <v>57</v>
      </c>
      <c r="C67" s="104">
        <v>29</v>
      </c>
      <c r="D67" s="103">
        <v>10</v>
      </c>
      <c r="E67" s="146">
        <v>1</v>
      </c>
      <c r="F67" s="351">
        <v>2</v>
      </c>
      <c r="G67" s="343">
        <v>7</v>
      </c>
      <c r="H67" s="105">
        <v>0</v>
      </c>
      <c r="I67" s="98"/>
    </row>
    <row r="68" spans="1:9" ht="14.1" customHeight="1" x14ac:dyDescent="0.2">
      <c r="A68" s="202" t="s">
        <v>72</v>
      </c>
      <c r="B68" s="343">
        <v>126</v>
      </c>
      <c r="C68" s="104">
        <v>69</v>
      </c>
      <c r="D68" s="103">
        <v>29</v>
      </c>
      <c r="E68" s="146">
        <v>0</v>
      </c>
      <c r="F68" s="351">
        <v>3</v>
      </c>
      <c r="G68" s="343">
        <v>3</v>
      </c>
      <c r="H68" s="105">
        <v>1</v>
      </c>
      <c r="I68" s="98"/>
    </row>
    <row r="69" spans="1:9" s="54" customFormat="1" ht="14.1" customHeight="1" x14ac:dyDescent="0.25">
      <c r="A69" s="203" t="s">
        <v>73</v>
      </c>
      <c r="B69" s="343">
        <v>86</v>
      </c>
      <c r="C69" s="104">
        <v>41</v>
      </c>
      <c r="D69" s="103">
        <v>25</v>
      </c>
      <c r="E69" s="146">
        <v>2</v>
      </c>
      <c r="F69" s="351">
        <v>6</v>
      </c>
      <c r="G69" s="343">
        <v>7</v>
      </c>
      <c r="H69" s="105">
        <v>0</v>
      </c>
      <c r="I69" s="98"/>
    </row>
    <row r="70" spans="1:9" ht="14.1" customHeight="1" x14ac:dyDescent="0.2">
      <c r="A70" s="202" t="s">
        <v>74</v>
      </c>
      <c r="B70" s="343">
        <v>48</v>
      </c>
      <c r="C70" s="104">
        <v>19</v>
      </c>
      <c r="D70" s="103">
        <v>10</v>
      </c>
      <c r="E70" s="146">
        <v>0</v>
      </c>
      <c r="F70" s="351">
        <v>1</v>
      </c>
      <c r="G70" s="343">
        <v>6</v>
      </c>
      <c r="H70" s="105">
        <v>0</v>
      </c>
      <c r="I70" s="98"/>
    </row>
    <row r="71" spans="1:9" ht="14.1" customHeight="1" x14ac:dyDescent="0.2">
      <c r="A71" s="206" t="s">
        <v>75</v>
      </c>
      <c r="B71" s="341">
        <v>636</v>
      </c>
      <c r="C71" s="408">
        <v>286</v>
      </c>
      <c r="D71" s="96">
        <v>128</v>
      </c>
      <c r="E71" s="145">
        <v>25</v>
      </c>
      <c r="F71" s="350">
        <v>41</v>
      </c>
      <c r="G71" s="341">
        <v>50</v>
      </c>
      <c r="H71" s="97">
        <v>9</v>
      </c>
      <c r="I71" s="98"/>
    </row>
    <row r="72" spans="1:9" ht="14.1" customHeight="1" x14ac:dyDescent="0.2">
      <c r="A72" s="202" t="s">
        <v>76</v>
      </c>
      <c r="B72" s="343">
        <v>38</v>
      </c>
      <c r="C72" s="104">
        <v>19</v>
      </c>
      <c r="D72" s="103">
        <v>5</v>
      </c>
      <c r="E72" s="146">
        <v>2</v>
      </c>
      <c r="F72" s="351">
        <v>1</v>
      </c>
      <c r="G72" s="343">
        <v>2</v>
      </c>
      <c r="H72" s="105">
        <v>1</v>
      </c>
      <c r="I72" s="98"/>
    </row>
    <row r="73" spans="1:9" ht="14.1" customHeight="1" x14ac:dyDescent="0.2">
      <c r="A73" s="202" t="s">
        <v>77</v>
      </c>
      <c r="B73" s="343">
        <v>221</v>
      </c>
      <c r="C73" s="104">
        <v>104</v>
      </c>
      <c r="D73" s="103">
        <v>42</v>
      </c>
      <c r="E73" s="146">
        <v>8</v>
      </c>
      <c r="F73" s="351">
        <v>21</v>
      </c>
      <c r="G73" s="343">
        <v>19</v>
      </c>
      <c r="H73" s="105">
        <v>4</v>
      </c>
      <c r="I73" s="98"/>
    </row>
    <row r="74" spans="1:9" ht="14.1" customHeight="1" x14ac:dyDescent="0.2">
      <c r="A74" s="202" t="s">
        <v>78</v>
      </c>
      <c r="B74" s="343">
        <v>206</v>
      </c>
      <c r="C74" s="104">
        <v>89</v>
      </c>
      <c r="D74" s="103">
        <v>49</v>
      </c>
      <c r="E74" s="146">
        <v>14</v>
      </c>
      <c r="F74" s="351">
        <v>15</v>
      </c>
      <c r="G74" s="343">
        <v>17</v>
      </c>
      <c r="H74" s="105">
        <v>3</v>
      </c>
      <c r="I74" s="98"/>
    </row>
    <row r="75" spans="1:9" ht="14.1" customHeight="1" x14ac:dyDescent="0.2">
      <c r="A75" s="202" t="s">
        <v>79</v>
      </c>
      <c r="B75" s="343">
        <v>87</v>
      </c>
      <c r="C75" s="104">
        <v>46</v>
      </c>
      <c r="D75" s="103">
        <v>20</v>
      </c>
      <c r="E75" s="146">
        <v>4</v>
      </c>
      <c r="F75" s="351">
        <v>1</v>
      </c>
      <c r="G75" s="343">
        <v>5</v>
      </c>
      <c r="H75" s="105">
        <v>0</v>
      </c>
      <c r="I75" s="98"/>
    </row>
    <row r="76" spans="1:9" s="54" customFormat="1" ht="14.1" customHeight="1" x14ac:dyDescent="0.25">
      <c r="A76" s="202" t="s">
        <v>80</v>
      </c>
      <c r="B76" s="343">
        <v>38</v>
      </c>
      <c r="C76" s="104">
        <v>11</v>
      </c>
      <c r="D76" s="103">
        <v>10</v>
      </c>
      <c r="E76" s="146">
        <v>6</v>
      </c>
      <c r="F76" s="351">
        <v>4</v>
      </c>
      <c r="G76" s="343">
        <v>5</v>
      </c>
      <c r="H76" s="105">
        <v>0</v>
      </c>
      <c r="I76" s="98"/>
    </row>
    <row r="77" spans="1:9" ht="14.1" customHeight="1" x14ac:dyDescent="0.2">
      <c r="A77" s="205" t="s">
        <v>288</v>
      </c>
      <c r="B77" s="343">
        <v>81</v>
      </c>
      <c r="C77" s="104">
        <v>32</v>
      </c>
      <c r="D77" s="103">
        <v>19</v>
      </c>
      <c r="E77" s="146">
        <v>4</v>
      </c>
      <c r="F77" s="351">
        <v>10</v>
      </c>
      <c r="G77" s="343">
        <v>7</v>
      </c>
      <c r="H77" s="105">
        <v>3</v>
      </c>
      <c r="I77" s="98"/>
    </row>
    <row r="78" spans="1:9" ht="14.1" customHeight="1" x14ac:dyDescent="0.2">
      <c r="A78" s="202" t="s">
        <v>81</v>
      </c>
      <c r="B78" s="343">
        <v>171</v>
      </c>
      <c r="C78" s="104">
        <v>74</v>
      </c>
      <c r="D78" s="103">
        <v>32</v>
      </c>
      <c r="E78" s="146">
        <v>1</v>
      </c>
      <c r="F78" s="351">
        <v>4</v>
      </c>
      <c r="G78" s="343">
        <v>12</v>
      </c>
      <c r="H78" s="105">
        <v>1</v>
      </c>
      <c r="I78" s="98"/>
    </row>
    <row r="79" spans="1:9" ht="14.1" customHeight="1" x14ac:dyDescent="0.2">
      <c r="A79" s="201" t="s">
        <v>82</v>
      </c>
      <c r="B79" s="341">
        <v>1058</v>
      </c>
      <c r="C79" s="408">
        <v>518</v>
      </c>
      <c r="D79" s="96">
        <v>199</v>
      </c>
      <c r="E79" s="145">
        <v>45</v>
      </c>
      <c r="F79" s="350">
        <v>49</v>
      </c>
      <c r="G79" s="341">
        <v>96</v>
      </c>
      <c r="H79" s="97">
        <v>6</v>
      </c>
      <c r="I79" s="98"/>
    </row>
    <row r="80" spans="1:9" ht="14.1" customHeight="1" x14ac:dyDescent="0.2">
      <c r="A80" s="202" t="s">
        <v>83</v>
      </c>
      <c r="B80" s="343">
        <v>33</v>
      </c>
      <c r="C80" s="104">
        <v>19</v>
      </c>
      <c r="D80" s="103">
        <v>4</v>
      </c>
      <c r="E80" s="146">
        <v>0</v>
      </c>
      <c r="F80" s="350">
        <v>0</v>
      </c>
      <c r="G80" s="343">
        <v>1</v>
      </c>
      <c r="H80" s="105">
        <v>3</v>
      </c>
      <c r="I80" s="98"/>
    </row>
    <row r="81" spans="1:9" ht="14.1" customHeight="1" x14ac:dyDescent="0.2">
      <c r="A81" s="202" t="s">
        <v>85</v>
      </c>
      <c r="B81" s="343">
        <v>41</v>
      </c>
      <c r="C81" s="104">
        <v>12</v>
      </c>
      <c r="D81" s="103">
        <v>9</v>
      </c>
      <c r="E81" s="146">
        <v>6</v>
      </c>
      <c r="F81" s="351">
        <v>0</v>
      </c>
      <c r="G81" s="343">
        <v>11</v>
      </c>
      <c r="H81" s="105">
        <v>0</v>
      </c>
      <c r="I81" s="98"/>
    </row>
    <row r="82" spans="1:9" ht="14.1" customHeight="1" x14ac:dyDescent="0.2">
      <c r="A82" s="202" t="s">
        <v>86</v>
      </c>
      <c r="B82" s="343">
        <v>22</v>
      </c>
      <c r="C82" s="104">
        <v>12</v>
      </c>
      <c r="D82" s="103">
        <v>2</v>
      </c>
      <c r="E82" s="146">
        <v>1</v>
      </c>
      <c r="F82" s="351">
        <v>2</v>
      </c>
      <c r="G82" s="343">
        <v>1</v>
      </c>
      <c r="H82" s="105">
        <v>1</v>
      </c>
      <c r="I82" s="98"/>
    </row>
    <row r="83" spans="1:9" ht="14.1" customHeight="1" x14ac:dyDescent="0.2">
      <c r="A83" s="202" t="s">
        <v>87</v>
      </c>
      <c r="B83" s="343">
        <v>114</v>
      </c>
      <c r="C83" s="104">
        <v>51</v>
      </c>
      <c r="D83" s="103">
        <v>23</v>
      </c>
      <c r="E83" s="146">
        <v>4</v>
      </c>
      <c r="F83" s="351">
        <v>19</v>
      </c>
      <c r="G83" s="343">
        <v>4</v>
      </c>
      <c r="H83" s="105">
        <v>0</v>
      </c>
      <c r="I83" s="98"/>
    </row>
    <row r="84" spans="1:9" ht="14.1" customHeight="1" x14ac:dyDescent="0.2">
      <c r="A84" s="202" t="s">
        <v>89</v>
      </c>
      <c r="B84" s="343">
        <v>196</v>
      </c>
      <c r="C84" s="104">
        <v>95</v>
      </c>
      <c r="D84" s="103">
        <v>33</v>
      </c>
      <c r="E84" s="146">
        <v>13</v>
      </c>
      <c r="F84" s="351">
        <v>10</v>
      </c>
      <c r="G84" s="343">
        <v>26</v>
      </c>
      <c r="H84" s="105">
        <v>1</v>
      </c>
      <c r="I84" s="98"/>
    </row>
    <row r="85" spans="1:9" ht="14.1" customHeight="1" x14ac:dyDescent="0.2">
      <c r="A85" s="202" t="s">
        <v>90</v>
      </c>
      <c r="B85" s="343">
        <v>171</v>
      </c>
      <c r="C85" s="104">
        <v>73</v>
      </c>
      <c r="D85" s="103">
        <v>36</v>
      </c>
      <c r="E85" s="146">
        <v>5</v>
      </c>
      <c r="F85" s="351">
        <v>3</v>
      </c>
      <c r="G85" s="343">
        <v>28</v>
      </c>
      <c r="H85" s="105">
        <v>0</v>
      </c>
      <c r="I85" s="98"/>
    </row>
    <row r="86" spans="1:9" ht="14.1" customHeight="1" x14ac:dyDescent="0.2">
      <c r="A86" s="202" t="s">
        <v>91</v>
      </c>
      <c r="B86" s="343">
        <v>150</v>
      </c>
      <c r="C86" s="104">
        <v>82</v>
      </c>
      <c r="D86" s="103">
        <v>28</v>
      </c>
      <c r="E86" s="146">
        <v>3</v>
      </c>
      <c r="F86" s="351">
        <v>1</v>
      </c>
      <c r="G86" s="343">
        <v>5</v>
      </c>
      <c r="H86" s="105">
        <v>1</v>
      </c>
      <c r="I86" s="98"/>
    </row>
    <row r="87" spans="1:9" s="54" customFormat="1" ht="14.1" customHeight="1" x14ac:dyDescent="0.25">
      <c r="A87" s="202" t="s">
        <v>92</v>
      </c>
      <c r="B87" s="343">
        <v>150</v>
      </c>
      <c r="C87" s="104">
        <v>71</v>
      </c>
      <c r="D87" s="103">
        <v>35</v>
      </c>
      <c r="E87" s="146">
        <v>9</v>
      </c>
      <c r="F87" s="351">
        <v>3</v>
      </c>
      <c r="G87" s="343">
        <v>14</v>
      </c>
      <c r="H87" s="105">
        <v>0</v>
      </c>
      <c r="I87" s="98"/>
    </row>
    <row r="88" spans="1:9" ht="14.1" customHeight="1" x14ac:dyDescent="0.2">
      <c r="A88" s="202" t="s">
        <v>93</v>
      </c>
      <c r="B88" s="343">
        <v>133</v>
      </c>
      <c r="C88" s="104">
        <v>77</v>
      </c>
      <c r="D88" s="103">
        <v>22</v>
      </c>
      <c r="E88" s="146">
        <v>1</v>
      </c>
      <c r="F88" s="351">
        <v>10</v>
      </c>
      <c r="G88" s="343">
        <v>1</v>
      </c>
      <c r="H88" s="105">
        <v>0</v>
      </c>
      <c r="I88" s="98"/>
    </row>
    <row r="89" spans="1:9" ht="14.1" customHeight="1" x14ac:dyDescent="0.2">
      <c r="A89" s="202" t="s">
        <v>94</v>
      </c>
      <c r="B89" s="343">
        <v>48</v>
      </c>
      <c r="C89" s="104">
        <v>26</v>
      </c>
      <c r="D89" s="103">
        <v>7</v>
      </c>
      <c r="E89" s="146">
        <v>3</v>
      </c>
      <c r="F89" s="351">
        <v>1</v>
      </c>
      <c r="G89" s="343">
        <v>5</v>
      </c>
      <c r="H89" s="105">
        <v>0</v>
      </c>
      <c r="I89" s="98"/>
    </row>
    <row r="90" spans="1:9" ht="14.1" customHeight="1" x14ac:dyDescent="0.2">
      <c r="A90" s="206" t="s">
        <v>95</v>
      </c>
      <c r="B90" s="341">
        <v>524</v>
      </c>
      <c r="C90" s="408">
        <v>236</v>
      </c>
      <c r="D90" s="96">
        <v>89</v>
      </c>
      <c r="E90" s="145">
        <v>51</v>
      </c>
      <c r="F90" s="350">
        <v>30</v>
      </c>
      <c r="G90" s="341">
        <v>37</v>
      </c>
      <c r="H90" s="97">
        <v>8</v>
      </c>
      <c r="I90" s="98"/>
    </row>
    <row r="91" spans="1:9" ht="14.1" customHeight="1" x14ac:dyDescent="0.2">
      <c r="A91" s="202" t="s">
        <v>84</v>
      </c>
      <c r="B91" s="343">
        <v>77</v>
      </c>
      <c r="C91" s="104">
        <v>30</v>
      </c>
      <c r="D91" s="103">
        <v>15</v>
      </c>
      <c r="E91" s="146">
        <v>2</v>
      </c>
      <c r="F91" s="351">
        <v>3</v>
      </c>
      <c r="G91" s="343">
        <v>8</v>
      </c>
      <c r="H91" s="105">
        <v>1</v>
      </c>
      <c r="I91" s="98"/>
    </row>
    <row r="92" spans="1:9" ht="14.1" customHeight="1" x14ac:dyDescent="0.2">
      <c r="A92" s="202" t="s">
        <v>96</v>
      </c>
      <c r="B92" s="343">
        <v>57</v>
      </c>
      <c r="C92" s="104">
        <v>24</v>
      </c>
      <c r="D92" s="103">
        <v>11</v>
      </c>
      <c r="E92" s="146">
        <v>11</v>
      </c>
      <c r="F92" s="351">
        <v>3</v>
      </c>
      <c r="G92" s="343">
        <v>2</v>
      </c>
      <c r="H92" s="105">
        <v>0</v>
      </c>
      <c r="I92" s="98"/>
    </row>
    <row r="93" spans="1:9" ht="14.1" customHeight="1" x14ac:dyDescent="0.2">
      <c r="A93" s="202" t="s">
        <v>88</v>
      </c>
      <c r="B93" s="343">
        <v>88</v>
      </c>
      <c r="C93" s="104">
        <v>39</v>
      </c>
      <c r="D93" s="103">
        <v>17</v>
      </c>
      <c r="E93" s="146">
        <v>8</v>
      </c>
      <c r="F93" s="351">
        <v>6</v>
      </c>
      <c r="G93" s="343">
        <v>2</v>
      </c>
      <c r="H93" s="105">
        <v>5</v>
      </c>
      <c r="I93" s="98"/>
    </row>
    <row r="94" spans="1:9" ht="14.1" customHeight="1" x14ac:dyDescent="0.2">
      <c r="A94" s="202" t="s">
        <v>97</v>
      </c>
      <c r="B94" s="343">
        <v>29</v>
      </c>
      <c r="C94" s="104">
        <v>13</v>
      </c>
      <c r="D94" s="103">
        <v>1</v>
      </c>
      <c r="E94" s="146">
        <v>2</v>
      </c>
      <c r="F94" s="351">
        <v>0</v>
      </c>
      <c r="G94" s="343">
        <v>3</v>
      </c>
      <c r="H94" s="105">
        <v>0</v>
      </c>
      <c r="I94" s="98"/>
    </row>
    <row r="95" spans="1:9" ht="14.1" customHeight="1" x14ac:dyDescent="0.2">
      <c r="A95" s="202" t="s">
        <v>98</v>
      </c>
      <c r="B95" s="343">
        <v>116</v>
      </c>
      <c r="C95" s="104">
        <v>59</v>
      </c>
      <c r="D95" s="103">
        <v>17</v>
      </c>
      <c r="E95" s="146">
        <v>22</v>
      </c>
      <c r="F95" s="351">
        <v>3</v>
      </c>
      <c r="G95" s="343">
        <v>4</v>
      </c>
      <c r="H95" s="105">
        <v>1</v>
      </c>
      <c r="I95" s="98"/>
    </row>
    <row r="96" spans="1:9" ht="14.1" customHeight="1" x14ac:dyDescent="0.2">
      <c r="A96" s="202" t="s">
        <v>99</v>
      </c>
      <c r="B96" s="343">
        <v>59</v>
      </c>
      <c r="C96" s="104">
        <v>27</v>
      </c>
      <c r="D96" s="103">
        <v>11</v>
      </c>
      <c r="E96" s="146">
        <v>3</v>
      </c>
      <c r="F96" s="351">
        <v>7</v>
      </c>
      <c r="G96" s="343">
        <v>6</v>
      </c>
      <c r="H96" s="105">
        <v>0</v>
      </c>
      <c r="I96" s="98"/>
    </row>
    <row r="97" spans="1:9" ht="14.1" customHeight="1" x14ac:dyDescent="0.2">
      <c r="A97" s="202" t="s">
        <v>100</v>
      </c>
      <c r="B97" s="343">
        <v>43</v>
      </c>
      <c r="C97" s="104">
        <v>12</v>
      </c>
      <c r="D97" s="103">
        <v>12</v>
      </c>
      <c r="E97" s="146">
        <v>1</v>
      </c>
      <c r="F97" s="351">
        <v>3</v>
      </c>
      <c r="G97" s="343">
        <v>4</v>
      </c>
      <c r="H97" s="105">
        <v>0</v>
      </c>
      <c r="I97" s="98"/>
    </row>
    <row r="98" spans="1:9" ht="14.1" customHeight="1" x14ac:dyDescent="0.2">
      <c r="A98" s="202" t="s">
        <v>101</v>
      </c>
      <c r="B98" s="342">
        <v>8</v>
      </c>
      <c r="C98" s="100">
        <v>4</v>
      </c>
      <c r="D98" s="103">
        <v>1</v>
      </c>
      <c r="E98" s="146">
        <v>0</v>
      </c>
      <c r="F98" s="351">
        <v>1</v>
      </c>
      <c r="G98" s="343">
        <v>0</v>
      </c>
      <c r="H98" s="105">
        <v>1</v>
      </c>
      <c r="I98" s="98"/>
    </row>
    <row r="99" spans="1:9" ht="14.1" customHeight="1" x14ac:dyDescent="0.2">
      <c r="A99" s="202" t="s">
        <v>102</v>
      </c>
      <c r="B99" s="343">
        <v>25</v>
      </c>
      <c r="C99" s="104">
        <v>15</v>
      </c>
      <c r="D99" s="103">
        <v>2</v>
      </c>
      <c r="E99" s="146">
        <v>2</v>
      </c>
      <c r="F99" s="351">
        <v>1</v>
      </c>
      <c r="G99" s="343">
        <v>4</v>
      </c>
      <c r="H99" s="105">
        <v>0</v>
      </c>
      <c r="I99" s="98"/>
    </row>
    <row r="100" spans="1:9" ht="14.1" customHeight="1" x14ac:dyDescent="0.2">
      <c r="A100" s="202" t="s">
        <v>103</v>
      </c>
      <c r="B100" s="343">
        <v>16</v>
      </c>
      <c r="C100" s="104">
        <v>10</v>
      </c>
      <c r="D100" s="103">
        <v>2</v>
      </c>
      <c r="E100" s="146">
        <v>0</v>
      </c>
      <c r="F100" s="351">
        <v>2</v>
      </c>
      <c r="G100" s="343">
        <v>2</v>
      </c>
      <c r="H100" s="105">
        <v>0</v>
      </c>
      <c r="I100" s="102"/>
    </row>
    <row r="101" spans="1:9" ht="14.1" customHeight="1" x14ac:dyDescent="0.2">
      <c r="A101" s="273" t="s">
        <v>104</v>
      </c>
      <c r="B101" s="407">
        <v>6</v>
      </c>
      <c r="C101" s="409">
        <v>3</v>
      </c>
      <c r="D101" s="296">
        <v>0</v>
      </c>
      <c r="E101" s="295">
        <v>0</v>
      </c>
      <c r="F101" s="352">
        <v>1</v>
      </c>
      <c r="G101" s="344">
        <v>2</v>
      </c>
      <c r="H101" s="297">
        <v>0</v>
      </c>
      <c r="I101" s="98"/>
    </row>
    <row r="102" spans="1:9" x14ac:dyDescent="0.2">
      <c r="A102" s="9"/>
      <c r="B102" s="9"/>
      <c r="C102" s="103"/>
      <c r="D102" s="104"/>
      <c r="E102" s="146"/>
      <c r="F102" s="103"/>
      <c r="G102" s="105"/>
      <c r="H102" s="105"/>
      <c r="I102" s="98"/>
    </row>
    <row r="103" spans="1:9" x14ac:dyDescent="0.2">
      <c r="A103" s="9"/>
      <c r="B103" s="9"/>
      <c r="C103" s="103"/>
      <c r="D103" s="104"/>
      <c r="E103" s="146"/>
      <c r="F103" s="103"/>
      <c r="G103" s="105"/>
      <c r="H103" s="105"/>
      <c r="I103" s="98"/>
    </row>
    <row r="104" spans="1:9" x14ac:dyDescent="0.2">
      <c r="C104" s="101"/>
      <c r="D104" s="100"/>
      <c r="E104" s="147"/>
      <c r="F104" s="143"/>
      <c r="G104" s="100"/>
      <c r="H104" s="101"/>
      <c r="I104" s="98"/>
    </row>
    <row r="105" spans="1:9" x14ac:dyDescent="0.2">
      <c r="C105" s="101"/>
      <c r="D105" s="100"/>
      <c r="E105" s="147"/>
      <c r="F105" s="143"/>
      <c r="G105" s="100"/>
      <c r="H105" s="101"/>
      <c r="I105" s="98"/>
    </row>
    <row r="106" spans="1:9" x14ac:dyDescent="0.2">
      <c r="C106" s="101"/>
      <c r="D106" s="100"/>
      <c r="E106" s="147"/>
      <c r="F106" s="143"/>
      <c r="G106" s="100"/>
      <c r="H106" s="101"/>
      <c r="I106" s="98"/>
    </row>
    <row r="107" spans="1:9" x14ac:dyDescent="0.2">
      <c r="C107" s="101"/>
      <c r="D107" s="100"/>
      <c r="E107" s="147"/>
      <c r="F107" s="143"/>
      <c r="G107" s="100"/>
      <c r="H107" s="101"/>
      <c r="I107" s="98"/>
    </row>
    <row r="108" spans="1:9" x14ac:dyDescent="0.2">
      <c r="C108" s="101"/>
      <c r="D108" s="100"/>
      <c r="E108" s="147"/>
      <c r="F108" s="143"/>
      <c r="G108" s="100"/>
      <c r="H108" s="101"/>
      <c r="I108" s="98"/>
    </row>
    <row r="109" spans="1:9" x14ac:dyDescent="0.2">
      <c r="C109" s="101"/>
      <c r="D109" s="100"/>
      <c r="E109" s="147"/>
      <c r="F109" s="143"/>
      <c r="G109" s="100"/>
      <c r="H109" s="101"/>
      <c r="I109" s="98"/>
    </row>
    <row r="110" spans="1:9" x14ac:dyDescent="0.2">
      <c r="C110" s="101"/>
      <c r="D110" s="100"/>
      <c r="E110" s="147"/>
      <c r="F110" s="143"/>
      <c r="G110" s="100"/>
      <c r="H110" s="101"/>
      <c r="I110" s="98"/>
    </row>
    <row r="111" spans="1:9" x14ac:dyDescent="0.2">
      <c r="C111" s="101"/>
      <c r="D111" s="100"/>
      <c r="E111" s="147"/>
      <c r="F111" s="143"/>
      <c r="G111" s="100"/>
      <c r="H111" s="101"/>
      <c r="I111" s="98"/>
    </row>
    <row r="112" spans="1:9" x14ac:dyDescent="0.2">
      <c r="C112" s="101"/>
      <c r="D112" s="100"/>
      <c r="E112" s="147"/>
      <c r="F112" s="143"/>
      <c r="G112" s="100"/>
      <c r="H112" s="101"/>
      <c r="I112" s="98"/>
    </row>
    <row r="113" spans="3:9" x14ac:dyDescent="0.2">
      <c r="C113" s="101"/>
      <c r="D113" s="100"/>
      <c r="E113" s="147"/>
      <c r="F113" s="143"/>
      <c r="G113" s="100"/>
      <c r="H113" s="101"/>
      <c r="I113" s="98"/>
    </row>
    <row r="114" spans="3:9" x14ac:dyDescent="0.2">
      <c r="C114" s="101"/>
      <c r="D114" s="100"/>
      <c r="E114" s="147"/>
      <c r="F114" s="143"/>
      <c r="G114" s="100"/>
      <c r="H114" s="101"/>
      <c r="I114" s="98"/>
    </row>
    <row r="115" spans="3:9" x14ac:dyDescent="0.2">
      <c r="C115" s="101"/>
      <c r="D115" s="100"/>
      <c r="E115" s="147"/>
      <c r="F115" s="143"/>
      <c r="G115" s="100"/>
      <c r="H115" s="101"/>
      <c r="I115" s="98"/>
    </row>
    <row r="116" spans="3:9" x14ac:dyDescent="0.2">
      <c r="C116" s="101"/>
      <c r="D116" s="100"/>
      <c r="E116" s="147"/>
      <c r="F116" s="143"/>
      <c r="G116" s="100"/>
      <c r="H116" s="101"/>
      <c r="I116" s="98"/>
    </row>
    <row r="117" spans="3:9" x14ac:dyDescent="0.2">
      <c r="C117" s="101"/>
      <c r="D117" s="100"/>
      <c r="E117" s="147"/>
      <c r="F117" s="143"/>
      <c r="G117" s="100"/>
      <c r="H117" s="101"/>
      <c r="I117" s="98"/>
    </row>
    <row r="118" spans="3:9" x14ac:dyDescent="0.2">
      <c r="C118" s="101"/>
      <c r="D118" s="100"/>
      <c r="E118" s="147"/>
      <c r="F118" s="143"/>
      <c r="G118" s="100"/>
      <c r="H118" s="101"/>
      <c r="I118" s="98"/>
    </row>
    <row r="119" spans="3:9" x14ac:dyDescent="0.2">
      <c r="C119" s="101"/>
      <c r="D119" s="100"/>
      <c r="E119" s="147"/>
      <c r="F119" s="143"/>
      <c r="G119" s="100"/>
      <c r="H119" s="101"/>
      <c r="I119" s="98"/>
    </row>
    <row r="120" spans="3:9" x14ac:dyDescent="0.2">
      <c r="C120" s="101"/>
      <c r="D120" s="100"/>
      <c r="E120" s="147"/>
      <c r="F120" s="143"/>
      <c r="G120" s="100"/>
      <c r="H120" s="101"/>
      <c r="I120" s="98"/>
    </row>
    <row r="121" spans="3:9" x14ac:dyDescent="0.2">
      <c r="C121" s="101"/>
      <c r="D121" s="100"/>
      <c r="E121" s="147"/>
      <c r="F121" s="143"/>
      <c r="G121" s="100"/>
      <c r="H121" s="101"/>
      <c r="I121" s="98"/>
    </row>
    <row r="122" spans="3:9" x14ac:dyDescent="0.2">
      <c r="C122" s="101"/>
      <c r="D122" s="100"/>
      <c r="E122" s="147"/>
      <c r="F122" s="143"/>
      <c r="G122" s="100"/>
      <c r="H122" s="101"/>
      <c r="I122" s="98"/>
    </row>
    <row r="123" spans="3:9" x14ac:dyDescent="0.2">
      <c r="C123" s="101"/>
      <c r="D123" s="100"/>
      <c r="E123" s="147"/>
      <c r="F123" s="143"/>
      <c r="G123" s="100"/>
      <c r="H123" s="101"/>
      <c r="I123" s="98"/>
    </row>
    <row r="124" spans="3:9" x14ac:dyDescent="0.2">
      <c r="C124" s="101"/>
      <c r="D124" s="100"/>
      <c r="E124" s="147"/>
      <c r="F124" s="143"/>
      <c r="G124" s="100"/>
      <c r="H124" s="101"/>
      <c r="I124" s="98"/>
    </row>
    <row r="125" spans="3:9" x14ac:dyDescent="0.2">
      <c r="C125" s="101"/>
      <c r="D125" s="100"/>
      <c r="E125" s="147"/>
      <c r="F125" s="143"/>
      <c r="G125" s="100"/>
      <c r="H125" s="101"/>
      <c r="I125" s="98"/>
    </row>
    <row r="126" spans="3:9" x14ac:dyDescent="0.2">
      <c r="C126" s="101"/>
      <c r="D126" s="100"/>
      <c r="E126" s="147"/>
      <c r="F126" s="143"/>
      <c r="G126" s="100"/>
      <c r="H126" s="101"/>
      <c r="I126" s="98"/>
    </row>
    <row r="127" spans="3:9" x14ac:dyDescent="0.2">
      <c r="C127" s="101"/>
      <c r="D127" s="100"/>
      <c r="E127" s="147"/>
      <c r="F127" s="143"/>
      <c r="G127" s="100"/>
      <c r="H127" s="101"/>
      <c r="I127" s="98"/>
    </row>
    <row r="128" spans="3:9" x14ac:dyDescent="0.2">
      <c r="C128" s="101"/>
      <c r="D128" s="100"/>
      <c r="E128" s="147"/>
      <c r="F128" s="143"/>
      <c r="G128" s="100"/>
      <c r="H128" s="101"/>
      <c r="I128" s="98"/>
    </row>
    <row r="129" spans="3:9" x14ac:dyDescent="0.2">
      <c r="C129" s="101"/>
      <c r="D129" s="100"/>
      <c r="E129" s="147"/>
      <c r="F129" s="143"/>
      <c r="G129" s="100"/>
      <c r="H129" s="101"/>
      <c r="I129" s="98"/>
    </row>
    <row r="130" spans="3:9" x14ac:dyDescent="0.2">
      <c r="C130" s="101"/>
      <c r="D130" s="100"/>
      <c r="E130" s="147"/>
      <c r="F130" s="143"/>
      <c r="G130" s="100"/>
      <c r="H130" s="101"/>
      <c r="I130" s="98"/>
    </row>
    <row r="131" spans="3:9" x14ac:dyDescent="0.2">
      <c r="C131" s="101"/>
      <c r="D131" s="100"/>
      <c r="E131" s="147"/>
      <c r="F131" s="143"/>
      <c r="G131" s="100"/>
      <c r="H131" s="101"/>
      <c r="I131" s="98"/>
    </row>
    <row r="132" spans="3:9" x14ac:dyDescent="0.2">
      <c r="C132" s="101"/>
      <c r="D132" s="100"/>
      <c r="E132" s="147"/>
      <c r="F132" s="143"/>
      <c r="G132" s="100"/>
      <c r="H132" s="101"/>
      <c r="I132" s="98"/>
    </row>
    <row r="133" spans="3:9" x14ac:dyDescent="0.2">
      <c r="C133" s="101"/>
      <c r="D133" s="100"/>
      <c r="E133" s="147"/>
      <c r="F133" s="143"/>
      <c r="G133" s="100"/>
      <c r="H133" s="101"/>
      <c r="I133" s="98"/>
    </row>
    <row r="134" spans="3:9" x14ac:dyDescent="0.2">
      <c r="C134" s="101"/>
      <c r="D134" s="100"/>
      <c r="E134" s="147"/>
      <c r="F134" s="143"/>
      <c r="G134" s="100"/>
      <c r="H134" s="101"/>
      <c r="I134" s="98"/>
    </row>
    <row r="135" spans="3:9" x14ac:dyDescent="0.2">
      <c r="C135" s="101"/>
      <c r="D135" s="100"/>
      <c r="E135" s="147"/>
      <c r="F135" s="143"/>
      <c r="G135" s="100"/>
      <c r="H135" s="101"/>
      <c r="I135" s="98"/>
    </row>
    <row r="136" spans="3:9" x14ac:dyDescent="0.2">
      <c r="C136" s="101"/>
      <c r="D136" s="100"/>
      <c r="E136" s="147"/>
      <c r="F136" s="143"/>
      <c r="G136" s="100"/>
      <c r="H136" s="101"/>
      <c r="I136" s="98"/>
    </row>
    <row r="137" spans="3:9" x14ac:dyDescent="0.2">
      <c r="C137" s="101"/>
      <c r="D137" s="100"/>
      <c r="E137" s="147"/>
      <c r="F137" s="143"/>
      <c r="G137" s="100"/>
      <c r="H137" s="101"/>
      <c r="I137" s="98"/>
    </row>
    <row r="138" spans="3:9" x14ac:dyDescent="0.2">
      <c r="C138" s="101"/>
      <c r="D138" s="100"/>
      <c r="E138" s="147"/>
      <c r="F138" s="143"/>
      <c r="G138" s="100"/>
      <c r="H138" s="101"/>
      <c r="I138" s="98"/>
    </row>
    <row r="139" spans="3:9" x14ac:dyDescent="0.2">
      <c r="C139" s="101"/>
      <c r="D139" s="100"/>
      <c r="E139" s="147"/>
      <c r="F139" s="143"/>
      <c r="G139" s="100"/>
      <c r="H139" s="101"/>
      <c r="I139" s="98"/>
    </row>
    <row r="140" spans="3:9" x14ac:dyDescent="0.2">
      <c r="C140" s="101"/>
      <c r="D140" s="100"/>
      <c r="E140" s="147"/>
      <c r="F140" s="143"/>
      <c r="G140" s="100"/>
      <c r="H140" s="101"/>
      <c r="I140" s="98"/>
    </row>
    <row r="141" spans="3:9" x14ac:dyDescent="0.2">
      <c r="C141" s="101"/>
      <c r="D141" s="100"/>
      <c r="E141" s="147"/>
      <c r="F141" s="143"/>
      <c r="G141" s="100"/>
      <c r="H141" s="101"/>
      <c r="I141" s="98"/>
    </row>
    <row r="142" spans="3:9" x14ac:dyDescent="0.2">
      <c r="C142" s="101"/>
      <c r="D142" s="100"/>
      <c r="E142" s="147"/>
      <c r="F142" s="143"/>
      <c r="G142" s="100"/>
      <c r="H142" s="101"/>
      <c r="I142" s="98"/>
    </row>
    <row r="143" spans="3:9" x14ac:dyDescent="0.2">
      <c r="C143" s="101"/>
      <c r="D143" s="100"/>
      <c r="E143" s="147"/>
      <c r="F143" s="143"/>
      <c r="G143" s="100"/>
      <c r="H143" s="101"/>
      <c r="I143" s="98"/>
    </row>
    <row r="144" spans="3:9" x14ac:dyDescent="0.2">
      <c r="C144" s="101"/>
      <c r="D144" s="100"/>
      <c r="E144" s="147"/>
      <c r="F144" s="143"/>
      <c r="G144" s="100"/>
      <c r="H144" s="101"/>
      <c r="I144" s="98"/>
    </row>
    <row r="145" spans="3:9" x14ac:dyDescent="0.2">
      <c r="C145" s="101"/>
      <c r="D145" s="100"/>
      <c r="E145" s="147"/>
      <c r="F145" s="143"/>
      <c r="G145" s="100"/>
      <c r="H145" s="101"/>
      <c r="I145" s="98"/>
    </row>
    <row r="146" spans="3:9" x14ac:dyDescent="0.2">
      <c r="C146" s="101"/>
      <c r="D146" s="100"/>
      <c r="E146" s="147"/>
      <c r="F146" s="143"/>
      <c r="G146" s="100"/>
      <c r="H146" s="101"/>
      <c r="I146" s="98"/>
    </row>
    <row r="147" spans="3:9" x14ac:dyDescent="0.2">
      <c r="C147" s="101"/>
      <c r="D147" s="100"/>
      <c r="E147" s="147"/>
      <c r="F147" s="143"/>
      <c r="G147" s="100"/>
      <c r="H147" s="101"/>
      <c r="I147" s="98"/>
    </row>
    <row r="148" spans="3:9" x14ac:dyDescent="0.2">
      <c r="C148" s="101"/>
      <c r="D148" s="100"/>
      <c r="E148" s="147"/>
      <c r="F148" s="143"/>
      <c r="G148" s="100"/>
      <c r="H148" s="101"/>
      <c r="I148" s="98"/>
    </row>
    <row r="149" spans="3:9" x14ac:dyDescent="0.2">
      <c r="C149" s="101"/>
      <c r="D149" s="100"/>
      <c r="E149" s="147"/>
      <c r="F149" s="143"/>
      <c r="G149" s="100"/>
      <c r="H149" s="101"/>
      <c r="I149" s="98"/>
    </row>
    <row r="150" spans="3:9" x14ac:dyDescent="0.2">
      <c r="C150" s="101"/>
      <c r="D150" s="100"/>
      <c r="E150" s="147"/>
      <c r="F150" s="143"/>
      <c r="G150" s="100"/>
      <c r="H150" s="101"/>
      <c r="I150" s="98"/>
    </row>
    <row r="151" spans="3:9" x14ac:dyDescent="0.2">
      <c r="C151" s="101"/>
      <c r="D151" s="100"/>
      <c r="E151" s="147"/>
      <c r="F151" s="143"/>
      <c r="G151" s="100"/>
      <c r="H151" s="101"/>
      <c r="I151" s="98"/>
    </row>
    <row r="152" spans="3:9" x14ac:dyDescent="0.2">
      <c r="C152" s="101"/>
      <c r="D152" s="100"/>
      <c r="E152" s="147"/>
      <c r="F152" s="143"/>
      <c r="G152" s="100"/>
      <c r="H152" s="101"/>
      <c r="I152" s="98"/>
    </row>
    <row r="153" spans="3:9" x14ac:dyDescent="0.2">
      <c r="C153" s="101"/>
      <c r="D153" s="100"/>
      <c r="E153" s="147"/>
      <c r="F153" s="143"/>
      <c r="G153" s="100"/>
      <c r="H153" s="101"/>
      <c r="I153" s="98"/>
    </row>
    <row r="154" spans="3:9" x14ac:dyDescent="0.2">
      <c r="C154" s="101"/>
      <c r="D154" s="100"/>
      <c r="E154" s="147"/>
      <c r="F154" s="143"/>
      <c r="G154" s="100"/>
      <c r="H154" s="101"/>
      <c r="I154" s="98"/>
    </row>
    <row r="155" spans="3:9" x14ac:dyDescent="0.2">
      <c r="C155" s="101"/>
      <c r="D155" s="100"/>
      <c r="E155" s="147"/>
      <c r="F155" s="143"/>
      <c r="G155" s="100"/>
      <c r="H155" s="101"/>
      <c r="I155" s="98"/>
    </row>
    <row r="156" spans="3:9" x14ac:dyDescent="0.2">
      <c r="C156" s="101"/>
      <c r="D156" s="100"/>
      <c r="E156" s="147"/>
      <c r="F156" s="143"/>
      <c r="G156" s="100"/>
      <c r="H156" s="101"/>
      <c r="I156" s="98"/>
    </row>
    <row r="157" spans="3:9" x14ac:dyDescent="0.2">
      <c r="C157" s="101"/>
      <c r="D157" s="100"/>
      <c r="E157" s="147"/>
      <c r="F157" s="143"/>
      <c r="G157" s="100"/>
      <c r="H157" s="101"/>
      <c r="I157" s="98"/>
    </row>
    <row r="158" spans="3:9" x14ac:dyDescent="0.2">
      <c r="C158" s="101"/>
      <c r="D158" s="100"/>
      <c r="E158" s="147"/>
      <c r="F158" s="143"/>
      <c r="G158" s="100"/>
      <c r="H158" s="101"/>
      <c r="I158" s="98"/>
    </row>
    <row r="159" spans="3:9" x14ac:dyDescent="0.2">
      <c r="C159" s="101"/>
      <c r="D159" s="100"/>
      <c r="E159" s="147"/>
      <c r="F159" s="143"/>
      <c r="G159" s="100"/>
      <c r="H159" s="101"/>
      <c r="I159" s="98"/>
    </row>
    <row r="160" spans="3:9" x14ac:dyDescent="0.2">
      <c r="C160" s="101"/>
      <c r="D160" s="100"/>
      <c r="E160" s="147"/>
      <c r="F160" s="143"/>
      <c r="G160" s="100"/>
      <c r="H160" s="101"/>
      <c r="I160" s="98"/>
    </row>
    <row r="161" spans="3:9" x14ac:dyDescent="0.2">
      <c r="C161" s="101"/>
      <c r="D161" s="100"/>
      <c r="E161" s="147"/>
      <c r="F161" s="143"/>
      <c r="G161" s="100"/>
      <c r="H161" s="101"/>
      <c r="I161" s="98"/>
    </row>
    <row r="162" spans="3:9" x14ac:dyDescent="0.2">
      <c r="C162" s="101"/>
      <c r="D162" s="100"/>
      <c r="E162" s="147"/>
      <c r="F162" s="143"/>
      <c r="G162" s="100"/>
      <c r="H162" s="101"/>
      <c r="I162" s="98"/>
    </row>
    <row r="163" spans="3:9" x14ac:dyDescent="0.2">
      <c r="C163" s="101"/>
      <c r="D163" s="100"/>
      <c r="E163" s="147"/>
      <c r="F163" s="143"/>
      <c r="G163" s="100"/>
      <c r="H163" s="101"/>
      <c r="I163" s="98"/>
    </row>
    <row r="164" spans="3:9" x14ac:dyDescent="0.2">
      <c r="C164" s="101"/>
      <c r="D164" s="100"/>
      <c r="E164" s="147"/>
      <c r="F164" s="143"/>
      <c r="G164" s="100"/>
      <c r="H164" s="101"/>
      <c r="I164" s="98"/>
    </row>
    <row r="165" spans="3:9" x14ac:dyDescent="0.2">
      <c r="C165" s="101"/>
      <c r="D165" s="100"/>
      <c r="E165" s="147"/>
      <c r="F165" s="143"/>
      <c r="G165" s="100"/>
      <c r="H165" s="101"/>
      <c r="I165" s="98"/>
    </row>
    <row r="166" spans="3:9" x14ac:dyDescent="0.2">
      <c r="C166" s="101"/>
      <c r="D166" s="100"/>
      <c r="E166" s="147"/>
      <c r="F166" s="143"/>
      <c r="G166" s="100"/>
      <c r="H166" s="101"/>
      <c r="I166" s="98"/>
    </row>
    <row r="167" spans="3:9" x14ac:dyDescent="0.2">
      <c r="C167" s="101"/>
      <c r="D167" s="100"/>
      <c r="E167" s="147"/>
      <c r="F167" s="143"/>
      <c r="G167" s="100"/>
      <c r="H167" s="101"/>
      <c r="I167" s="98"/>
    </row>
    <row r="168" spans="3:9" x14ac:dyDescent="0.2">
      <c r="C168" s="101"/>
      <c r="D168" s="100"/>
      <c r="E168" s="147"/>
      <c r="F168" s="143"/>
      <c r="G168" s="100"/>
      <c r="H168" s="101"/>
      <c r="I168" s="98"/>
    </row>
    <row r="169" spans="3:9" x14ac:dyDescent="0.2">
      <c r="C169" s="101"/>
      <c r="D169" s="100"/>
      <c r="E169" s="147"/>
      <c r="F169" s="143"/>
      <c r="G169" s="100"/>
      <c r="H169" s="101"/>
      <c r="I169" s="98"/>
    </row>
    <row r="170" spans="3:9" x14ac:dyDescent="0.2">
      <c r="C170" s="101"/>
      <c r="D170" s="100"/>
      <c r="E170" s="147"/>
      <c r="F170" s="143"/>
      <c r="G170" s="100"/>
      <c r="H170" s="101"/>
      <c r="I170" s="98"/>
    </row>
    <row r="171" spans="3:9" x14ac:dyDescent="0.2">
      <c r="C171" s="101"/>
      <c r="D171" s="100"/>
      <c r="E171" s="147"/>
      <c r="F171" s="143"/>
      <c r="G171" s="100"/>
      <c r="H171" s="101"/>
      <c r="I171" s="98"/>
    </row>
    <row r="172" spans="3:9" x14ac:dyDescent="0.2">
      <c r="C172" s="101"/>
      <c r="D172" s="100"/>
      <c r="E172" s="147"/>
      <c r="F172" s="143"/>
      <c r="G172" s="100"/>
      <c r="H172" s="101"/>
      <c r="I172" s="98"/>
    </row>
    <row r="173" spans="3:9" x14ac:dyDescent="0.2">
      <c r="C173" s="101"/>
      <c r="D173" s="100"/>
      <c r="E173" s="147"/>
      <c r="F173" s="143"/>
      <c r="G173" s="100"/>
      <c r="H173" s="101"/>
      <c r="I173" s="98"/>
    </row>
    <row r="174" spans="3:9" x14ac:dyDescent="0.2">
      <c r="C174" s="101"/>
      <c r="D174" s="100"/>
      <c r="E174" s="147"/>
      <c r="F174" s="143"/>
      <c r="G174" s="100"/>
      <c r="H174" s="101"/>
      <c r="I174" s="98"/>
    </row>
    <row r="175" spans="3:9" x14ac:dyDescent="0.2">
      <c r="C175" s="101"/>
      <c r="D175" s="100"/>
      <c r="E175" s="147"/>
      <c r="F175" s="143"/>
      <c r="G175" s="100"/>
      <c r="H175" s="101"/>
      <c r="I175" s="98"/>
    </row>
    <row r="176" spans="3:9" x14ac:dyDescent="0.2">
      <c r="C176" s="101"/>
      <c r="D176" s="100"/>
      <c r="E176" s="147"/>
      <c r="F176" s="143"/>
      <c r="G176" s="100"/>
      <c r="H176" s="101"/>
      <c r="I176" s="98"/>
    </row>
    <row r="177" spans="3:9" x14ac:dyDescent="0.2">
      <c r="C177" s="101"/>
      <c r="D177" s="100"/>
      <c r="E177" s="147"/>
      <c r="F177" s="143"/>
      <c r="G177" s="100"/>
      <c r="H177" s="101"/>
      <c r="I177" s="98"/>
    </row>
    <row r="178" spans="3:9" x14ac:dyDescent="0.2">
      <c r="C178" s="101"/>
      <c r="D178" s="100"/>
      <c r="E178" s="147"/>
      <c r="F178" s="143"/>
      <c r="G178" s="100"/>
      <c r="H178" s="101"/>
      <c r="I178" s="98"/>
    </row>
    <row r="179" spans="3:9" x14ac:dyDescent="0.2">
      <c r="C179" s="101"/>
      <c r="D179" s="100"/>
      <c r="E179" s="147"/>
      <c r="F179" s="143"/>
      <c r="G179" s="100"/>
      <c r="H179" s="101"/>
      <c r="I179" s="98"/>
    </row>
    <row r="180" spans="3:9" x14ac:dyDescent="0.2">
      <c r="C180" s="101"/>
      <c r="D180" s="100"/>
      <c r="E180" s="147"/>
      <c r="F180" s="143"/>
      <c r="G180" s="100"/>
      <c r="H180" s="101"/>
      <c r="I180" s="98"/>
    </row>
    <row r="181" spans="3:9" x14ac:dyDescent="0.2">
      <c r="C181" s="106"/>
      <c r="E181" s="107"/>
      <c r="F181" s="143"/>
      <c r="I181" s="98"/>
    </row>
    <row r="182" spans="3:9" x14ac:dyDescent="0.2">
      <c r="C182" s="106"/>
      <c r="E182" s="107"/>
      <c r="F182" s="144"/>
      <c r="I182" s="98"/>
    </row>
    <row r="183" spans="3:9" x14ac:dyDescent="0.2">
      <c r="C183" s="106"/>
      <c r="E183" s="107"/>
      <c r="F183" s="144"/>
      <c r="I183" s="98"/>
    </row>
    <row r="184" spans="3:9" x14ac:dyDescent="0.2">
      <c r="C184" s="106"/>
      <c r="E184" s="107"/>
      <c r="F184" s="144"/>
      <c r="I184" s="98"/>
    </row>
    <row r="185" spans="3:9" x14ac:dyDescent="0.2">
      <c r="C185" s="106"/>
      <c r="E185" s="107"/>
      <c r="F185" s="144"/>
      <c r="I185" s="98"/>
    </row>
    <row r="186" spans="3:9" x14ac:dyDescent="0.2">
      <c r="C186" s="106"/>
      <c r="E186" s="107"/>
      <c r="F186" s="144"/>
      <c r="I186" s="98"/>
    </row>
    <row r="187" spans="3:9" x14ac:dyDescent="0.2">
      <c r="C187" s="106"/>
      <c r="E187" s="107"/>
      <c r="F187" s="144"/>
      <c r="I187" s="98"/>
    </row>
    <row r="188" spans="3:9" x14ac:dyDescent="0.2">
      <c r="C188" s="106"/>
      <c r="E188" s="107"/>
      <c r="F188" s="144"/>
      <c r="I188" s="98"/>
    </row>
    <row r="189" spans="3:9" x14ac:dyDescent="0.2">
      <c r="C189" s="106"/>
      <c r="E189" s="107"/>
      <c r="F189" s="144"/>
      <c r="I189" s="98"/>
    </row>
    <row r="190" spans="3:9" x14ac:dyDescent="0.2">
      <c r="C190" s="106"/>
      <c r="E190" s="107"/>
      <c r="F190" s="144"/>
      <c r="I190" s="98"/>
    </row>
    <row r="191" spans="3:9" x14ac:dyDescent="0.2">
      <c r="C191" s="106"/>
      <c r="E191" s="107"/>
      <c r="F191" s="144"/>
      <c r="I191" s="98"/>
    </row>
    <row r="192" spans="3:9" x14ac:dyDescent="0.2">
      <c r="C192" s="106"/>
      <c r="E192" s="107"/>
      <c r="F192" s="144"/>
    </row>
    <row r="193" spans="3:6" x14ac:dyDescent="0.2">
      <c r="C193" s="106"/>
      <c r="E193" s="107"/>
      <c r="F193" s="144"/>
    </row>
    <row r="194" spans="3:6" x14ac:dyDescent="0.2">
      <c r="C194" s="106"/>
      <c r="E194" s="107"/>
      <c r="F194" s="144"/>
    </row>
    <row r="195" spans="3:6" x14ac:dyDescent="0.2">
      <c r="C195" s="106"/>
      <c r="E195" s="107"/>
      <c r="F195" s="144"/>
    </row>
    <row r="196" spans="3:6" x14ac:dyDescent="0.2">
      <c r="C196" s="106"/>
      <c r="E196" s="107"/>
      <c r="F196" s="144"/>
    </row>
    <row r="197" spans="3:6" x14ac:dyDescent="0.2">
      <c r="C197" s="106"/>
      <c r="E197" s="107"/>
      <c r="F197" s="144"/>
    </row>
    <row r="198" spans="3:6" x14ac:dyDescent="0.2">
      <c r="C198" s="106"/>
      <c r="E198" s="107"/>
      <c r="F198" s="144"/>
    </row>
    <row r="199" spans="3:6" x14ac:dyDescent="0.2">
      <c r="C199" s="106"/>
      <c r="E199" s="107"/>
      <c r="F199" s="144"/>
    </row>
    <row r="200" spans="3:6" x14ac:dyDescent="0.2">
      <c r="E200" s="107"/>
      <c r="F200" s="144"/>
    </row>
    <row r="201" spans="3:6" x14ac:dyDescent="0.2">
      <c r="E201" s="107"/>
      <c r="F201" s="144"/>
    </row>
    <row r="202" spans="3:6" x14ac:dyDescent="0.2">
      <c r="E202" s="107"/>
      <c r="F202" s="144"/>
    </row>
    <row r="203" spans="3:6" x14ac:dyDescent="0.2">
      <c r="E203" s="107"/>
      <c r="F203" s="144"/>
    </row>
    <row r="204" spans="3:6" x14ac:dyDescent="0.2">
      <c r="E204" s="107"/>
      <c r="F204" s="144"/>
    </row>
    <row r="205" spans="3:6" x14ac:dyDescent="0.2">
      <c r="E205" s="107"/>
      <c r="F205" s="144"/>
    </row>
    <row r="206" spans="3:6" x14ac:dyDescent="0.2">
      <c r="E206" s="107"/>
      <c r="F206" s="144"/>
    </row>
    <row r="207" spans="3:6" x14ac:dyDescent="0.2">
      <c r="E207" s="107"/>
      <c r="F207" s="144"/>
    </row>
    <row r="208" spans="3:6" x14ac:dyDescent="0.2">
      <c r="E208" s="107"/>
      <c r="F208" s="144"/>
    </row>
    <row r="209" spans="5:6" x14ac:dyDescent="0.2">
      <c r="E209" s="107"/>
      <c r="F209" s="144"/>
    </row>
    <row r="210" spans="5:6" x14ac:dyDescent="0.2">
      <c r="E210" s="107"/>
      <c r="F210" s="144"/>
    </row>
    <row r="211" spans="5:6" x14ac:dyDescent="0.2">
      <c r="E211" s="107"/>
      <c r="F211" s="144"/>
    </row>
    <row r="212" spans="5:6" x14ac:dyDescent="0.2">
      <c r="E212" s="107"/>
      <c r="F212" s="144"/>
    </row>
    <row r="213" spans="5:6" x14ac:dyDescent="0.2">
      <c r="E213" s="107"/>
      <c r="F213" s="144"/>
    </row>
    <row r="214" spans="5:6" x14ac:dyDescent="0.2">
      <c r="E214" s="107"/>
      <c r="F214" s="144"/>
    </row>
    <row r="215" spans="5:6" x14ac:dyDescent="0.2">
      <c r="E215" s="107"/>
      <c r="F215" s="144"/>
    </row>
    <row r="216" spans="5:6" x14ac:dyDescent="0.2">
      <c r="E216" s="107"/>
      <c r="F216" s="144"/>
    </row>
    <row r="217" spans="5:6" x14ac:dyDescent="0.2">
      <c r="E217" s="107"/>
      <c r="F217" s="144"/>
    </row>
    <row r="218" spans="5:6" x14ac:dyDescent="0.2">
      <c r="E218" s="107"/>
      <c r="F218" s="144"/>
    </row>
    <row r="219" spans="5:6" x14ac:dyDescent="0.2">
      <c r="E219" s="107"/>
      <c r="F219" s="144"/>
    </row>
    <row r="220" spans="5:6" x14ac:dyDescent="0.2">
      <c r="E220" s="107"/>
      <c r="F220" s="144"/>
    </row>
    <row r="221" spans="5:6" x14ac:dyDescent="0.2">
      <c r="E221" s="107"/>
      <c r="F221" s="144"/>
    </row>
    <row r="222" spans="5:6" x14ac:dyDescent="0.2">
      <c r="E222" s="107"/>
      <c r="F222" s="144"/>
    </row>
    <row r="223" spans="5:6" x14ac:dyDescent="0.2">
      <c r="E223" s="107"/>
      <c r="F223" s="144"/>
    </row>
    <row r="224" spans="5:6" x14ac:dyDescent="0.2">
      <c r="E224" s="107"/>
      <c r="F224" s="144"/>
    </row>
    <row r="225" spans="5:6" x14ac:dyDescent="0.2">
      <c r="E225" s="107"/>
      <c r="F225" s="144"/>
    </row>
    <row r="226" spans="5:6" x14ac:dyDescent="0.2">
      <c r="E226" s="107"/>
      <c r="F226" s="144"/>
    </row>
    <row r="227" spans="5:6" x14ac:dyDescent="0.2">
      <c r="E227" s="107"/>
      <c r="F227" s="144"/>
    </row>
    <row r="228" spans="5:6" x14ac:dyDescent="0.2">
      <c r="E228" s="107"/>
      <c r="F228" s="144"/>
    </row>
    <row r="229" spans="5:6" x14ac:dyDescent="0.2">
      <c r="E229" s="107"/>
      <c r="F229" s="144"/>
    </row>
    <row r="230" spans="5:6" x14ac:dyDescent="0.2">
      <c r="E230" s="107"/>
      <c r="F230" s="144"/>
    </row>
    <row r="231" spans="5:6" x14ac:dyDescent="0.2">
      <c r="E231" s="107"/>
      <c r="F231" s="144"/>
    </row>
    <row r="232" spans="5:6" x14ac:dyDescent="0.2">
      <c r="E232" s="107"/>
      <c r="F232" s="144"/>
    </row>
    <row r="233" spans="5:6" x14ac:dyDescent="0.2">
      <c r="E233" s="107"/>
      <c r="F233" s="144"/>
    </row>
    <row r="234" spans="5:6" x14ac:dyDescent="0.2">
      <c r="E234" s="107"/>
      <c r="F234" s="144"/>
    </row>
    <row r="235" spans="5:6" x14ac:dyDescent="0.2">
      <c r="E235" s="107"/>
      <c r="F235" s="144"/>
    </row>
    <row r="236" spans="5:6" x14ac:dyDescent="0.2">
      <c r="E236" s="107"/>
      <c r="F236" s="144"/>
    </row>
    <row r="237" spans="5:6" x14ac:dyDescent="0.2">
      <c r="E237" s="107"/>
      <c r="F237" s="144"/>
    </row>
    <row r="238" spans="5:6" x14ac:dyDescent="0.2">
      <c r="E238" s="107"/>
      <c r="F238" s="144"/>
    </row>
    <row r="239" spans="5:6" x14ac:dyDescent="0.2">
      <c r="E239" s="107"/>
      <c r="F239" s="144"/>
    </row>
    <row r="240" spans="5:6" x14ac:dyDescent="0.2">
      <c r="E240" s="107"/>
      <c r="F240" s="144"/>
    </row>
    <row r="241" spans="5:6" x14ac:dyDescent="0.2">
      <c r="E241" s="107"/>
      <c r="F241" s="144"/>
    </row>
    <row r="242" spans="5:6" x14ac:dyDescent="0.2">
      <c r="E242" s="107"/>
      <c r="F242" s="144"/>
    </row>
    <row r="243" spans="5:6" x14ac:dyDescent="0.2">
      <c r="E243" s="107"/>
      <c r="F243" s="144"/>
    </row>
    <row r="244" spans="5:6" x14ac:dyDescent="0.2">
      <c r="E244" s="107"/>
      <c r="F244" s="144"/>
    </row>
    <row r="245" spans="5:6" x14ac:dyDescent="0.2">
      <c r="E245" s="107"/>
      <c r="F245" s="144"/>
    </row>
    <row r="246" spans="5:6" x14ac:dyDescent="0.2">
      <c r="E246" s="107"/>
      <c r="F246" s="144"/>
    </row>
    <row r="247" spans="5:6" x14ac:dyDescent="0.2">
      <c r="E247" s="107"/>
      <c r="F247" s="144"/>
    </row>
    <row r="248" spans="5:6" x14ac:dyDescent="0.2">
      <c r="E248" s="107"/>
      <c r="F248" s="144"/>
    </row>
    <row r="249" spans="5:6" x14ac:dyDescent="0.2">
      <c r="E249" s="107"/>
      <c r="F249" s="144"/>
    </row>
    <row r="250" spans="5:6" x14ac:dyDescent="0.2">
      <c r="E250" s="107"/>
      <c r="F250" s="144"/>
    </row>
    <row r="251" spans="5:6" x14ac:dyDescent="0.2">
      <c r="E251" s="107"/>
    </row>
    <row r="252" spans="5:6" x14ac:dyDescent="0.2">
      <c r="E252" s="107"/>
    </row>
  </sheetData>
  <mergeCells count="6">
    <mergeCell ref="A1:H1"/>
    <mergeCell ref="A2:H2"/>
    <mergeCell ref="A3:H3"/>
    <mergeCell ref="A4:A5"/>
    <mergeCell ref="C4:H4"/>
    <mergeCell ref="B4:B5"/>
  </mergeCells>
  <printOptions horizontalCentered="1"/>
  <pageMargins left="0.59055118110236227" right="0.31496062992125984" top="0.62992125984251968" bottom="0.11811023622047245" header="0.31496062992125984" footer="0.31496062992125984"/>
  <pageSetup paperSize="9" scale="84" firstPageNumber="45" orientation="landscape" useFirstPageNumber="1" r:id="rId1"/>
  <headerFooter alignWithMargins="0">
    <oddHeader>&amp;C&amp;"Arial,обычный"&amp;10 &amp;P</oddHeader>
  </headerFooter>
  <rowBreaks count="2" manualBreakCount="2">
    <brk id="38" max="16383" man="1"/>
    <brk id="70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I119"/>
  <sheetViews>
    <sheetView zoomScaleNormal="100" zoomScaleSheetLayoutView="70" workbookViewId="0">
      <selection sqref="A1:H1"/>
    </sheetView>
  </sheetViews>
  <sheetFormatPr defaultColWidth="9.140625" defaultRowHeight="14.25" x14ac:dyDescent="0.2"/>
  <cols>
    <col min="1" max="1" width="40.28515625" style="5" customWidth="1"/>
    <col min="2" max="2" width="13" style="5" customWidth="1"/>
    <col min="3" max="3" width="15.5703125" style="5" customWidth="1"/>
    <col min="4" max="4" width="14.5703125" style="5" customWidth="1"/>
    <col min="5" max="5" width="12.28515625" style="5" customWidth="1"/>
    <col min="6" max="6" width="15.140625" style="5" customWidth="1"/>
    <col min="7" max="7" width="10" style="5" customWidth="1"/>
    <col min="8" max="8" width="12.85546875" style="5" customWidth="1"/>
    <col min="9" max="16384" width="9.140625" style="9"/>
  </cols>
  <sheetData>
    <row r="1" spans="1:8" ht="14.1" customHeight="1" x14ac:dyDescent="0.25">
      <c r="A1" s="577" t="s">
        <v>281</v>
      </c>
      <c r="B1" s="577"/>
      <c r="C1" s="577"/>
      <c r="D1" s="577"/>
      <c r="E1" s="577"/>
      <c r="F1" s="577"/>
      <c r="G1" s="577"/>
      <c r="H1" s="577"/>
    </row>
    <row r="2" spans="1:8" ht="14.1" customHeight="1" x14ac:dyDescent="0.25">
      <c r="A2" s="577" t="s">
        <v>358</v>
      </c>
      <c r="B2" s="577"/>
      <c r="C2" s="577"/>
      <c r="D2" s="577"/>
      <c r="E2" s="577"/>
      <c r="F2" s="577"/>
      <c r="G2" s="577"/>
      <c r="H2" s="577"/>
    </row>
    <row r="3" spans="1:8" ht="15.75" customHeight="1" x14ac:dyDescent="0.25">
      <c r="A3" s="577" t="s">
        <v>329</v>
      </c>
      <c r="B3" s="577"/>
      <c r="C3" s="577" t="s">
        <v>193</v>
      </c>
      <c r="D3" s="577" t="s">
        <v>142</v>
      </c>
      <c r="E3" s="577"/>
      <c r="F3" s="577"/>
      <c r="G3" s="577"/>
      <c r="H3" s="577"/>
    </row>
    <row r="4" spans="1:8" s="262" customFormat="1" ht="12.95" customHeight="1" x14ac:dyDescent="0.25">
      <c r="A4" s="578"/>
      <c r="B4" s="580" t="s">
        <v>323</v>
      </c>
      <c r="C4" s="578" t="s">
        <v>328</v>
      </c>
      <c r="D4" s="578"/>
      <c r="E4" s="578"/>
      <c r="F4" s="578"/>
      <c r="G4" s="578"/>
      <c r="H4" s="578"/>
    </row>
    <row r="5" spans="1:8" ht="65.25" customHeight="1" x14ac:dyDescent="0.2">
      <c r="A5" s="579"/>
      <c r="B5" s="581"/>
      <c r="C5" s="254" t="s">
        <v>189</v>
      </c>
      <c r="D5" s="254" t="s">
        <v>300</v>
      </c>
      <c r="E5" s="254" t="s">
        <v>191</v>
      </c>
      <c r="F5" s="254" t="s">
        <v>143</v>
      </c>
      <c r="G5" s="254" t="s">
        <v>149</v>
      </c>
      <c r="H5" s="254" t="s">
        <v>192</v>
      </c>
    </row>
    <row r="6" spans="1:8" s="8" customFormat="1" ht="14.1" customHeight="1" x14ac:dyDescent="0.25">
      <c r="A6" s="234" t="s">
        <v>13</v>
      </c>
      <c r="B6" s="109">
        <v>48.761000000000003</v>
      </c>
      <c r="C6" s="108">
        <v>24.986000000000001</v>
      </c>
      <c r="D6" s="108">
        <v>10.32</v>
      </c>
      <c r="E6" s="109">
        <v>2.2890000000000001</v>
      </c>
      <c r="F6" s="109">
        <v>1.91</v>
      </c>
      <c r="G6" s="345">
        <v>2.7480000000000002</v>
      </c>
      <c r="H6" s="108">
        <v>0.27300000000000002</v>
      </c>
    </row>
    <row r="7" spans="1:8" s="8" customFormat="1" ht="14.1" customHeight="1" x14ac:dyDescent="0.25">
      <c r="A7" s="201" t="s">
        <v>14</v>
      </c>
      <c r="B7" s="109">
        <v>43.667999999999999</v>
      </c>
      <c r="C7" s="108">
        <v>21.024999999999999</v>
      </c>
      <c r="D7" s="108">
        <v>13.180999999999999</v>
      </c>
      <c r="E7" s="109">
        <v>1.617</v>
      </c>
      <c r="F7" s="109">
        <v>0.97</v>
      </c>
      <c r="G7" s="345">
        <v>1.752</v>
      </c>
      <c r="H7" s="108">
        <v>0.108</v>
      </c>
    </row>
    <row r="8" spans="1:8" ht="14.1" customHeight="1" x14ac:dyDescent="0.2">
      <c r="A8" s="202" t="s">
        <v>15</v>
      </c>
      <c r="B8" s="112">
        <v>29.103000000000002</v>
      </c>
      <c r="C8" s="111">
        <v>18.655999999999999</v>
      </c>
      <c r="D8" s="111">
        <v>3.7309999999999999</v>
      </c>
      <c r="E8" s="112">
        <v>0.746</v>
      </c>
      <c r="F8" s="112">
        <v>2.2389999999999999</v>
      </c>
      <c r="G8" s="346">
        <v>0.746</v>
      </c>
      <c r="H8" s="111">
        <v>0</v>
      </c>
    </row>
    <row r="9" spans="1:8" ht="14.1" customHeight="1" x14ac:dyDescent="0.2">
      <c r="A9" s="202" t="s">
        <v>16</v>
      </c>
      <c r="B9" s="112">
        <v>36.421999999999997</v>
      </c>
      <c r="C9" s="111">
        <v>11.813000000000001</v>
      </c>
      <c r="D9" s="111">
        <v>7.875</v>
      </c>
      <c r="E9" s="112">
        <v>8.86</v>
      </c>
      <c r="F9" s="112">
        <v>0.98399999999999999</v>
      </c>
      <c r="G9" s="346">
        <v>1.9690000000000001</v>
      </c>
      <c r="H9" s="111">
        <v>0</v>
      </c>
    </row>
    <row r="10" spans="1:8" ht="14.1" customHeight="1" x14ac:dyDescent="0.2">
      <c r="A10" s="202" t="s">
        <v>17</v>
      </c>
      <c r="B10" s="112">
        <v>50.892000000000003</v>
      </c>
      <c r="C10" s="111">
        <v>32.465000000000003</v>
      </c>
      <c r="D10" s="111">
        <v>10.529</v>
      </c>
      <c r="E10" s="112">
        <v>2.6320000000000001</v>
      </c>
      <c r="F10" s="112">
        <v>1.7549999999999999</v>
      </c>
      <c r="G10" s="346">
        <v>2.6320000000000001</v>
      </c>
      <c r="H10" s="111">
        <v>0</v>
      </c>
    </row>
    <row r="11" spans="1:8" ht="14.1" customHeight="1" x14ac:dyDescent="0.2">
      <c r="A11" s="202" t="s">
        <v>18</v>
      </c>
      <c r="B11" s="112">
        <v>40.927</v>
      </c>
      <c r="C11" s="111">
        <v>20.716000000000001</v>
      </c>
      <c r="D11" s="111">
        <v>10.105</v>
      </c>
      <c r="E11" s="112">
        <v>0</v>
      </c>
      <c r="F11" s="112">
        <v>1.516</v>
      </c>
      <c r="G11" s="346">
        <v>0.505</v>
      </c>
      <c r="H11" s="111">
        <v>0.505</v>
      </c>
    </row>
    <row r="12" spans="1:8" ht="14.1" customHeight="1" x14ac:dyDescent="0.2">
      <c r="A12" s="202" t="s">
        <v>19</v>
      </c>
      <c r="B12" s="112">
        <v>48.761000000000003</v>
      </c>
      <c r="C12" s="111">
        <v>19.504999999999999</v>
      </c>
      <c r="D12" s="111">
        <v>15.847</v>
      </c>
      <c r="E12" s="112">
        <v>0</v>
      </c>
      <c r="F12" s="112">
        <v>0</v>
      </c>
      <c r="G12" s="346">
        <v>3.657</v>
      </c>
      <c r="H12" s="111">
        <v>0</v>
      </c>
    </row>
    <row r="13" spans="1:8" ht="14.1" customHeight="1" x14ac:dyDescent="0.2">
      <c r="A13" s="202" t="s">
        <v>20</v>
      </c>
      <c r="B13" s="112">
        <v>38.792000000000002</v>
      </c>
      <c r="C13" s="111">
        <v>9.6980000000000004</v>
      </c>
      <c r="D13" s="111">
        <v>16.163</v>
      </c>
      <c r="E13" s="112">
        <v>3.2330000000000001</v>
      </c>
      <c r="F13" s="112">
        <v>3.2330000000000001</v>
      </c>
      <c r="G13" s="346">
        <v>2.1549999999999998</v>
      </c>
      <c r="H13" s="111">
        <v>0</v>
      </c>
    </row>
    <row r="14" spans="1:8" ht="14.1" customHeight="1" x14ac:dyDescent="0.2">
      <c r="A14" s="203" t="s">
        <v>21</v>
      </c>
      <c r="B14" s="112">
        <v>73.463999999999999</v>
      </c>
      <c r="C14" s="111">
        <v>47.837000000000003</v>
      </c>
      <c r="D14" s="111">
        <v>6.8339999999999996</v>
      </c>
      <c r="E14" s="112">
        <v>1.708</v>
      </c>
      <c r="F14" s="112">
        <v>1.708</v>
      </c>
      <c r="G14" s="346">
        <v>1.708</v>
      </c>
      <c r="H14" s="111">
        <v>0</v>
      </c>
    </row>
    <row r="15" spans="1:8" ht="14.1" customHeight="1" x14ac:dyDescent="0.2">
      <c r="A15" s="202" t="s">
        <v>22</v>
      </c>
      <c r="B15" s="112">
        <v>43.384999999999998</v>
      </c>
      <c r="C15" s="111">
        <v>15.872999999999999</v>
      </c>
      <c r="D15" s="111">
        <v>6.3490000000000002</v>
      </c>
      <c r="E15" s="112">
        <v>5.2910000000000004</v>
      </c>
      <c r="F15" s="112">
        <v>2.1160000000000001</v>
      </c>
      <c r="G15" s="346">
        <v>6.3490000000000002</v>
      </c>
      <c r="H15" s="111">
        <v>0</v>
      </c>
    </row>
    <row r="16" spans="1:8" ht="14.1" customHeight="1" x14ac:dyDescent="0.2">
      <c r="A16" s="202" t="s">
        <v>23</v>
      </c>
      <c r="B16" s="112">
        <v>28.805</v>
      </c>
      <c r="C16" s="111">
        <v>14.898999999999999</v>
      </c>
      <c r="D16" s="111">
        <v>3.9729999999999999</v>
      </c>
      <c r="E16" s="112">
        <v>3.9729999999999999</v>
      </c>
      <c r="F16" s="112">
        <v>0</v>
      </c>
      <c r="G16" s="346">
        <v>1.9870000000000001</v>
      </c>
      <c r="H16" s="111">
        <v>0</v>
      </c>
    </row>
    <row r="17" spans="1:8" ht="14.1" customHeight="1" x14ac:dyDescent="0.2">
      <c r="A17" s="202" t="s">
        <v>24</v>
      </c>
      <c r="B17" s="112">
        <v>39.875999999999998</v>
      </c>
      <c r="C17" s="111">
        <v>21.42</v>
      </c>
      <c r="D17" s="111">
        <v>9.43</v>
      </c>
      <c r="E17" s="112">
        <v>2.29</v>
      </c>
      <c r="F17" s="112">
        <v>0.80800000000000005</v>
      </c>
      <c r="G17" s="346">
        <v>1.8859999999999999</v>
      </c>
      <c r="H17" s="111">
        <v>0.26900000000000002</v>
      </c>
    </row>
    <row r="18" spans="1:8" ht="14.1" customHeight="1" x14ac:dyDescent="0.2">
      <c r="A18" s="202" t="s">
        <v>25</v>
      </c>
      <c r="B18" s="112">
        <v>52.265000000000001</v>
      </c>
      <c r="C18" s="111">
        <v>34.298999999999999</v>
      </c>
      <c r="D18" s="111">
        <v>3.2669999999999999</v>
      </c>
      <c r="E18" s="112">
        <v>0</v>
      </c>
      <c r="F18" s="112">
        <v>0</v>
      </c>
      <c r="G18" s="346">
        <v>4.9000000000000004</v>
      </c>
      <c r="H18" s="111">
        <v>0</v>
      </c>
    </row>
    <row r="19" spans="1:8" ht="14.1" customHeight="1" x14ac:dyDescent="0.2">
      <c r="A19" s="203" t="s">
        <v>26</v>
      </c>
      <c r="B19" s="112">
        <v>48.712000000000003</v>
      </c>
      <c r="C19" s="111">
        <v>25.414999999999999</v>
      </c>
      <c r="D19" s="111">
        <v>12.708</v>
      </c>
      <c r="E19" s="112">
        <v>0</v>
      </c>
      <c r="F19" s="112">
        <v>0</v>
      </c>
      <c r="G19" s="346">
        <v>3.177</v>
      </c>
      <c r="H19" s="111">
        <v>0</v>
      </c>
    </row>
    <row r="20" spans="1:8" ht="14.1" customHeight="1" x14ac:dyDescent="0.2">
      <c r="A20" s="202" t="s">
        <v>27</v>
      </c>
      <c r="B20" s="112">
        <v>40.435000000000002</v>
      </c>
      <c r="C20" s="111">
        <v>23.702999999999999</v>
      </c>
      <c r="D20" s="111">
        <v>1.3939999999999999</v>
      </c>
      <c r="E20" s="112">
        <v>1.3939999999999999</v>
      </c>
      <c r="F20" s="112">
        <v>2.7890000000000001</v>
      </c>
      <c r="G20" s="346">
        <v>4.1829999999999998</v>
      </c>
      <c r="H20" s="111">
        <v>0</v>
      </c>
    </row>
    <row r="21" spans="1:8" ht="14.1" customHeight="1" x14ac:dyDescent="0.2">
      <c r="A21" s="202" t="s">
        <v>28</v>
      </c>
      <c r="B21" s="112">
        <v>38.06</v>
      </c>
      <c r="C21" s="111">
        <v>12.686999999999999</v>
      </c>
      <c r="D21" s="111">
        <v>8.8810000000000002</v>
      </c>
      <c r="E21" s="112">
        <v>1.2689999999999999</v>
      </c>
      <c r="F21" s="112">
        <v>1.2689999999999999</v>
      </c>
      <c r="G21" s="346">
        <v>6.343</v>
      </c>
      <c r="H21" s="111">
        <v>0</v>
      </c>
    </row>
    <row r="22" spans="1:8" ht="14.1" customHeight="1" x14ac:dyDescent="0.2">
      <c r="A22" s="202" t="s">
        <v>29</v>
      </c>
      <c r="B22" s="112">
        <v>41.686999999999998</v>
      </c>
      <c r="C22" s="111">
        <v>18.527999999999999</v>
      </c>
      <c r="D22" s="111">
        <v>12.042999999999999</v>
      </c>
      <c r="E22" s="112">
        <v>2.7789999999999999</v>
      </c>
      <c r="F22" s="112">
        <v>0.92600000000000005</v>
      </c>
      <c r="G22" s="346">
        <v>1.853</v>
      </c>
      <c r="H22" s="111">
        <v>0.92600000000000005</v>
      </c>
    </row>
    <row r="23" spans="1:8" ht="14.1" customHeight="1" x14ac:dyDescent="0.2">
      <c r="A23" s="202" t="s">
        <v>30</v>
      </c>
      <c r="B23" s="112">
        <v>47.604999999999997</v>
      </c>
      <c r="C23" s="111">
        <v>27.329000000000001</v>
      </c>
      <c r="D23" s="111">
        <v>9.6969999999999992</v>
      </c>
      <c r="E23" s="112">
        <v>0</v>
      </c>
      <c r="F23" s="112">
        <v>0</v>
      </c>
      <c r="G23" s="346">
        <v>2.645</v>
      </c>
      <c r="H23" s="111">
        <v>0</v>
      </c>
    </row>
    <row r="24" spans="1:8" ht="14.1" customHeight="1" x14ac:dyDescent="0.2">
      <c r="A24" s="202" t="s">
        <v>31</v>
      </c>
      <c r="B24" s="112">
        <v>32.503999999999998</v>
      </c>
      <c r="C24" s="111">
        <v>11.42</v>
      </c>
      <c r="D24" s="111">
        <v>9.6630000000000003</v>
      </c>
      <c r="E24" s="112">
        <v>0.878</v>
      </c>
      <c r="F24" s="112">
        <v>2.6349999999999998</v>
      </c>
      <c r="G24" s="346">
        <v>0</v>
      </c>
      <c r="H24" s="111">
        <v>0</v>
      </c>
    </row>
    <row r="25" spans="1:8" ht="14.1" customHeight="1" x14ac:dyDescent="0.2">
      <c r="A25" s="202" t="s">
        <v>32</v>
      </c>
      <c r="B25" s="112">
        <v>47.92</v>
      </c>
      <c r="C25" s="111">
        <v>21.257000000000001</v>
      </c>
      <c r="D25" s="111">
        <v>20.367999999999999</v>
      </c>
      <c r="E25" s="112">
        <v>0.81499999999999995</v>
      </c>
      <c r="F25" s="112">
        <v>0.59299999999999997</v>
      </c>
      <c r="G25" s="346">
        <v>0.81499999999999995</v>
      </c>
      <c r="H25" s="111">
        <v>0</v>
      </c>
    </row>
    <row r="26" spans="1:8" s="8" customFormat="1" ht="14.1" customHeight="1" x14ac:dyDescent="0.25">
      <c r="A26" s="204" t="s">
        <v>33</v>
      </c>
      <c r="B26" s="109">
        <v>43.805999999999997</v>
      </c>
      <c r="C26" s="108">
        <v>26.077000000000002</v>
      </c>
      <c r="D26" s="108">
        <v>7.83</v>
      </c>
      <c r="E26" s="109">
        <v>2.2160000000000002</v>
      </c>
      <c r="F26" s="109">
        <v>1.9950000000000001</v>
      </c>
      <c r="G26" s="345">
        <v>1.625</v>
      </c>
      <c r="H26" s="108">
        <v>0.14799999999999999</v>
      </c>
    </row>
    <row r="27" spans="1:8" ht="14.1" customHeight="1" x14ac:dyDescent="0.2">
      <c r="A27" s="202" t="s">
        <v>34</v>
      </c>
      <c r="B27" s="112">
        <v>46.509</v>
      </c>
      <c r="C27" s="111">
        <v>30.41</v>
      </c>
      <c r="D27" s="111">
        <v>0</v>
      </c>
      <c r="E27" s="112">
        <v>0</v>
      </c>
      <c r="F27" s="112">
        <v>5.3659999999999997</v>
      </c>
      <c r="G27" s="346">
        <v>5.3659999999999997</v>
      </c>
      <c r="H27" s="111">
        <v>0</v>
      </c>
    </row>
    <row r="28" spans="1:8" ht="14.1" customHeight="1" x14ac:dyDescent="0.2">
      <c r="A28" s="202" t="s">
        <v>35</v>
      </c>
      <c r="B28" s="112">
        <v>50.137999999999998</v>
      </c>
      <c r="C28" s="92">
        <v>23.815999999999999</v>
      </c>
      <c r="D28" s="92">
        <v>12.535</v>
      </c>
      <c r="E28" s="113">
        <v>0</v>
      </c>
      <c r="F28" s="113">
        <v>6.2670000000000003</v>
      </c>
      <c r="G28" s="348">
        <v>6.2670000000000003</v>
      </c>
      <c r="H28" s="92">
        <v>0</v>
      </c>
    </row>
    <row r="29" spans="1:8" ht="14.1" customHeight="1" x14ac:dyDescent="0.2">
      <c r="A29" s="202" t="s">
        <v>36</v>
      </c>
      <c r="B29" s="112">
        <v>56.98</v>
      </c>
      <c r="C29" s="111">
        <v>36.698999999999998</v>
      </c>
      <c r="D29" s="111">
        <v>5.7949999999999999</v>
      </c>
      <c r="E29" s="112">
        <v>1.9319999999999999</v>
      </c>
      <c r="F29" s="112">
        <v>0</v>
      </c>
      <c r="G29" s="346">
        <v>1.9319999999999999</v>
      </c>
      <c r="H29" s="111">
        <v>0</v>
      </c>
    </row>
    <row r="30" spans="1:8" ht="14.1" customHeight="1" x14ac:dyDescent="0.2">
      <c r="A30" s="202" t="s">
        <v>37</v>
      </c>
      <c r="B30" s="112">
        <v>17.094000000000001</v>
      </c>
      <c r="C30" s="111">
        <v>17.094000000000001</v>
      </c>
      <c r="D30" s="111">
        <v>0</v>
      </c>
      <c r="E30" s="112">
        <v>0</v>
      </c>
      <c r="F30" s="112">
        <v>0</v>
      </c>
      <c r="G30" s="346">
        <v>0</v>
      </c>
      <c r="H30" s="111">
        <v>0</v>
      </c>
    </row>
    <row r="31" spans="1:8" ht="14.1" customHeight="1" x14ac:dyDescent="0.2">
      <c r="A31" s="205" t="s">
        <v>287</v>
      </c>
      <c r="B31" s="112">
        <v>59.381999999999998</v>
      </c>
      <c r="C31" s="111">
        <v>37.881999999999998</v>
      </c>
      <c r="D31" s="111">
        <v>6.1429999999999998</v>
      </c>
      <c r="E31" s="112">
        <v>2.048</v>
      </c>
      <c r="F31" s="112">
        <v>0</v>
      </c>
      <c r="G31" s="346">
        <v>2.048</v>
      </c>
      <c r="H31" s="111">
        <v>0</v>
      </c>
    </row>
    <row r="32" spans="1:8" ht="14.1" customHeight="1" x14ac:dyDescent="0.2">
      <c r="A32" s="202" t="s">
        <v>38</v>
      </c>
      <c r="B32" s="112">
        <v>58.579000000000001</v>
      </c>
      <c r="C32" s="111">
        <v>41.715000000000003</v>
      </c>
      <c r="D32" s="111">
        <v>5.3250000000000002</v>
      </c>
      <c r="E32" s="112">
        <v>0.88800000000000001</v>
      </c>
      <c r="F32" s="112">
        <v>0.88800000000000001</v>
      </c>
      <c r="G32" s="346">
        <v>3.55</v>
      </c>
      <c r="H32" s="111">
        <v>0.88800000000000001</v>
      </c>
    </row>
    <row r="33" spans="1:8" ht="14.1" customHeight="1" x14ac:dyDescent="0.2">
      <c r="A33" s="202" t="s">
        <v>39</v>
      </c>
      <c r="B33" s="112">
        <v>59.183999999999997</v>
      </c>
      <c r="C33" s="111">
        <v>31.706</v>
      </c>
      <c r="D33" s="111">
        <v>13.739000000000001</v>
      </c>
      <c r="E33" s="112">
        <v>4.2270000000000003</v>
      </c>
      <c r="F33" s="112">
        <v>3.1709999999999998</v>
      </c>
      <c r="G33" s="346">
        <v>1.0569999999999999</v>
      </c>
      <c r="H33" s="111">
        <v>1.0569999999999999</v>
      </c>
    </row>
    <row r="34" spans="1:8" ht="14.1" customHeight="1" x14ac:dyDescent="0.2">
      <c r="A34" s="202" t="s">
        <v>40</v>
      </c>
      <c r="B34" s="112">
        <v>29.376999999999999</v>
      </c>
      <c r="C34" s="111">
        <v>13.954000000000001</v>
      </c>
      <c r="D34" s="111">
        <v>6.61</v>
      </c>
      <c r="E34" s="112">
        <v>0.73399999999999999</v>
      </c>
      <c r="F34" s="112">
        <v>4.407</v>
      </c>
      <c r="G34" s="346">
        <v>1.4690000000000001</v>
      </c>
      <c r="H34" s="111">
        <v>0</v>
      </c>
    </row>
    <row r="35" spans="1:8" ht="14.1" customHeight="1" x14ac:dyDescent="0.2">
      <c r="A35" s="202" t="s">
        <v>41</v>
      </c>
      <c r="B35" s="112">
        <v>50.107999999999997</v>
      </c>
      <c r="C35" s="111">
        <v>32.423000000000002</v>
      </c>
      <c r="D35" s="111">
        <v>5.8949999999999996</v>
      </c>
      <c r="E35" s="112">
        <v>0</v>
      </c>
      <c r="F35" s="112">
        <v>0</v>
      </c>
      <c r="G35" s="346">
        <v>1.474</v>
      </c>
      <c r="H35" s="111">
        <v>0</v>
      </c>
    </row>
    <row r="36" spans="1:8" ht="14.1" customHeight="1" x14ac:dyDescent="0.2">
      <c r="A36" s="202" t="s">
        <v>42</v>
      </c>
      <c r="B36" s="112">
        <v>52.445999999999998</v>
      </c>
      <c r="C36" s="111">
        <v>29.969000000000001</v>
      </c>
      <c r="D36" s="111">
        <v>5.6189999999999998</v>
      </c>
      <c r="E36" s="112">
        <v>3.746</v>
      </c>
      <c r="F36" s="112">
        <v>1.873</v>
      </c>
      <c r="G36" s="346">
        <v>1.873</v>
      </c>
      <c r="H36" s="111">
        <v>0</v>
      </c>
    </row>
    <row r="37" spans="1:8" ht="14.1" customHeight="1" x14ac:dyDescent="0.2">
      <c r="A37" s="202" t="s">
        <v>43</v>
      </c>
      <c r="B37" s="112">
        <v>56.055</v>
      </c>
      <c r="C37" s="111">
        <v>29.896000000000001</v>
      </c>
      <c r="D37" s="111">
        <v>11.211</v>
      </c>
      <c r="E37" s="112">
        <v>5.6050000000000004</v>
      </c>
      <c r="F37" s="112">
        <v>9.3420000000000005</v>
      </c>
      <c r="G37" s="346">
        <v>0</v>
      </c>
      <c r="H37" s="111">
        <v>0</v>
      </c>
    </row>
    <row r="38" spans="1:8" s="8" customFormat="1" ht="14.1" customHeight="1" x14ac:dyDescent="0.25">
      <c r="A38" s="202" t="s">
        <v>44</v>
      </c>
      <c r="B38" s="112">
        <v>35.9</v>
      </c>
      <c r="C38" s="111">
        <v>21.640999999999998</v>
      </c>
      <c r="D38" s="111">
        <v>8.2200000000000006</v>
      </c>
      <c r="E38" s="112">
        <v>2.8519999999999999</v>
      </c>
      <c r="F38" s="112">
        <v>0.503</v>
      </c>
      <c r="G38" s="346">
        <v>0.503</v>
      </c>
      <c r="H38" s="111">
        <v>0</v>
      </c>
    </row>
    <row r="39" spans="1:8" ht="14.1" customHeight="1" x14ac:dyDescent="0.2">
      <c r="A39" s="206" t="s">
        <v>45</v>
      </c>
      <c r="B39" s="109">
        <v>42.786999999999999</v>
      </c>
      <c r="C39" s="108">
        <v>23.477</v>
      </c>
      <c r="D39" s="108">
        <v>6.9880000000000004</v>
      </c>
      <c r="E39" s="109">
        <v>2.452</v>
      </c>
      <c r="F39" s="109">
        <v>2.452</v>
      </c>
      <c r="G39" s="345">
        <v>1.839</v>
      </c>
      <c r="H39" s="108">
        <v>0.245</v>
      </c>
    </row>
    <row r="40" spans="1:8" ht="14.1" customHeight="1" x14ac:dyDescent="0.2">
      <c r="A40" s="202" t="s">
        <v>46</v>
      </c>
      <c r="B40" s="112">
        <v>47.631999999999998</v>
      </c>
      <c r="C40" s="111">
        <v>33.341999999999999</v>
      </c>
      <c r="D40" s="111">
        <v>4.7629999999999999</v>
      </c>
      <c r="E40" s="112">
        <v>7.1449999999999996</v>
      </c>
      <c r="F40" s="112">
        <v>0</v>
      </c>
      <c r="G40" s="346">
        <v>0</v>
      </c>
      <c r="H40" s="111">
        <v>0</v>
      </c>
    </row>
    <row r="41" spans="1:8" ht="14.1" customHeight="1" x14ac:dyDescent="0.2">
      <c r="A41" s="202" t="s">
        <v>47</v>
      </c>
      <c r="B41" s="112">
        <v>14.215</v>
      </c>
      <c r="C41" s="111">
        <v>7.1070000000000002</v>
      </c>
      <c r="D41" s="111">
        <v>3.5539999999999998</v>
      </c>
      <c r="E41" s="112">
        <v>0</v>
      </c>
      <c r="F41" s="112">
        <v>0</v>
      </c>
      <c r="G41" s="346">
        <v>3.5539999999999998</v>
      </c>
      <c r="H41" s="111">
        <v>0</v>
      </c>
    </row>
    <row r="42" spans="1:8" ht="14.1" customHeight="1" x14ac:dyDescent="0.2">
      <c r="A42" s="202" t="s">
        <v>202</v>
      </c>
      <c r="B42" s="112">
        <v>46.093000000000004</v>
      </c>
      <c r="C42" s="111">
        <v>20.716000000000001</v>
      </c>
      <c r="D42" s="111">
        <v>7.2510000000000003</v>
      </c>
      <c r="E42" s="112">
        <v>8.8040000000000003</v>
      </c>
      <c r="F42" s="112">
        <v>0</v>
      </c>
      <c r="G42" s="346">
        <v>2.589</v>
      </c>
      <c r="H42" s="111">
        <v>0</v>
      </c>
    </row>
    <row r="43" spans="1:8" ht="14.1" customHeight="1" x14ac:dyDescent="0.2">
      <c r="A43" s="202" t="s">
        <v>48</v>
      </c>
      <c r="B43" s="112">
        <v>37.116999999999997</v>
      </c>
      <c r="C43" s="111">
        <v>21.071000000000002</v>
      </c>
      <c r="D43" s="111">
        <v>5.3490000000000002</v>
      </c>
      <c r="E43" s="112">
        <v>1.135</v>
      </c>
      <c r="F43" s="112">
        <v>1.9450000000000001</v>
      </c>
      <c r="G43" s="346">
        <v>1.621</v>
      </c>
      <c r="H43" s="111">
        <v>0.16200000000000001</v>
      </c>
    </row>
    <row r="44" spans="1:8" ht="14.1" customHeight="1" x14ac:dyDescent="0.2">
      <c r="A44" s="202" t="s">
        <v>49</v>
      </c>
      <c r="B44" s="112">
        <v>64.454999999999998</v>
      </c>
      <c r="C44" s="111">
        <v>34.912999999999997</v>
      </c>
      <c r="D44" s="111">
        <v>13.428000000000001</v>
      </c>
      <c r="E44" s="112">
        <v>0.89500000000000002</v>
      </c>
      <c r="F44" s="112">
        <v>4.476</v>
      </c>
      <c r="G44" s="346">
        <v>0.89500000000000002</v>
      </c>
      <c r="H44" s="111">
        <v>0</v>
      </c>
    </row>
    <row r="45" spans="1:8" ht="14.1" customHeight="1" x14ac:dyDescent="0.2">
      <c r="A45" s="202" t="s">
        <v>50</v>
      </c>
      <c r="B45" s="112">
        <v>40.694000000000003</v>
      </c>
      <c r="C45" s="111">
        <v>20.581</v>
      </c>
      <c r="D45" s="111">
        <v>10.29</v>
      </c>
      <c r="E45" s="112">
        <v>1.403</v>
      </c>
      <c r="F45" s="112">
        <v>0.46800000000000003</v>
      </c>
      <c r="G45" s="346">
        <v>3.274</v>
      </c>
      <c r="H45" s="111">
        <v>0.46800000000000003</v>
      </c>
    </row>
    <row r="46" spans="1:8" ht="14.1" customHeight="1" x14ac:dyDescent="0.2">
      <c r="A46" s="202" t="s">
        <v>51</v>
      </c>
      <c r="B46" s="112">
        <v>47.701000000000001</v>
      </c>
      <c r="C46" s="111">
        <v>28.568000000000001</v>
      </c>
      <c r="D46" s="111">
        <v>5.766</v>
      </c>
      <c r="E46" s="112">
        <v>2.359</v>
      </c>
      <c r="F46" s="112">
        <v>5.5039999999999996</v>
      </c>
      <c r="G46" s="346">
        <v>1.048</v>
      </c>
      <c r="H46" s="111">
        <v>0.52400000000000002</v>
      </c>
    </row>
    <row r="47" spans="1:8" ht="14.1" customHeight="1" x14ac:dyDescent="0.2">
      <c r="A47" s="202" t="s">
        <v>204</v>
      </c>
      <c r="B47" s="113">
        <v>34.612000000000002</v>
      </c>
      <c r="C47" s="111">
        <v>11.537000000000001</v>
      </c>
      <c r="D47" s="111">
        <v>11.537000000000001</v>
      </c>
      <c r="E47" s="112">
        <v>0</v>
      </c>
      <c r="F47" s="112">
        <v>2.3069999999999999</v>
      </c>
      <c r="G47" s="347">
        <v>4.6150000000000002</v>
      </c>
      <c r="H47" s="111">
        <v>0</v>
      </c>
    </row>
    <row r="48" spans="1:8" ht="14.1" customHeight="1" x14ac:dyDescent="0.2">
      <c r="A48" s="207" t="s">
        <v>52</v>
      </c>
      <c r="B48" s="109">
        <v>63.44</v>
      </c>
      <c r="C48" s="108">
        <v>37.420999999999999</v>
      </c>
      <c r="D48" s="108">
        <v>11.766999999999999</v>
      </c>
      <c r="E48" s="109">
        <v>2.4849999999999999</v>
      </c>
      <c r="F48" s="109">
        <v>1.754</v>
      </c>
      <c r="G48" s="345">
        <v>1.681</v>
      </c>
      <c r="H48" s="108">
        <v>0.29199999999999998</v>
      </c>
    </row>
    <row r="49" spans="1:8" ht="14.1" customHeight="1" x14ac:dyDescent="0.2">
      <c r="A49" s="202" t="s">
        <v>53</v>
      </c>
      <c r="B49" s="112">
        <v>76.902000000000001</v>
      </c>
      <c r="C49" s="111">
        <v>48.683</v>
      </c>
      <c r="D49" s="111">
        <v>13.786</v>
      </c>
      <c r="E49" s="112">
        <v>2.585</v>
      </c>
      <c r="F49" s="112">
        <v>2.585</v>
      </c>
      <c r="G49" s="346">
        <v>3.016</v>
      </c>
      <c r="H49" s="111">
        <v>0.215</v>
      </c>
    </row>
    <row r="50" spans="1:8" ht="14.1" customHeight="1" x14ac:dyDescent="0.2">
      <c r="A50" s="202" t="s">
        <v>54</v>
      </c>
      <c r="B50" s="113">
        <v>59.932000000000002</v>
      </c>
      <c r="C50" s="111">
        <v>28.132000000000001</v>
      </c>
      <c r="D50" s="111">
        <v>14.677</v>
      </c>
      <c r="E50" s="112">
        <v>3.669</v>
      </c>
      <c r="F50" s="112">
        <v>1.2230000000000001</v>
      </c>
      <c r="G50" s="346">
        <v>0</v>
      </c>
      <c r="H50" s="111">
        <v>0</v>
      </c>
    </row>
    <row r="51" spans="1:8" ht="14.1" customHeight="1" x14ac:dyDescent="0.2">
      <c r="A51" s="202" t="s">
        <v>55</v>
      </c>
      <c r="B51" s="112">
        <v>49.445999999999998</v>
      </c>
      <c r="C51" s="111">
        <v>25.712</v>
      </c>
      <c r="D51" s="111">
        <v>9.8889999999999993</v>
      </c>
      <c r="E51" s="112">
        <v>3.956</v>
      </c>
      <c r="F51" s="112">
        <v>3.956</v>
      </c>
      <c r="G51" s="346">
        <v>0.98899999999999999</v>
      </c>
      <c r="H51" s="111">
        <v>0</v>
      </c>
    </row>
    <row r="52" spans="1:8" ht="14.1" customHeight="1" x14ac:dyDescent="0.2">
      <c r="A52" s="202" t="s">
        <v>56</v>
      </c>
      <c r="B52" s="112">
        <v>53.588999999999999</v>
      </c>
      <c r="C52" s="111">
        <v>35.725999999999999</v>
      </c>
      <c r="D52" s="111">
        <v>7.9390000000000001</v>
      </c>
      <c r="E52" s="112">
        <v>1.9850000000000001</v>
      </c>
      <c r="F52" s="112">
        <v>0</v>
      </c>
      <c r="G52" s="346">
        <v>1.9850000000000001</v>
      </c>
      <c r="H52" s="111">
        <v>0</v>
      </c>
    </row>
    <row r="53" spans="1:8" ht="14.1" customHeight="1" x14ac:dyDescent="0.2">
      <c r="A53" s="202" t="s">
        <v>57</v>
      </c>
      <c r="B53" s="112">
        <v>61.192999999999998</v>
      </c>
      <c r="C53" s="111">
        <v>46.183</v>
      </c>
      <c r="D53" s="111">
        <v>8.0820000000000007</v>
      </c>
      <c r="E53" s="112">
        <v>4.6180000000000003</v>
      </c>
      <c r="F53" s="112">
        <v>0</v>
      </c>
      <c r="G53" s="346">
        <v>0</v>
      </c>
      <c r="H53" s="111">
        <v>0</v>
      </c>
    </row>
    <row r="54" spans="1:8" s="8" customFormat="1" ht="14.1" customHeight="1" x14ac:dyDescent="0.25">
      <c r="A54" s="406" t="s">
        <v>58</v>
      </c>
      <c r="B54" s="113">
        <v>56.015999999999998</v>
      </c>
      <c r="C54" s="111">
        <v>29.516999999999999</v>
      </c>
      <c r="D54" s="111">
        <v>8.7210000000000001</v>
      </c>
      <c r="E54" s="112">
        <v>1.677</v>
      </c>
      <c r="F54" s="112">
        <v>0.33500000000000002</v>
      </c>
      <c r="G54" s="346">
        <v>0.67100000000000004</v>
      </c>
      <c r="H54" s="111">
        <v>1.006</v>
      </c>
    </row>
    <row r="55" spans="1:8" ht="14.1" customHeight="1" x14ac:dyDescent="0.2">
      <c r="A55" s="202" t="s">
        <v>59</v>
      </c>
      <c r="B55" s="113">
        <v>58.198</v>
      </c>
      <c r="C55" s="92">
        <v>32.097000000000001</v>
      </c>
      <c r="D55" s="92">
        <v>13.403</v>
      </c>
      <c r="E55" s="113">
        <v>1.764</v>
      </c>
      <c r="F55" s="112">
        <v>2.1160000000000001</v>
      </c>
      <c r="G55" s="348">
        <v>1.764</v>
      </c>
      <c r="H55" s="92">
        <v>0</v>
      </c>
    </row>
    <row r="56" spans="1:8" ht="14.1" customHeight="1" x14ac:dyDescent="0.2">
      <c r="A56" s="201" t="s">
        <v>60</v>
      </c>
      <c r="B56" s="109">
        <v>46.57</v>
      </c>
      <c r="C56" s="108">
        <v>24.036999999999999</v>
      </c>
      <c r="D56" s="108">
        <v>9.2720000000000002</v>
      </c>
      <c r="E56" s="109">
        <v>2.0640000000000001</v>
      </c>
      <c r="F56" s="109">
        <v>1.4</v>
      </c>
      <c r="G56" s="345">
        <v>3.149</v>
      </c>
      <c r="H56" s="108">
        <v>0.14000000000000001</v>
      </c>
    </row>
    <row r="57" spans="1:8" ht="14.1" customHeight="1" x14ac:dyDescent="0.2">
      <c r="A57" s="202" t="s">
        <v>61</v>
      </c>
      <c r="B57" s="112">
        <v>60.914000000000001</v>
      </c>
      <c r="C57" s="111">
        <v>31.741</v>
      </c>
      <c r="D57" s="111">
        <v>10.502000000000001</v>
      </c>
      <c r="E57" s="112">
        <v>7.0019999999999998</v>
      </c>
      <c r="F57" s="112">
        <v>2.3340000000000001</v>
      </c>
      <c r="G57" s="346">
        <v>0.7</v>
      </c>
      <c r="H57" s="111">
        <v>0.23300000000000001</v>
      </c>
    </row>
    <row r="58" spans="1:8" ht="14.1" customHeight="1" x14ac:dyDescent="0.2">
      <c r="A58" s="202" t="s">
        <v>62</v>
      </c>
      <c r="B58" s="112">
        <v>43.884999999999998</v>
      </c>
      <c r="C58" s="111">
        <v>29.257000000000001</v>
      </c>
      <c r="D58" s="111">
        <v>1.4630000000000001</v>
      </c>
      <c r="E58" s="112">
        <v>1.4630000000000001</v>
      </c>
      <c r="F58" s="112">
        <v>2.9260000000000002</v>
      </c>
      <c r="G58" s="346">
        <v>2.9260000000000002</v>
      </c>
      <c r="H58" s="111">
        <v>0</v>
      </c>
    </row>
    <row r="59" spans="1:8" ht="14.1" customHeight="1" x14ac:dyDescent="0.2">
      <c r="A59" s="202" t="s">
        <v>63</v>
      </c>
      <c r="B59" s="112">
        <v>43.177999999999997</v>
      </c>
      <c r="C59" s="111">
        <v>24.911000000000001</v>
      </c>
      <c r="D59" s="111">
        <v>8.3040000000000003</v>
      </c>
      <c r="E59" s="112">
        <v>1.661</v>
      </c>
      <c r="F59" s="112">
        <v>4.9820000000000002</v>
      </c>
      <c r="G59" s="346">
        <v>1.661</v>
      </c>
      <c r="H59" s="111">
        <v>0</v>
      </c>
    </row>
    <row r="60" spans="1:8" ht="14.1" customHeight="1" x14ac:dyDescent="0.2">
      <c r="A60" s="202" t="s">
        <v>64</v>
      </c>
      <c r="B60" s="112">
        <v>48.606000000000002</v>
      </c>
      <c r="C60" s="111">
        <v>28.931999999999999</v>
      </c>
      <c r="D60" s="111">
        <v>8.7949999999999999</v>
      </c>
      <c r="E60" s="112">
        <v>1.157</v>
      </c>
      <c r="F60" s="112">
        <v>0.23100000000000001</v>
      </c>
      <c r="G60" s="346">
        <v>3.24</v>
      </c>
      <c r="H60" s="111">
        <v>0.23100000000000001</v>
      </c>
    </row>
    <row r="61" spans="1:8" ht="14.1" customHeight="1" x14ac:dyDescent="0.2">
      <c r="A61" s="202" t="s">
        <v>65</v>
      </c>
      <c r="B61" s="112">
        <v>44.063000000000002</v>
      </c>
      <c r="C61" s="111">
        <v>19.361000000000001</v>
      </c>
      <c r="D61" s="111">
        <v>7.3440000000000003</v>
      </c>
      <c r="E61" s="112">
        <v>1.335</v>
      </c>
      <c r="F61" s="112">
        <v>1.335</v>
      </c>
      <c r="G61" s="346">
        <v>6.6760000000000002</v>
      </c>
      <c r="H61" s="111">
        <v>0</v>
      </c>
    </row>
    <row r="62" spans="1:8" ht="14.1" customHeight="1" x14ac:dyDescent="0.2">
      <c r="A62" s="202" t="s">
        <v>66</v>
      </c>
      <c r="B62" s="112">
        <v>30.306000000000001</v>
      </c>
      <c r="C62" s="111">
        <v>10.102</v>
      </c>
      <c r="D62" s="111">
        <v>5.8929999999999998</v>
      </c>
      <c r="E62" s="112">
        <v>0.84199999999999997</v>
      </c>
      <c r="F62" s="112">
        <v>3.367</v>
      </c>
      <c r="G62" s="346">
        <v>4.2089999999999996</v>
      </c>
      <c r="H62" s="111">
        <v>0</v>
      </c>
    </row>
    <row r="63" spans="1:8" ht="14.1" customHeight="1" x14ac:dyDescent="0.2">
      <c r="A63" s="202" t="s">
        <v>67</v>
      </c>
      <c r="B63" s="112">
        <v>41.787999999999997</v>
      </c>
      <c r="C63" s="111">
        <v>24.407</v>
      </c>
      <c r="D63" s="111">
        <v>6.6559999999999997</v>
      </c>
      <c r="E63" s="112">
        <v>2.589</v>
      </c>
      <c r="F63" s="112">
        <v>0</v>
      </c>
      <c r="G63" s="346">
        <v>1.4790000000000001</v>
      </c>
      <c r="H63" s="111">
        <v>0</v>
      </c>
    </row>
    <row r="64" spans="1:8" ht="14.1" customHeight="1" x14ac:dyDescent="0.2">
      <c r="A64" s="202" t="s">
        <v>68</v>
      </c>
      <c r="B64" s="112">
        <v>31.927</v>
      </c>
      <c r="C64" s="111">
        <v>11.218</v>
      </c>
      <c r="D64" s="111">
        <v>7.766</v>
      </c>
      <c r="E64" s="112">
        <v>2.589</v>
      </c>
      <c r="F64" s="112">
        <v>0</v>
      </c>
      <c r="G64" s="346">
        <v>0.86299999999999999</v>
      </c>
      <c r="H64" s="111">
        <v>0</v>
      </c>
    </row>
    <row r="65" spans="1:8" ht="14.1" customHeight="1" x14ac:dyDescent="0.2">
      <c r="A65" s="202" t="s">
        <v>69</v>
      </c>
      <c r="B65" s="112">
        <v>49.884999999999998</v>
      </c>
      <c r="C65" s="111">
        <v>23.234000000000002</v>
      </c>
      <c r="D65" s="111">
        <v>14.009</v>
      </c>
      <c r="E65" s="112">
        <v>0.34200000000000003</v>
      </c>
      <c r="F65" s="112">
        <v>1.0249999999999999</v>
      </c>
      <c r="G65" s="346">
        <v>4.4420000000000002</v>
      </c>
      <c r="H65" s="111">
        <v>0.34200000000000003</v>
      </c>
    </row>
    <row r="66" spans="1:8" ht="14.1" customHeight="1" x14ac:dyDescent="0.2">
      <c r="A66" s="202" t="s">
        <v>70</v>
      </c>
      <c r="B66" s="112">
        <v>44.372</v>
      </c>
      <c r="C66" s="111">
        <v>22.434999999999999</v>
      </c>
      <c r="D66" s="111">
        <v>7.9770000000000003</v>
      </c>
      <c r="E66" s="112">
        <v>2.4929999999999999</v>
      </c>
      <c r="F66" s="112">
        <v>1.496</v>
      </c>
      <c r="G66" s="346">
        <v>6.98</v>
      </c>
      <c r="H66" s="111">
        <v>0</v>
      </c>
    </row>
    <row r="67" spans="1:8" ht="14.1" customHeight="1" x14ac:dyDescent="0.2">
      <c r="A67" s="202" t="s">
        <v>71</v>
      </c>
      <c r="B67" s="112">
        <v>54.747999999999998</v>
      </c>
      <c r="C67" s="111">
        <v>27.853999999999999</v>
      </c>
      <c r="D67" s="111">
        <v>9.6050000000000004</v>
      </c>
      <c r="E67" s="112">
        <v>0.96</v>
      </c>
      <c r="F67" s="112">
        <v>1.921</v>
      </c>
      <c r="G67" s="346">
        <v>6.7229999999999999</v>
      </c>
      <c r="H67" s="111">
        <v>0</v>
      </c>
    </row>
    <row r="68" spans="1:8" ht="14.1" customHeight="1" x14ac:dyDescent="0.2">
      <c r="A68" s="202" t="s">
        <v>72</v>
      </c>
      <c r="B68" s="112">
        <v>41.817999999999998</v>
      </c>
      <c r="C68" s="111">
        <v>22.901</v>
      </c>
      <c r="D68" s="111">
        <v>9.625</v>
      </c>
      <c r="E68" s="112">
        <v>0</v>
      </c>
      <c r="F68" s="112">
        <v>0.996</v>
      </c>
      <c r="G68" s="346">
        <v>0.996</v>
      </c>
      <c r="H68" s="111">
        <v>0.33200000000000002</v>
      </c>
    </row>
    <row r="69" spans="1:8" s="8" customFormat="1" ht="14.1" customHeight="1" x14ac:dyDescent="0.25">
      <c r="A69" s="203" t="s">
        <v>73</v>
      </c>
      <c r="B69" s="112">
        <v>41.883000000000003</v>
      </c>
      <c r="C69" s="111">
        <v>19.968</v>
      </c>
      <c r="D69" s="111">
        <v>12.175000000000001</v>
      </c>
      <c r="E69" s="112">
        <v>0.97399999999999998</v>
      </c>
      <c r="F69" s="112">
        <v>2.9220000000000002</v>
      </c>
      <c r="G69" s="346">
        <v>3.4089999999999998</v>
      </c>
      <c r="H69" s="111">
        <v>0</v>
      </c>
    </row>
    <row r="70" spans="1:8" ht="14.1" customHeight="1" x14ac:dyDescent="0.2">
      <c r="A70" s="202" t="s">
        <v>74</v>
      </c>
      <c r="B70" s="113">
        <v>43.344000000000001</v>
      </c>
      <c r="C70" s="92">
        <v>17.157</v>
      </c>
      <c r="D70" s="92">
        <v>9.0299999999999994</v>
      </c>
      <c r="E70" s="113">
        <v>0</v>
      </c>
      <c r="F70" s="112">
        <v>0.90300000000000002</v>
      </c>
      <c r="G70" s="348">
        <v>5.4180000000000001</v>
      </c>
      <c r="H70" s="92">
        <v>0</v>
      </c>
    </row>
    <row r="71" spans="1:8" ht="14.1" customHeight="1" x14ac:dyDescent="0.2">
      <c r="A71" s="206" t="s">
        <v>75</v>
      </c>
      <c r="B71" s="109">
        <v>46.484999999999999</v>
      </c>
      <c r="C71" s="108">
        <v>20.904</v>
      </c>
      <c r="D71" s="108">
        <v>9.3550000000000004</v>
      </c>
      <c r="E71" s="109">
        <v>1.827</v>
      </c>
      <c r="F71" s="109">
        <v>2.9969999999999999</v>
      </c>
      <c r="G71" s="345">
        <v>3.6539999999999999</v>
      </c>
      <c r="H71" s="108">
        <v>0.65800000000000003</v>
      </c>
    </row>
    <row r="72" spans="1:8" ht="14.1" customHeight="1" x14ac:dyDescent="0.2">
      <c r="A72" s="202" t="s">
        <v>76</v>
      </c>
      <c r="B72" s="112">
        <v>48.962000000000003</v>
      </c>
      <c r="C72" s="111">
        <v>24.481000000000002</v>
      </c>
      <c r="D72" s="111">
        <v>6.4420000000000002</v>
      </c>
      <c r="E72" s="112">
        <v>2.577</v>
      </c>
      <c r="F72" s="112">
        <v>1.288</v>
      </c>
      <c r="G72" s="346">
        <v>2.577</v>
      </c>
      <c r="H72" s="111">
        <v>1.288</v>
      </c>
    </row>
    <row r="73" spans="1:8" ht="14.1" customHeight="1" x14ac:dyDescent="0.2">
      <c r="A73" s="202" t="s">
        <v>77</v>
      </c>
      <c r="B73" s="112">
        <v>47.183</v>
      </c>
      <c r="C73" s="111">
        <v>22.204000000000001</v>
      </c>
      <c r="D73" s="111">
        <v>8.9670000000000005</v>
      </c>
      <c r="E73" s="112">
        <v>1.708</v>
      </c>
      <c r="F73" s="112">
        <v>4.4829999999999997</v>
      </c>
      <c r="G73" s="346">
        <v>4.056</v>
      </c>
      <c r="H73" s="111">
        <v>0.85399999999999998</v>
      </c>
    </row>
    <row r="74" spans="1:8" ht="14.1" customHeight="1" x14ac:dyDescent="0.2">
      <c r="A74" s="202" t="s">
        <v>78</v>
      </c>
      <c r="B74" s="112">
        <v>43.42</v>
      </c>
      <c r="C74" s="111">
        <v>18.759</v>
      </c>
      <c r="D74" s="111">
        <v>10.327999999999999</v>
      </c>
      <c r="E74" s="112">
        <v>2.9510000000000001</v>
      </c>
      <c r="F74" s="112">
        <v>3.1619999999999999</v>
      </c>
      <c r="G74" s="346">
        <v>3.5830000000000002</v>
      </c>
      <c r="H74" s="111">
        <v>0.63200000000000001</v>
      </c>
    </row>
    <row r="75" spans="1:8" ht="14.1" customHeight="1" x14ac:dyDescent="0.2">
      <c r="A75" s="202" t="s">
        <v>79</v>
      </c>
      <c r="B75" s="112">
        <v>41.289000000000001</v>
      </c>
      <c r="C75" s="111">
        <v>21.831</v>
      </c>
      <c r="D75" s="111">
        <v>9.4920000000000009</v>
      </c>
      <c r="E75" s="112">
        <v>1.8979999999999999</v>
      </c>
      <c r="F75" s="112">
        <v>0.47499999999999998</v>
      </c>
      <c r="G75" s="346">
        <v>2.3730000000000002</v>
      </c>
      <c r="H75" s="111">
        <v>0</v>
      </c>
    </row>
    <row r="76" spans="1:8" s="8" customFormat="1" ht="14.1" customHeight="1" x14ac:dyDescent="0.25">
      <c r="A76" s="202" t="s">
        <v>80</v>
      </c>
      <c r="B76" s="112">
        <v>54.975000000000001</v>
      </c>
      <c r="C76" s="111">
        <v>15.914</v>
      </c>
      <c r="D76" s="111">
        <v>14.467000000000001</v>
      </c>
      <c r="E76" s="112">
        <v>8.68</v>
      </c>
      <c r="F76" s="112">
        <v>5.7869999999999999</v>
      </c>
      <c r="G76" s="346">
        <v>7.234</v>
      </c>
      <c r="H76" s="111">
        <v>0</v>
      </c>
    </row>
    <row r="77" spans="1:8" ht="14.1" customHeight="1" x14ac:dyDescent="0.2">
      <c r="A77" s="205" t="s">
        <v>288</v>
      </c>
      <c r="B77" s="112">
        <v>41.63</v>
      </c>
      <c r="C77" s="111">
        <v>16.446000000000002</v>
      </c>
      <c r="D77" s="111">
        <v>9.7650000000000006</v>
      </c>
      <c r="E77" s="112">
        <v>2.056</v>
      </c>
      <c r="F77" s="112">
        <v>5.1390000000000002</v>
      </c>
      <c r="G77" s="346">
        <v>3.5979999999999999</v>
      </c>
      <c r="H77" s="111">
        <v>1.542</v>
      </c>
    </row>
    <row r="78" spans="1:8" ht="14.1" customHeight="1" x14ac:dyDescent="0.2">
      <c r="A78" s="202" t="s">
        <v>81</v>
      </c>
      <c r="B78" s="113">
        <v>49.204000000000001</v>
      </c>
      <c r="C78" s="92">
        <v>21.292999999999999</v>
      </c>
      <c r="D78" s="92">
        <v>9.2080000000000002</v>
      </c>
      <c r="E78" s="113">
        <v>0.28799999999999998</v>
      </c>
      <c r="F78" s="112">
        <v>1.151</v>
      </c>
      <c r="G78" s="348">
        <v>3.4529999999999998</v>
      </c>
      <c r="H78" s="92">
        <v>0.28799999999999998</v>
      </c>
    </row>
    <row r="79" spans="1:8" ht="14.1" customHeight="1" x14ac:dyDescent="0.2">
      <c r="A79" s="201" t="s">
        <v>82</v>
      </c>
      <c r="B79" s="109">
        <v>58.432000000000002</v>
      </c>
      <c r="C79" s="108">
        <v>28.608000000000001</v>
      </c>
      <c r="D79" s="108">
        <v>10.991</v>
      </c>
      <c r="E79" s="109">
        <v>2.4849999999999999</v>
      </c>
      <c r="F79" s="109">
        <v>2.706</v>
      </c>
      <c r="G79" s="345">
        <v>5.3019999999999996</v>
      </c>
      <c r="H79" s="108">
        <v>0.33100000000000002</v>
      </c>
    </row>
    <row r="80" spans="1:8" ht="14.1" customHeight="1" x14ac:dyDescent="0.2">
      <c r="A80" s="202" t="s">
        <v>83</v>
      </c>
      <c r="B80" s="112">
        <v>109.136</v>
      </c>
      <c r="C80" s="111">
        <v>62.835999999999999</v>
      </c>
      <c r="D80" s="111">
        <v>13.228999999999999</v>
      </c>
      <c r="E80" s="112">
        <v>0</v>
      </c>
      <c r="F80" s="112">
        <v>0</v>
      </c>
      <c r="G80" s="346">
        <v>3.3069999999999999</v>
      </c>
      <c r="H80" s="111">
        <v>9.9209999999999994</v>
      </c>
    </row>
    <row r="81" spans="1:9" ht="14.1" customHeight="1" x14ac:dyDescent="0.2">
      <c r="A81" s="202" t="s">
        <v>85</v>
      </c>
      <c r="B81" s="112">
        <v>66.322999999999993</v>
      </c>
      <c r="C81" s="111">
        <v>19.411999999999999</v>
      </c>
      <c r="D81" s="111">
        <v>14.558999999999999</v>
      </c>
      <c r="E81" s="112">
        <v>9.7059999999999995</v>
      </c>
      <c r="F81" s="112">
        <v>0</v>
      </c>
      <c r="G81" s="346">
        <v>17.794</v>
      </c>
      <c r="H81" s="111">
        <v>0</v>
      </c>
    </row>
    <row r="82" spans="1:9" ht="14.1" customHeight="1" x14ac:dyDescent="0.2">
      <c r="A82" s="202" t="s">
        <v>86</v>
      </c>
      <c r="B82" s="112">
        <v>38.587000000000003</v>
      </c>
      <c r="C82" s="111">
        <v>21.047000000000001</v>
      </c>
      <c r="D82" s="111">
        <v>3.508</v>
      </c>
      <c r="E82" s="112">
        <v>1.754</v>
      </c>
      <c r="F82" s="112">
        <v>3.508</v>
      </c>
      <c r="G82" s="346">
        <v>1.754</v>
      </c>
      <c r="H82" s="111">
        <v>1.754</v>
      </c>
    </row>
    <row r="83" spans="1:9" ht="14.1" customHeight="1" x14ac:dyDescent="0.2">
      <c r="A83" s="202" t="s">
        <v>87</v>
      </c>
      <c r="B83" s="112">
        <v>53.173000000000002</v>
      </c>
      <c r="C83" s="111">
        <v>23.788</v>
      </c>
      <c r="D83" s="111">
        <v>10.728</v>
      </c>
      <c r="E83" s="112">
        <v>1.8660000000000001</v>
      </c>
      <c r="F83" s="112">
        <v>8.8620000000000001</v>
      </c>
      <c r="G83" s="346">
        <v>1.8660000000000001</v>
      </c>
      <c r="H83" s="111">
        <v>0</v>
      </c>
      <c r="I83" s="3"/>
    </row>
    <row r="84" spans="1:9" ht="14.1" customHeight="1" x14ac:dyDescent="0.2">
      <c r="A84" s="202" t="s">
        <v>89</v>
      </c>
      <c r="B84" s="112">
        <v>63.584000000000003</v>
      </c>
      <c r="C84" s="111">
        <v>30.818999999999999</v>
      </c>
      <c r="D84" s="111">
        <v>10.705</v>
      </c>
      <c r="E84" s="112">
        <v>4.2169999999999996</v>
      </c>
      <c r="F84" s="112">
        <v>3.2440000000000002</v>
      </c>
      <c r="G84" s="346">
        <v>8.4350000000000005</v>
      </c>
      <c r="H84" s="111">
        <v>0.32400000000000001</v>
      </c>
    </row>
    <row r="85" spans="1:9" ht="14.1" customHeight="1" x14ac:dyDescent="0.2">
      <c r="A85" s="202" t="s">
        <v>90</v>
      </c>
      <c r="B85" s="112">
        <v>59.414999999999999</v>
      </c>
      <c r="C85" s="111">
        <v>25.364000000000001</v>
      </c>
      <c r="D85" s="111">
        <v>12.507999999999999</v>
      </c>
      <c r="E85" s="112">
        <v>1.7370000000000001</v>
      </c>
      <c r="F85" s="112">
        <v>1.042</v>
      </c>
      <c r="G85" s="346">
        <v>9.7289999999999992</v>
      </c>
      <c r="H85" s="111">
        <v>0</v>
      </c>
    </row>
    <row r="86" spans="1:9" ht="14.1" customHeight="1" x14ac:dyDescent="0.2">
      <c r="A86" s="202" t="s">
        <v>91</v>
      </c>
      <c r="B86" s="112">
        <v>61.606999999999999</v>
      </c>
      <c r="C86" s="111">
        <v>33.679000000000002</v>
      </c>
      <c r="D86" s="111">
        <v>11.5</v>
      </c>
      <c r="E86" s="112">
        <v>1.232</v>
      </c>
      <c r="F86" s="112">
        <v>0.41099999999999998</v>
      </c>
      <c r="G86" s="346">
        <v>2.0539999999999998</v>
      </c>
      <c r="H86" s="111">
        <v>0.41099999999999998</v>
      </c>
    </row>
    <row r="87" spans="1:9" s="8" customFormat="1" ht="14.1" customHeight="1" x14ac:dyDescent="0.25">
      <c r="A87" s="202" t="s">
        <v>92</v>
      </c>
      <c r="B87" s="112">
        <v>49.151000000000003</v>
      </c>
      <c r="C87" s="111">
        <v>23.265000000000001</v>
      </c>
      <c r="D87" s="111">
        <v>11.468999999999999</v>
      </c>
      <c r="E87" s="112">
        <v>2.9489999999999998</v>
      </c>
      <c r="F87" s="112">
        <v>0.98299999999999998</v>
      </c>
      <c r="G87" s="346">
        <v>4.5869999999999997</v>
      </c>
      <c r="H87" s="111">
        <v>0</v>
      </c>
    </row>
    <row r="88" spans="1:9" ht="14.1" customHeight="1" x14ac:dyDescent="0.2">
      <c r="A88" s="202" t="s">
        <v>93</v>
      </c>
      <c r="B88" s="112">
        <v>68.590999999999994</v>
      </c>
      <c r="C88" s="111">
        <v>39.710999999999999</v>
      </c>
      <c r="D88" s="111">
        <v>11.346</v>
      </c>
      <c r="E88" s="112">
        <v>0.51600000000000001</v>
      </c>
      <c r="F88" s="112">
        <v>5.157</v>
      </c>
      <c r="G88" s="346">
        <v>0.51600000000000001</v>
      </c>
      <c r="H88" s="111">
        <v>0</v>
      </c>
    </row>
    <row r="89" spans="1:9" ht="14.1" customHeight="1" x14ac:dyDescent="0.2">
      <c r="A89" s="202" t="s">
        <v>94</v>
      </c>
      <c r="B89" s="113">
        <v>44.329000000000001</v>
      </c>
      <c r="C89" s="92">
        <v>24.010999999999999</v>
      </c>
      <c r="D89" s="92">
        <v>6.4649999999999999</v>
      </c>
      <c r="E89" s="113">
        <v>2.7709999999999999</v>
      </c>
      <c r="F89" s="112">
        <v>0.92400000000000004</v>
      </c>
      <c r="G89" s="348">
        <v>4.6180000000000003</v>
      </c>
      <c r="H89" s="92">
        <v>0</v>
      </c>
    </row>
    <row r="90" spans="1:9" ht="14.1" customHeight="1" x14ac:dyDescent="0.2">
      <c r="A90" s="206" t="s">
        <v>95</v>
      </c>
      <c r="B90" s="109">
        <v>56.646999999999998</v>
      </c>
      <c r="C90" s="108">
        <v>25.513000000000002</v>
      </c>
      <c r="D90" s="108">
        <v>9.6210000000000004</v>
      </c>
      <c r="E90" s="109">
        <v>5.5129999999999999</v>
      </c>
      <c r="F90" s="109">
        <v>3.2429999999999999</v>
      </c>
      <c r="G90" s="345">
        <v>4</v>
      </c>
      <c r="H90" s="108">
        <v>0.86499999999999999</v>
      </c>
    </row>
    <row r="91" spans="1:9" ht="14.1" customHeight="1" x14ac:dyDescent="0.2">
      <c r="A91" s="202" t="s">
        <v>84</v>
      </c>
      <c r="B91" s="112">
        <v>59.918999999999997</v>
      </c>
      <c r="C91" s="111">
        <v>23.344999999999999</v>
      </c>
      <c r="D91" s="111">
        <v>11.673</v>
      </c>
      <c r="E91" s="112">
        <v>1.556</v>
      </c>
      <c r="F91" s="112">
        <v>2.335</v>
      </c>
      <c r="G91" s="346">
        <v>6.2249999999999996</v>
      </c>
      <c r="H91" s="111">
        <v>0.77800000000000002</v>
      </c>
    </row>
    <row r="92" spans="1:9" ht="14.1" customHeight="1" x14ac:dyDescent="0.2">
      <c r="A92" s="202" t="s">
        <v>96</v>
      </c>
      <c r="B92" s="112">
        <v>44.161999999999999</v>
      </c>
      <c r="C92" s="111">
        <v>18.594999999999999</v>
      </c>
      <c r="D92" s="111">
        <v>8.5229999999999997</v>
      </c>
      <c r="E92" s="112">
        <v>8.5229999999999997</v>
      </c>
      <c r="F92" s="112">
        <v>2.3239999999999998</v>
      </c>
      <c r="G92" s="346">
        <v>1.55</v>
      </c>
      <c r="H92" s="111">
        <v>0</v>
      </c>
    </row>
    <row r="93" spans="1:9" ht="14.1" customHeight="1" x14ac:dyDescent="0.2">
      <c r="A93" s="202" t="s">
        <v>88</v>
      </c>
      <c r="B93" s="112">
        <v>69.313000000000002</v>
      </c>
      <c r="C93" s="111">
        <v>30.718</v>
      </c>
      <c r="D93" s="111">
        <v>13.39</v>
      </c>
      <c r="E93" s="112">
        <v>6.3010000000000002</v>
      </c>
      <c r="F93" s="112">
        <v>4.726</v>
      </c>
      <c r="G93" s="346">
        <v>1.575</v>
      </c>
      <c r="H93" s="111">
        <v>3.9380000000000002</v>
      </c>
    </row>
    <row r="94" spans="1:9" ht="14.1" customHeight="1" x14ac:dyDescent="0.2">
      <c r="A94" s="202" t="s">
        <v>97</v>
      </c>
      <c r="B94" s="112">
        <v>87.376999999999995</v>
      </c>
      <c r="C94" s="111">
        <v>39.168999999999997</v>
      </c>
      <c r="D94" s="111">
        <v>3.0129999999999999</v>
      </c>
      <c r="E94" s="112">
        <v>6.0259999999999998</v>
      </c>
      <c r="F94" s="112">
        <v>0</v>
      </c>
      <c r="G94" s="346">
        <v>9.0389999999999997</v>
      </c>
      <c r="H94" s="111">
        <v>0</v>
      </c>
    </row>
    <row r="95" spans="1:9" ht="14.1" customHeight="1" x14ac:dyDescent="0.2">
      <c r="A95" s="202" t="s">
        <v>98</v>
      </c>
      <c r="B95" s="112">
        <v>62.454999999999998</v>
      </c>
      <c r="C95" s="111">
        <v>31.765999999999998</v>
      </c>
      <c r="D95" s="111">
        <v>9.1530000000000005</v>
      </c>
      <c r="E95" s="112">
        <v>11.845000000000001</v>
      </c>
      <c r="F95" s="112">
        <v>1.615</v>
      </c>
      <c r="G95" s="346">
        <v>2.1539999999999999</v>
      </c>
      <c r="H95" s="111">
        <v>0.53800000000000003</v>
      </c>
    </row>
    <row r="96" spans="1:9" ht="14.1" customHeight="1" x14ac:dyDescent="0.2">
      <c r="A96" s="202" t="s">
        <v>99</v>
      </c>
      <c r="B96" s="112">
        <v>40.354999999999997</v>
      </c>
      <c r="C96" s="111">
        <v>18.468</v>
      </c>
      <c r="D96" s="111">
        <v>7.524</v>
      </c>
      <c r="E96" s="112">
        <v>2.052</v>
      </c>
      <c r="F96" s="112">
        <v>4.7880000000000003</v>
      </c>
      <c r="G96" s="346">
        <v>4.1040000000000001</v>
      </c>
      <c r="H96" s="111">
        <v>0</v>
      </c>
    </row>
    <row r="97" spans="1:8" ht="14.1" customHeight="1" x14ac:dyDescent="0.2">
      <c r="A97" s="202" t="s">
        <v>100</v>
      </c>
      <c r="B97" s="112">
        <v>52.78</v>
      </c>
      <c r="C97" s="111">
        <v>14.728999999999999</v>
      </c>
      <c r="D97" s="111">
        <v>14.728999999999999</v>
      </c>
      <c r="E97" s="112">
        <v>1.2270000000000001</v>
      </c>
      <c r="F97" s="112">
        <v>3.6819999999999999</v>
      </c>
      <c r="G97" s="346">
        <v>4.91</v>
      </c>
      <c r="H97" s="111">
        <v>0</v>
      </c>
    </row>
    <row r="98" spans="1:8" ht="14.1" customHeight="1" x14ac:dyDescent="0.2">
      <c r="A98" s="202" t="s">
        <v>101</v>
      </c>
      <c r="B98" s="112">
        <v>61.448</v>
      </c>
      <c r="C98" s="111">
        <v>30.724</v>
      </c>
      <c r="D98" s="111">
        <v>7.681</v>
      </c>
      <c r="E98" s="112">
        <v>0</v>
      </c>
      <c r="F98" s="112">
        <v>7.681</v>
      </c>
      <c r="G98" s="346">
        <v>0</v>
      </c>
      <c r="H98" s="111">
        <v>7.681</v>
      </c>
    </row>
    <row r="99" spans="1:8" ht="14.1" customHeight="1" x14ac:dyDescent="0.2">
      <c r="A99" s="202" t="s">
        <v>102</v>
      </c>
      <c r="B99" s="113">
        <v>43.088999999999999</v>
      </c>
      <c r="C99" s="111">
        <v>25.853000000000002</v>
      </c>
      <c r="D99" s="111">
        <v>3.4470000000000001</v>
      </c>
      <c r="E99" s="112">
        <v>3.4470000000000001</v>
      </c>
      <c r="F99" s="112">
        <v>1.724</v>
      </c>
      <c r="G99" s="346">
        <v>6.8940000000000001</v>
      </c>
      <c r="H99" s="111">
        <v>0</v>
      </c>
    </row>
    <row r="100" spans="1:8" ht="14.1" customHeight="1" x14ac:dyDescent="0.2">
      <c r="A100" s="202" t="s">
        <v>103</v>
      </c>
      <c r="B100" s="112">
        <v>91.998000000000005</v>
      </c>
      <c r="C100" s="111">
        <v>57.499000000000002</v>
      </c>
      <c r="D100" s="111">
        <v>11.5</v>
      </c>
      <c r="E100" s="112">
        <v>0</v>
      </c>
      <c r="F100" s="112">
        <v>11.5</v>
      </c>
      <c r="G100" s="346">
        <v>11.5</v>
      </c>
      <c r="H100" s="111">
        <v>0</v>
      </c>
    </row>
    <row r="101" spans="1:8" ht="14.1" customHeight="1" x14ac:dyDescent="0.2">
      <c r="A101" s="273" t="s">
        <v>104</v>
      </c>
      <c r="B101" s="299">
        <v>105.143</v>
      </c>
      <c r="C101" s="298">
        <v>52.570999999999998</v>
      </c>
      <c r="D101" s="298">
        <v>0</v>
      </c>
      <c r="E101" s="299">
        <v>0</v>
      </c>
      <c r="F101" s="299">
        <v>17.524000000000001</v>
      </c>
      <c r="G101" s="349">
        <v>35.048000000000002</v>
      </c>
      <c r="H101" s="298">
        <v>0</v>
      </c>
    </row>
    <row r="102" spans="1:8" x14ac:dyDescent="0.2">
      <c r="A102" s="300"/>
      <c r="B102" s="300"/>
      <c r="C102" s="301"/>
      <c r="D102" s="109"/>
      <c r="E102" s="108"/>
      <c r="F102" s="110"/>
      <c r="G102" s="108"/>
      <c r="H102" s="110"/>
    </row>
    <row r="105" spans="1:8" x14ac:dyDescent="0.2">
      <c r="C105" s="114"/>
      <c r="D105" s="114"/>
      <c r="E105" s="114"/>
      <c r="F105" s="114"/>
      <c r="G105" s="114"/>
      <c r="H105" s="114"/>
    </row>
    <row r="106" spans="1:8" ht="15" x14ac:dyDescent="0.25">
      <c r="C106" s="114"/>
      <c r="D106" s="114"/>
      <c r="E106" s="114"/>
      <c r="F106" s="114"/>
      <c r="G106" s="114"/>
      <c r="H106"/>
    </row>
    <row r="107" spans="1:8" x14ac:dyDescent="0.2">
      <c r="C107" s="111"/>
      <c r="D107" s="115"/>
      <c r="E107" s="111"/>
      <c r="F107" s="111"/>
      <c r="G107" s="111"/>
      <c r="H107" s="111"/>
    </row>
    <row r="108" spans="1:8" x14ac:dyDescent="0.2">
      <c r="C108" s="111"/>
      <c r="D108" s="115"/>
      <c r="E108" s="111"/>
      <c r="F108" s="111"/>
      <c r="G108" s="111"/>
      <c r="H108" s="111"/>
    </row>
    <row r="109" spans="1:8" x14ac:dyDescent="0.2">
      <c r="C109" s="111"/>
      <c r="D109" s="115"/>
      <c r="E109" s="111"/>
      <c r="F109" s="111"/>
      <c r="G109" s="111"/>
      <c r="H109" s="111"/>
    </row>
    <row r="110" spans="1:8" x14ac:dyDescent="0.2">
      <c r="C110" s="111"/>
      <c r="D110" s="115"/>
      <c r="E110" s="111"/>
      <c r="F110" s="111"/>
      <c r="G110" s="111"/>
      <c r="H110" s="111"/>
    </row>
    <row r="111" spans="1:8" x14ac:dyDescent="0.2">
      <c r="C111" s="111"/>
      <c r="D111" s="115"/>
      <c r="E111" s="111"/>
      <c r="F111" s="111"/>
      <c r="G111" s="111"/>
      <c r="H111" s="111"/>
    </row>
    <row r="112" spans="1:8" x14ac:dyDescent="0.2">
      <c r="C112" s="111"/>
      <c r="D112" s="115"/>
      <c r="E112" s="111"/>
      <c r="F112" s="111"/>
      <c r="G112" s="111"/>
      <c r="H112" s="111"/>
    </row>
    <row r="113" spans="1:8" x14ac:dyDescent="0.2">
      <c r="A113" s="9"/>
      <c r="B113" s="9"/>
      <c r="C113" s="111"/>
      <c r="D113" s="115"/>
      <c r="E113" s="111"/>
      <c r="F113" s="111"/>
      <c r="G113" s="111"/>
      <c r="H113" s="111"/>
    </row>
    <row r="114" spans="1:8" x14ac:dyDescent="0.2">
      <c r="A114" s="9"/>
      <c r="B114" s="9"/>
      <c r="C114" s="111"/>
      <c r="D114" s="115"/>
      <c r="E114" s="111"/>
      <c r="F114" s="111"/>
      <c r="G114" s="111"/>
      <c r="H114" s="111"/>
    </row>
    <row r="115" spans="1:8" x14ac:dyDescent="0.2">
      <c r="A115" s="9"/>
      <c r="B115" s="9"/>
      <c r="D115" s="117"/>
      <c r="F115" s="118"/>
      <c r="H115" s="118"/>
    </row>
    <row r="116" spans="1:8" x14ac:dyDescent="0.2">
      <c r="A116" s="9"/>
      <c r="B116" s="9"/>
      <c r="D116" s="117"/>
      <c r="H116" s="118"/>
    </row>
    <row r="117" spans="1:8" x14ac:dyDescent="0.2">
      <c r="A117" s="9"/>
      <c r="B117" s="9"/>
      <c r="D117" s="117"/>
      <c r="H117" s="118"/>
    </row>
    <row r="118" spans="1:8" x14ac:dyDescent="0.2">
      <c r="A118" s="9"/>
      <c r="B118" s="9"/>
      <c r="H118" s="118"/>
    </row>
    <row r="119" spans="1:8" x14ac:dyDescent="0.2">
      <c r="A119" s="9"/>
      <c r="B119" s="9"/>
      <c r="H119" s="118"/>
    </row>
  </sheetData>
  <mergeCells count="6">
    <mergeCell ref="A1:H1"/>
    <mergeCell ref="A2:H2"/>
    <mergeCell ref="A3:H3"/>
    <mergeCell ref="A4:A5"/>
    <mergeCell ref="C4:H4"/>
    <mergeCell ref="B4:B5"/>
  </mergeCells>
  <printOptions horizontalCentered="1"/>
  <pageMargins left="0.59055118110236227" right="0.31496062992125984" top="0.62992125984251968" bottom="0.11811023622047245" header="0.31496062992125984" footer="0.43307086614173229"/>
  <pageSetup paperSize="9" scale="84" firstPageNumber="48" orientation="landscape" useFirstPageNumber="1" r:id="rId1"/>
  <headerFooter alignWithMargins="0">
    <oddHeader>&amp;C&amp;"Arial,обычный"&amp;10 &amp;P</oddHeader>
  </headerFooter>
  <rowBreaks count="2" manualBreakCount="2">
    <brk id="38" max="6" man="1"/>
    <brk id="70" max="6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J122"/>
  <sheetViews>
    <sheetView zoomScaleNormal="100" workbookViewId="0">
      <selection activeCell="B5" sqref="B5"/>
    </sheetView>
  </sheetViews>
  <sheetFormatPr defaultRowHeight="15" x14ac:dyDescent="0.25"/>
  <cols>
    <col min="1" max="1" width="44.28515625" customWidth="1"/>
    <col min="2" max="7" width="14.28515625" customWidth="1"/>
    <col min="8" max="8" width="9.7109375" bestFit="1" customWidth="1"/>
  </cols>
  <sheetData>
    <row r="1" spans="1:10" x14ac:dyDescent="0.25">
      <c r="A1" s="582" t="s">
        <v>282</v>
      </c>
      <c r="B1" s="534"/>
      <c r="C1" s="534"/>
      <c r="D1" s="534"/>
      <c r="E1" s="534"/>
      <c r="F1" s="534"/>
      <c r="G1" s="534"/>
    </row>
    <row r="2" spans="1:10" x14ac:dyDescent="0.25">
      <c r="A2" s="119"/>
      <c r="B2" s="119"/>
      <c r="C2" s="119"/>
      <c r="D2" s="119"/>
      <c r="E2" s="119"/>
      <c r="F2" s="119"/>
      <c r="G2" s="119"/>
    </row>
    <row r="3" spans="1:10" x14ac:dyDescent="0.25">
      <c r="A3" s="583"/>
      <c r="B3" s="584" t="s">
        <v>194</v>
      </c>
      <c r="C3" s="585"/>
      <c r="D3" s="586" t="s">
        <v>210</v>
      </c>
      <c r="E3" s="585" t="s">
        <v>195</v>
      </c>
      <c r="F3" s="585"/>
      <c r="G3" s="586" t="s">
        <v>219</v>
      </c>
    </row>
    <row r="4" spans="1:10" x14ac:dyDescent="0.25">
      <c r="A4" s="583"/>
      <c r="B4" s="264" t="s">
        <v>343</v>
      </c>
      <c r="C4" s="264" t="s">
        <v>330</v>
      </c>
      <c r="D4" s="586"/>
      <c r="E4" s="264" t="s">
        <v>343</v>
      </c>
      <c r="F4" s="264" t="s">
        <v>330</v>
      </c>
      <c r="G4" s="586"/>
    </row>
    <row r="5" spans="1:10" ht="14.1" customHeight="1" x14ac:dyDescent="0.25">
      <c r="A5" s="234" t="s">
        <v>13</v>
      </c>
      <c r="B5" s="353">
        <v>950167</v>
      </c>
      <c r="C5" s="353">
        <v>893039</v>
      </c>
      <c r="D5" s="149">
        <f>B5-C5</f>
        <v>57128</v>
      </c>
      <c r="E5" s="149">
        <v>620730</v>
      </c>
      <c r="F5" s="149">
        <v>583942</v>
      </c>
      <c r="G5" s="149">
        <f>E5-F5</f>
        <v>36788</v>
      </c>
      <c r="H5" s="120"/>
      <c r="I5" s="120"/>
      <c r="J5" s="120"/>
    </row>
    <row r="6" spans="1:10" ht="14.1" customHeight="1" x14ac:dyDescent="0.25">
      <c r="A6" s="263" t="s">
        <v>14</v>
      </c>
      <c r="B6" s="353">
        <v>259596</v>
      </c>
      <c r="C6" s="353">
        <v>239993</v>
      </c>
      <c r="D6" s="149">
        <f t="shared" ref="D6:D69" si="0">B6-C6</f>
        <v>19603</v>
      </c>
      <c r="E6" s="149">
        <v>168393</v>
      </c>
      <c r="F6" s="149">
        <v>153515</v>
      </c>
      <c r="G6" s="149">
        <f t="shared" ref="G6:G69" si="1">E6-F6</f>
        <v>14878</v>
      </c>
      <c r="H6" s="120"/>
    </row>
    <row r="7" spans="1:10" ht="14.1" customHeight="1" x14ac:dyDescent="0.25">
      <c r="A7" s="202" t="s">
        <v>15</v>
      </c>
      <c r="B7" s="354">
        <v>10338</v>
      </c>
      <c r="C7" s="354">
        <v>10432</v>
      </c>
      <c r="D7" s="150">
        <f t="shared" si="0"/>
        <v>-94</v>
      </c>
      <c r="E7" s="150">
        <v>6519</v>
      </c>
      <c r="F7" s="150">
        <v>6753</v>
      </c>
      <c r="G7" s="150">
        <f t="shared" si="1"/>
        <v>-234</v>
      </c>
      <c r="H7" s="120"/>
    </row>
    <row r="8" spans="1:10" ht="14.1" customHeight="1" x14ac:dyDescent="0.25">
      <c r="A8" s="202" t="s">
        <v>16</v>
      </c>
      <c r="B8" s="354">
        <v>7754</v>
      </c>
      <c r="C8" s="354">
        <v>7278</v>
      </c>
      <c r="D8" s="150">
        <f t="shared" si="0"/>
        <v>476</v>
      </c>
      <c r="E8" s="150">
        <v>5406</v>
      </c>
      <c r="F8" s="150">
        <v>5401</v>
      </c>
      <c r="G8" s="150">
        <f t="shared" si="1"/>
        <v>5</v>
      </c>
      <c r="H8" s="120"/>
    </row>
    <row r="9" spans="1:10" ht="14.1" customHeight="1" x14ac:dyDescent="0.25">
      <c r="A9" s="202" t="s">
        <v>17</v>
      </c>
      <c r="B9" s="354">
        <v>8166</v>
      </c>
      <c r="C9" s="354">
        <v>8121</v>
      </c>
      <c r="D9" s="150">
        <f t="shared" si="0"/>
        <v>45</v>
      </c>
      <c r="E9" s="150">
        <v>5503</v>
      </c>
      <c r="F9" s="150">
        <v>5508</v>
      </c>
      <c r="G9" s="150">
        <f t="shared" si="1"/>
        <v>-5</v>
      </c>
      <c r="H9" s="120"/>
    </row>
    <row r="10" spans="1:10" ht="14.1" customHeight="1" x14ac:dyDescent="0.25">
      <c r="A10" s="202" t="s">
        <v>18</v>
      </c>
      <c r="B10" s="354">
        <v>16039</v>
      </c>
      <c r="C10" s="354">
        <v>14525</v>
      </c>
      <c r="D10" s="150">
        <f t="shared" si="0"/>
        <v>1514</v>
      </c>
      <c r="E10" s="150">
        <v>10138</v>
      </c>
      <c r="F10" s="150">
        <v>9652</v>
      </c>
      <c r="G10" s="150">
        <f t="shared" si="1"/>
        <v>486</v>
      </c>
      <c r="H10" s="120"/>
    </row>
    <row r="11" spans="1:10" ht="14.1" customHeight="1" x14ac:dyDescent="0.25">
      <c r="A11" s="202" t="s">
        <v>19</v>
      </c>
      <c r="B11" s="354">
        <v>5694</v>
      </c>
      <c r="C11" s="354">
        <v>5674</v>
      </c>
      <c r="D11" s="150">
        <f t="shared" si="0"/>
        <v>20</v>
      </c>
      <c r="E11" s="150">
        <v>4082</v>
      </c>
      <c r="F11" s="150">
        <v>3961</v>
      </c>
      <c r="G11" s="150">
        <f t="shared" si="1"/>
        <v>121</v>
      </c>
      <c r="H11" s="120"/>
    </row>
    <row r="12" spans="1:10" ht="14.1" customHeight="1" x14ac:dyDescent="0.25">
      <c r="A12" s="202" t="s">
        <v>20</v>
      </c>
      <c r="B12" s="354">
        <v>7162</v>
      </c>
      <c r="C12" s="354">
        <v>6562</v>
      </c>
      <c r="D12" s="150">
        <f t="shared" si="0"/>
        <v>600</v>
      </c>
      <c r="E12" s="150">
        <v>4922</v>
      </c>
      <c r="F12" s="150">
        <v>4468</v>
      </c>
      <c r="G12" s="150">
        <f t="shared" si="1"/>
        <v>454</v>
      </c>
      <c r="H12" s="120"/>
    </row>
    <row r="13" spans="1:10" ht="14.1" customHeight="1" x14ac:dyDescent="0.25">
      <c r="A13" s="203" t="s">
        <v>21</v>
      </c>
      <c r="B13" s="354">
        <v>3592</v>
      </c>
      <c r="C13" s="354">
        <v>3606</v>
      </c>
      <c r="D13" s="150">
        <f t="shared" si="0"/>
        <v>-14</v>
      </c>
      <c r="E13" s="150">
        <v>2807</v>
      </c>
      <c r="F13" s="150">
        <v>2582</v>
      </c>
      <c r="G13" s="150">
        <f t="shared" si="1"/>
        <v>225</v>
      </c>
      <c r="H13" s="120"/>
    </row>
    <row r="14" spans="1:10" ht="14.1" customHeight="1" x14ac:dyDescent="0.25">
      <c r="A14" s="202" t="s">
        <v>22</v>
      </c>
      <c r="B14" s="354">
        <v>7175</v>
      </c>
      <c r="C14" s="354">
        <v>6957</v>
      </c>
      <c r="D14" s="150">
        <f t="shared" si="0"/>
        <v>218</v>
      </c>
      <c r="E14" s="150">
        <v>4871</v>
      </c>
      <c r="F14" s="150">
        <v>4936</v>
      </c>
      <c r="G14" s="150">
        <f t="shared" si="1"/>
        <v>-65</v>
      </c>
      <c r="H14" s="120"/>
    </row>
    <row r="15" spans="1:10" ht="14.1" customHeight="1" x14ac:dyDescent="0.25">
      <c r="A15" s="202" t="s">
        <v>23</v>
      </c>
      <c r="B15" s="354">
        <v>7056</v>
      </c>
      <c r="C15" s="354">
        <v>6745</v>
      </c>
      <c r="D15" s="150">
        <f t="shared" si="0"/>
        <v>311</v>
      </c>
      <c r="E15" s="150">
        <v>4914</v>
      </c>
      <c r="F15" s="150">
        <v>4706</v>
      </c>
      <c r="G15" s="150">
        <f t="shared" si="1"/>
        <v>208</v>
      </c>
      <c r="H15" s="120"/>
    </row>
    <row r="16" spans="1:10" ht="14.1" customHeight="1" x14ac:dyDescent="0.25">
      <c r="A16" s="202" t="s">
        <v>24</v>
      </c>
      <c r="B16" s="354">
        <v>56223</v>
      </c>
      <c r="C16" s="354">
        <v>49339</v>
      </c>
      <c r="D16" s="150">
        <f t="shared" si="0"/>
        <v>6884</v>
      </c>
      <c r="E16" s="150">
        <v>37500</v>
      </c>
      <c r="F16" s="150">
        <v>29415</v>
      </c>
      <c r="G16" s="150">
        <f t="shared" si="1"/>
        <v>8085</v>
      </c>
      <c r="H16" s="120"/>
    </row>
    <row r="17" spans="1:8" ht="14.1" customHeight="1" x14ac:dyDescent="0.25">
      <c r="A17" s="202" t="s">
        <v>25</v>
      </c>
      <c r="B17" s="354">
        <v>4734</v>
      </c>
      <c r="C17" s="354">
        <v>4516</v>
      </c>
      <c r="D17" s="150">
        <f t="shared" si="0"/>
        <v>218</v>
      </c>
      <c r="E17" s="150">
        <v>3307</v>
      </c>
      <c r="F17" s="150">
        <v>2841</v>
      </c>
      <c r="G17" s="150">
        <f t="shared" si="1"/>
        <v>466</v>
      </c>
      <c r="H17" s="120"/>
    </row>
    <row r="18" spans="1:8" ht="14.1" customHeight="1" x14ac:dyDescent="0.25">
      <c r="A18" s="203" t="s">
        <v>26</v>
      </c>
      <c r="B18" s="354">
        <v>6617</v>
      </c>
      <c r="C18" s="354">
        <v>6625</v>
      </c>
      <c r="D18" s="150">
        <f t="shared" si="0"/>
        <v>-8</v>
      </c>
      <c r="E18" s="150">
        <v>4979</v>
      </c>
      <c r="F18" s="150">
        <v>4718</v>
      </c>
      <c r="G18" s="150">
        <f t="shared" si="1"/>
        <v>261</v>
      </c>
      <c r="H18" s="120"/>
    </row>
    <row r="19" spans="1:8" ht="14.1" customHeight="1" x14ac:dyDescent="0.25">
      <c r="A19" s="202" t="s">
        <v>27</v>
      </c>
      <c r="B19" s="354">
        <v>5712</v>
      </c>
      <c r="C19" s="354">
        <v>5237</v>
      </c>
      <c r="D19" s="150">
        <f t="shared" si="0"/>
        <v>475</v>
      </c>
      <c r="E19" s="150">
        <v>4359</v>
      </c>
      <c r="F19" s="150">
        <v>4155</v>
      </c>
      <c r="G19" s="150">
        <f t="shared" si="1"/>
        <v>204</v>
      </c>
      <c r="H19" s="120"/>
    </row>
    <row r="20" spans="1:8" ht="14.1" customHeight="1" x14ac:dyDescent="0.25">
      <c r="A20" s="202" t="s">
        <v>28</v>
      </c>
      <c r="B20" s="354">
        <v>5738</v>
      </c>
      <c r="C20" s="354">
        <v>5619</v>
      </c>
      <c r="D20" s="150">
        <f t="shared" si="0"/>
        <v>119</v>
      </c>
      <c r="E20" s="150">
        <v>3998</v>
      </c>
      <c r="F20" s="150">
        <v>3908</v>
      </c>
      <c r="G20" s="150">
        <f t="shared" si="1"/>
        <v>90</v>
      </c>
      <c r="H20" s="120"/>
    </row>
    <row r="21" spans="1:8" ht="14.1" customHeight="1" x14ac:dyDescent="0.25">
      <c r="A21" s="202" t="s">
        <v>29</v>
      </c>
      <c r="B21" s="354">
        <v>7629</v>
      </c>
      <c r="C21" s="354">
        <v>7527</v>
      </c>
      <c r="D21" s="150">
        <f t="shared" si="0"/>
        <v>102</v>
      </c>
      <c r="E21" s="150">
        <v>5592</v>
      </c>
      <c r="F21" s="150">
        <v>5447</v>
      </c>
      <c r="G21" s="150">
        <f t="shared" si="1"/>
        <v>145</v>
      </c>
      <c r="H21" s="120"/>
    </row>
    <row r="22" spans="1:8" ht="14.1" customHeight="1" x14ac:dyDescent="0.25">
      <c r="A22" s="202" t="s">
        <v>30</v>
      </c>
      <c r="B22" s="354">
        <v>9040</v>
      </c>
      <c r="C22" s="354">
        <v>8453</v>
      </c>
      <c r="D22" s="150">
        <f t="shared" si="0"/>
        <v>587</v>
      </c>
      <c r="E22" s="150">
        <v>6116</v>
      </c>
      <c r="F22" s="150">
        <v>6042</v>
      </c>
      <c r="G22" s="150">
        <f t="shared" si="1"/>
        <v>74</v>
      </c>
      <c r="H22" s="120"/>
    </row>
    <row r="23" spans="1:8" ht="14.1" customHeight="1" x14ac:dyDescent="0.25">
      <c r="A23" s="202" t="s">
        <v>31</v>
      </c>
      <c r="B23" s="354">
        <v>8037</v>
      </c>
      <c r="C23" s="354">
        <v>7355</v>
      </c>
      <c r="D23" s="150">
        <f t="shared" si="0"/>
        <v>682</v>
      </c>
      <c r="E23" s="150">
        <v>5400</v>
      </c>
      <c r="F23" s="150">
        <v>5080</v>
      </c>
      <c r="G23" s="150">
        <f t="shared" si="1"/>
        <v>320</v>
      </c>
      <c r="H23" s="120"/>
    </row>
    <row r="24" spans="1:8" ht="14.1" customHeight="1" x14ac:dyDescent="0.25">
      <c r="A24" s="202" t="s">
        <v>32</v>
      </c>
      <c r="B24" s="354">
        <v>82890</v>
      </c>
      <c r="C24" s="354">
        <v>75422</v>
      </c>
      <c r="D24" s="150">
        <f t="shared" si="0"/>
        <v>7468</v>
      </c>
      <c r="E24" s="150">
        <v>47980</v>
      </c>
      <c r="F24" s="150">
        <v>43942</v>
      </c>
      <c r="G24" s="150">
        <f t="shared" si="1"/>
        <v>4038</v>
      </c>
      <c r="H24" s="120"/>
    </row>
    <row r="25" spans="1:8" ht="14.1" customHeight="1" x14ac:dyDescent="0.25">
      <c r="A25" s="204" t="s">
        <v>33</v>
      </c>
      <c r="B25" s="355">
        <v>99235</v>
      </c>
      <c r="C25" s="355">
        <v>91840</v>
      </c>
      <c r="D25" s="358">
        <f t="shared" si="0"/>
        <v>7395</v>
      </c>
      <c r="E25" s="149">
        <v>65748</v>
      </c>
      <c r="F25" s="149">
        <v>63748</v>
      </c>
      <c r="G25" s="358">
        <f t="shared" si="1"/>
        <v>2000</v>
      </c>
      <c r="H25" s="120"/>
    </row>
    <row r="26" spans="1:8" ht="14.1" customHeight="1" x14ac:dyDescent="0.25">
      <c r="A26" s="202" t="s">
        <v>34</v>
      </c>
      <c r="B26" s="354">
        <v>3935</v>
      </c>
      <c r="C26" s="354">
        <v>3949</v>
      </c>
      <c r="D26" s="150">
        <f t="shared" si="0"/>
        <v>-14</v>
      </c>
      <c r="E26" s="150">
        <v>2839</v>
      </c>
      <c r="F26" s="150">
        <v>2473</v>
      </c>
      <c r="G26" s="150">
        <f t="shared" si="1"/>
        <v>366</v>
      </c>
      <c r="H26" s="120"/>
    </row>
    <row r="27" spans="1:8" ht="14.1" customHeight="1" x14ac:dyDescent="0.25">
      <c r="A27" s="202" t="s">
        <v>35</v>
      </c>
      <c r="B27" s="354">
        <v>4808</v>
      </c>
      <c r="C27" s="354">
        <v>4667</v>
      </c>
      <c r="D27" s="150">
        <f t="shared" si="0"/>
        <v>141</v>
      </c>
      <c r="E27" s="150">
        <v>3862</v>
      </c>
      <c r="F27" s="150">
        <v>3820</v>
      </c>
      <c r="G27" s="150">
        <f t="shared" si="1"/>
        <v>42</v>
      </c>
      <c r="H27" s="120"/>
    </row>
    <row r="28" spans="1:8" ht="14.1" customHeight="1" x14ac:dyDescent="0.25">
      <c r="A28" s="202" t="s">
        <v>36</v>
      </c>
      <c r="B28" s="354">
        <v>6911</v>
      </c>
      <c r="C28" s="354">
        <v>6659</v>
      </c>
      <c r="D28" s="150">
        <f t="shared" si="0"/>
        <v>252</v>
      </c>
      <c r="E28" s="150">
        <v>4871</v>
      </c>
      <c r="F28" s="150">
        <v>4961</v>
      </c>
      <c r="G28" s="150">
        <f t="shared" si="1"/>
        <v>-90</v>
      </c>
      <c r="H28" s="120"/>
    </row>
    <row r="29" spans="1:8" ht="14.1" customHeight="1" x14ac:dyDescent="0.25">
      <c r="A29" s="202" t="s">
        <v>37</v>
      </c>
      <c r="B29" s="354">
        <v>227</v>
      </c>
      <c r="C29" s="354">
        <v>210</v>
      </c>
      <c r="D29" s="150">
        <f t="shared" si="0"/>
        <v>17</v>
      </c>
      <c r="E29" s="150">
        <v>176</v>
      </c>
      <c r="F29" s="150">
        <v>163</v>
      </c>
      <c r="G29" s="150">
        <f t="shared" si="1"/>
        <v>13</v>
      </c>
      <c r="H29" s="120"/>
    </row>
    <row r="30" spans="1:8" ht="14.1" customHeight="1" x14ac:dyDescent="0.25">
      <c r="A30" s="205" t="s">
        <v>287</v>
      </c>
      <c r="B30" s="354">
        <v>6684</v>
      </c>
      <c r="C30" s="354">
        <v>6449</v>
      </c>
      <c r="D30" s="150">
        <f t="shared" si="0"/>
        <v>235</v>
      </c>
      <c r="E30" s="150">
        <v>4695</v>
      </c>
      <c r="F30" s="150">
        <v>4798</v>
      </c>
      <c r="G30" s="150">
        <f t="shared" si="1"/>
        <v>-103</v>
      </c>
      <c r="H30" s="120"/>
    </row>
    <row r="31" spans="1:8" ht="14.1" customHeight="1" x14ac:dyDescent="0.25">
      <c r="A31" s="202" t="s">
        <v>38</v>
      </c>
      <c r="B31" s="354">
        <v>6883</v>
      </c>
      <c r="C31" s="354">
        <v>6182</v>
      </c>
      <c r="D31" s="150">
        <f t="shared" si="0"/>
        <v>701</v>
      </c>
      <c r="E31" s="150">
        <v>4657</v>
      </c>
      <c r="F31" s="150">
        <v>4530</v>
      </c>
      <c r="G31" s="150">
        <f t="shared" si="1"/>
        <v>127</v>
      </c>
      <c r="H31" s="120"/>
    </row>
    <row r="32" spans="1:8" ht="14.1" customHeight="1" x14ac:dyDescent="0.25">
      <c r="A32" s="202" t="s">
        <v>39</v>
      </c>
      <c r="B32" s="354">
        <v>7421</v>
      </c>
      <c r="C32" s="354">
        <v>7024</v>
      </c>
      <c r="D32" s="150">
        <f t="shared" si="0"/>
        <v>397</v>
      </c>
      <c r="E32" s="150">
        <v>5496</v>
      </c>
      <c r="F32" s="150">
        <v>5219</v>
      </c>
      <c r="G32" s="150">
        <f t="shared" si="1"/>
        <v>277</v>
      </c>
      <c r="H32" s="120"/>
    </row>
    <row r="33" spans="1:8" ht="14.1" customHeight="1" x14ac:dyDescent="0.25">
      <c r="A33" s="202" t="s">
        <v>40</v>
      </c>
      <c r="B33" s="354">
        <v>7796</v>
      </c>
      <c r="C33" s="354">
        <v>7530</v>
      </c>
      <c r="D33" s="150">
        <f t="shared" si="0"/>
        <v>266</v>
      </c>
      <c r="E33" s="150">
        <v>7637</v>
      </c>
      <c r="F33" s="150">
        <v>7567</v>
      </c>
      <c r="G33" s="150">
        <f t="shared" si="1"/>
        <v>70</v>
      </c>
      <c r="H33" s="120"/>
    </row>
    <row r="34" spans="1:8" ht="14.1" customHeight="1" x14ac:dyDescent="0.25">
      <c r="A34" s="202" t="s">
        <v>41</v>
      </c>
      <c r="B34" s="354">
        <v>5063</v>
      </c>
      <c r="C34" s="354">
        <v>5029</v>
      </c>
      <c r="D34" s="150">
        <f t="shared" si="0"/>
        <v>34</v>
      </c>
      <c r="E34" s="150">
        <v>4020</v>
      </c>
      <c r="F34" s="150">
        <v>3881</v>
      </c>
      <c r="G34" s="150">
        <f t="shared" si="1"/>
        <v>139</v>
      </c>
      <c r="H34" s="120"/>
    </row>
    <row r="35" spans="1:8" ht="14.1" customHeight="1" x14ac:dyDescent="0.25">
      <c r="A35" s="202" t="s">
        <v>42</v>
      </c>
      <c r="B35" s="354">
        <v>3500</v>
      </c>
      <c r="C35" s="354">
        <v>3175</v>
      </c>
      <c r="D35" s="150">
        <f t="shared" si="0"/>
        <v>325</v>
      </c>
      <c r="E35" s="150">
        <v>2808</v>
      </c>
      <c r="F35" s="150">
        <v>2667</v>
      </c>
      <c r="G35" s="150">
        <f t="shared" si="1"/>
        <v>141</v>
      </c>
      <c r="H35" s="120"/>
    </row>
    <row r="36" spans="1:8" ht="14.1" customHeight="1" x14ac:dyDescent="0.25">
      <c r="A36" s="202" t="s">
        <v>43</v>
      </c>
      <c r="B36" s="354">
        <v>3584</v>
      </c>
      <c r="C36" s="354">
        <v>3640</v>
      </c>
      <c r="D36" s="150">
        <f t="shared" si="0"/>
        <v>-56</v>
      </c>
      <c r="E36" s="150">
        <v>2600</v>
      </c>
      <c r="F36" s="150">
        <v>2702</v>
      </c>
      <c r="G36" s="150">
        <f t="shared" si="1"/>
        <v>-102</v>
      </c>
      <c r="H36" s="120"/>
    </row>
    <row r="37" spans="1:8" ht="14.1" customHeight="1" x14ac:dyDescent="0.25">
      <c r="A37" s="202" t="s">
        <v>44</v>
      </c>
      <c r="B37" s="354">
        <v>49334</v>
      </c>
      <c r="C37" s="354">
        <v>43985</v>
      </c>
      <c r="D37" s="150">
        <f t="shared" si="0"/>
        <v>5349</v>
      </c>
      <c r="E37" s="150">
        <v>26958</v>
      </c>
      <c r="F37" s="150">
        <v>25928</v>
      </c>
      <c r="G37" s="150">
        <f t="shared" si="1"/>
        <v>1030</v>
      </c>
      <c r="H37" s="120"/>
    </row>
    <row r="38" spans="1:8" ht="14.1" customHeight="1" x14ac:dyDescent="0.25">
      <c r="A38" s="206" t="s">
        <v>45</v>
      </c>
      <c r="B38" s="356">
        <v>109280</v>
      </c>
      <c r="C38" s="356">
        <v>100671</v>
      </c>
      <c r="D38" s="358">
        <f t="shared" si="0"/>
        <v>8609</v>
      </c>
      <c r="E38" s="339">
        <v>71428</v>
      </c>
      <c r="F38" s="339">
        <v>64316</v>
      </c>
      <c r="G38" s="358">
        <f t="shared" si="1"/>
        <v>7112</v>
      </c>
      <c r="H38" s="340"/>
    </row>
    <row r="39" spans="1:8" ht="14.1" customHeight="1" x14ac:dyDescent="0.25">
      <c r="A39" s="202" t="s">
        <v>46</v>
      </c>
      <c r="B39" s="354">
        <v>2241</v>
      </c>
      <c r="C39" s="354">
        <v>2037</v>
      </c>
      <c r="D39" s="150">
        <f t="shared" si="0"/>
        <v>204</v>
      </c>
      <c r="E39" s="150">
        <v>1691</v>
      </c>
      <c r="F39" s="150">
        <v>1627</v>
      </c>
      <c r="G39" s="150">
        <f t="shared" si="1"/>
        <v>64</v>
      </c>
      <c r="H39" s="120"/>
    </row>
    <row r="40" spans="1:8" ht="14.1" customHeight="1" x14ac:dyDescent="0.25">
      <c r="A40" s="202" t="s">
        <v>47</v>
      </c>
      <c r="B40" s="354">
        <v>1355</v>
      </c>
      <c r="C40" s="354">
        <v>1306</v>
      </c>
      <c r="D40" s="150">
        <f t="shared" si="0"/>
        <v>49</v>
      </c>
      <c r="E40" s="150">
        <v>1020</v>
      </c>
      <c r="F40" s="150">
        <v>1017</v>
      </c>
      <c r="G40" s="150">
        <f t="shared" si="1"/>
        <v>3</v>
      </c>
      <c r="H40" s="120"/>
    </row>
    <row r="41" spans="1:8" ht="14.1" customHeight="1" x14ac:dyDescent="0.25">
      <c r="A41" s="202" t="s">
        <v>202</v>
      </c>
      <c r="B41" s="354">
        <v>13241</v>
      </c>
      <c r="C41" s="354">
        <v>11609</v>
      </c>
      <c r="D41" s="150">
        <f t="shared" si="0"/>
        <v>1632</v>
      </c>
      <c r="E41" s="150">
        <v>7077</v>
      </c>
      <c r="F41" s="150">
        <v>6878</v>
      </c>
      <c r="G41" s="150">
        <f t="shared" si="1"/>
        <v>199</v>
      </c>
    </row>
    <row r="42" spans="1:8" ht="14.1" customHeight="1" x14ac:dyDescent="0.25">
      <c r="A42" s="202" t="s">
        <v>48</v>
      </c>
      <c r="B42" s="354">
        <v>42300</v>
      </c>
      <c r="C42" s="354">
        <v>38674</v>
      </c>
      <c r="D42" s="150">
        <f t="shared" si="0"/>
        <v>3626</v>
      </c>
      <c r="E42" s="150">
        <v>27258</v>
      </c>
      <c r="F42" s="150">
        <v>21387</v>
      </c>
      <c r="G42" s="150">
        <f t="shared" si="1"/>
        <v>5871</v>
      </c>
      <c r="H42" s="120"/>
    </row>
    <row r="43" spans="1:8" ht="14.1" customHeight="1" x14ac:dyDescent="0.25">
      <c r="A43" s="202" t="s">
        <v>49</v>
      </c>
      <c r="B43" s="354">
        <v>5904</v>
      </c>
      <c r="C43" s="354">
        <v>5649</v>
      </c>
      <c r="D43" s="150">
        <f t="shared" si="0"/>
        <v>255</v>
      </c>
      <c r="E43" s="150">
        <v>4083</v>
      </c>
      <c r="F43" s="150">
        <v>4120</v>
      </c>
      <c r="G43" s="150">
        <f t="shared" si="1"/>
        <v>-37</v>
      </c>
      <c r="H43" s="120"/>
    </row>
    <row r="44" spans="1:8" ht="14.1" customHeight="1" x14ac:dyDescent="0.25">
      <c r="A44" s="202" t="s">
        <v>50</v>
      </c>
      <c r="B44" s="354">
        <v>13747</v>
      </c>
      <c r="C44" s="354">
        <v>13112</v>
      </c>
      <c r="D44" s="150">
        <f t="shared" si="0"/>
        <v>635</v>
      </c>
      <c r="E44" s="150">
        <v>10137</v>
      </c>
      <c r="F44" s="150">
        <v>9889</v>
      </c>
      <c r="G44" s="150">
        <f t="shared" si="1"/>
        <v>248</v>
      </c>
      <c r="H44" s="120"/>
    </row>
    <row r="45" spans="1:8" ht="14.1" customHeight="1" x14ac:dyDescent="0.25">
      <c r="A45" s="202" t="s">
        <v>51</v>
      </c>
      <c r="B45" s="354">
        <v>26668</v>
      </c>
      <c r="C45" s="354">
        <v>24939</v>
      </c>
      <c r="D45" s="150">
        <f t="shared" si="0"/>
        <v>1729</v>
      </c>
      <c r="E45" s="150">
        <v>18127</v>
      </c>
      <c r="F45" s="150">
        <v>17460</v>
      </c>
      <c r="G45" s="150">
        <f t="shared" si="1"/>
        <v>667</v>
      </c>
      <c r="H45" s="120"/>
    </row>
    <row r="46" spans="1:8" ht="14.1" customHeight="1" x14ac:dyDescent="0.25">
      <c r="A46" s="202" t="s">
        <v>204</v>
      </c>
      <c r="B46" s="354">
        <v>3824</v>
      </c>
      <c r="C46" s="354">
        <v>3345</v>
      </c>
      <c r="D46" s="150">
        <f t="shared" si="0"/>
        <v>479</v>
      </c>
      <c r="E46" s="150">
        <v>2035</v>
      </c>
      <c r="F46" s="150">
        <v>1938</v>
      </c>
      <c r="G46" s="150">
        <f t="shared" si="1"/>
        <v>97</v>
      </c>
    </row>
    <row r="47" spans="1:8" ht="14.1" customHeight="1" x14ac:dyDescent="0.25">
      <c r="A47" s="207" t="s">
        <v>52</v>
      </c>
      <c r="B47" s="355">
        <v>50047</v>
      </c>
      <c r="C47" s="355">
        <v>46732</v>
      </c>
      <c r="D47" s="358">
        <f t="shared" si="0"/>
        <v>3315</v>
      </c>
      <c r="E47" s="149">
        <v>22588</v>
      </c>
      <c r="F47" s="149">
        <v>20865</v>
      </c>
      <c r="G47" s="358">
        <f t="shared" si="1"/>
        <v>1723</v>
      </c>
      <c r="H47" s="120"/>
    </row>
    <row r="48" spans="1:8" ht="14.1" customHeight="1" x14ac:dyDescent="0.25">
      <c r="A48" s="202" t="s">
        <v>53</v>
      </c>
      <c r="B48" s="354">
        <v>14748</v>
      </c>
      <c r="C48" s="354">
        <v>14646</v>
      </c>
      <c r="D48" s="150">
        <f t="shared" si="0"/>
        <v>102</v>
      </c>
      <c r="E48" s="150">
        <v>4903</v>
      </c>
      <c r="F48" s="150">
        <v>4457</v>
      </c>
      <c r="G48" s="150">
        <f t="shared" si="1"/>
        <v>446</v>
      </c>
      <c r="H48" s="120"/>
    </row>
    <row r="49" spans="1:8" ht="14.1" customHeight="1" x14ac:dyDescent="0.25">
      <c r="A49" s="202" t="s">
        <v>54</v>
      </c>
      <c r="B49" s="354">
        <v>1944</v>
      </c>
      <c r="C49" s="354">
        <v>1889</v>
      </c>
      <c r="D49" s="150">
        <f t="shared" si="0"/>
        <v>55</v>
      </c>
      <c r="E49" s="150">
        <v>398</v>
      </c>
      <c r="F49" s="150">
        <v>399</v>
      </c>
      <c r="G49" s="150">
        <f t="shared" si="1"/>
        <v>-1</v>
      </c>
      <c r="H49" s="120"/>
    </row>
    <row r="50" spans="1:8" ht="14.1" customHeight="1" x14ac:dyDescent="0.25">
      <c r="A50" s="202" t="s">
        <v>55</v>
      </c>
      <c r="B50" s="354">
        <v>4525</v>
      </c>
      <c r="C50" s="354">
        <v>3920</v>
      </c>
      <c r="D50" s="150">
        <f t="shared" si="0"/>
        <v>605</v>
      </c>
      <c r="E50" s="150">
        <v>2298</v>
      </c>
      <c r="F50" s="150">
        <v>2106</v>
      </c>
      <c r="G50" s="150">
        <f t="shared" si="1"/>
        <v>192</v>
      </c>
      <c r="H50" s="120"/>
    </row>
    <row r="51" spans="1:8" ht="14.1" customHeight="1" x14ac:dyDescent="0.25">
      <c r="A51" s="202" t="s">
        <v>56</v>
      </c>
      <c r="B51" s="354">
        <v>2234</v>
      </c>
      <c r="C51" s="354">
        <v>2122</v>
      </c>
      <c r="D51" s="150">
        <f t="shared" si="0"/>
        <v>112</v>
      </c>
      <c r="E51" s="150">
        <v>1451</v>
      </c>
      <c r="F51" s="150">
        <v>1470</v>
      </c>
      <c r="G51" s="150">
        <f t="shared" si="1"/>
        <v>-19</v>
      </c>
      <c r="H51" s="120"/>
    </row>
    <row r="52" spans="1:8" ht="14.1" customHeight="1" x14ac:dyDescent="0.25">
      <c r="A52" s="202" t="s">
        <v>57</v>
      </c>
      <c r="B52" s="354">
        <v>3242</v>
      </c>
      <c r="C52" s="354">
        <v>3266</v>
      </c>
      <c r="D52" s="150">
        <f t="shared" si="0"/>
        <v>-24</v>
      </c>
      <c r="E52" s="150">
        <v>1809</v>
      </c>
      <c r="F52" s="150">
        <v>1786</v>
      </c>
      <c r="G52" s="150">
        <f t="shared" si="1"/>
        <v>23</v>
      </c>
      <c r="H52" s="120"/>
    </row>
    <row r="53" spans="1:8" ht="14.1" customHeight="1" x14ac:dyDescent="0.25">
      <c r="A53" s="202" t="s">
        <v>58</v>
      </c>
      <c r="B53" s="354">
        <v>7761</v>
      </c>
      <c r="C53" s="354">
        <v>6843</v>
      </c>
      <c r="D53" s="150">
        <f t="shared" si="0"/>
        <v>918</v>
      </c>
      <c r="E53" s="150">
        <v>1215</v>
      </c>
      <c r="F53" s="150">
        <v>783</v>
      </c>
      <c r="G53" s="150">
        <f t="shared" si="1"/>
        <v>432</v>
      </c>
      <c r="H53" s="120"/>
    </row>
    <row r="54" spans="1:8" ht="14.1" customHeight="1" x14ac:dyDescent="0.25">
      <c r="A54" s="202" t="s">
        <v>59</v>
      </c>
      <c r="B54" s="354">
        <v>15593</v>
      </c>
      <c r="C54" s="354">
        <v>14046</v>
      </c>
      <c r="D54" s="150">
        <f t="shared" si="0"/>
        <v>1547</v>
      </c>
      <c r="E54" s="150">
        <v>10514</v>
      </c>
      <c r="F54" s="150">
        <v>9864</v>
      </c>
      <c r="G54" s="150">
        <f t="shared" si="1"/>
        <v>650</v>
      </c>
      <c r="H54" s="120"/>
    </row>
    <row r="55" spans="1:8" ht="14.1" customHeight="1" x14ac:dyDescent="0.25">
      <c r="A55" s="201" t="s">
        <v>60</v>
      </c>
      <c r="B55" s="355">
        <v>175220</v>
      </c>
      <c r="C55" s="355">
        <v>172943</v>
      </c>
      <c r="D55" s="358">
        <f t="shared" si="0"/>
        <v>2277</v>
      </c>
      <c r="E55" s="149">
        <v>114345</v>
      </c>
      <c r="F55" s="149">
        <v>112024</v>
      </c>
      <c r="G55" s="358">
        <f t="shared" si="1"/>
        <v>2321</v>
      </c>
      <c r="H55" s="120"/>
    </row>
    <row r="56" spans="1:8" ht="14.1" customHeight="1" x14ac:dyDescent="0.25">
      <c r="A56" s="202" t="s">
        <v>61</v>
      </c>
      <c r="B56" s="354">
        <v>25060</v>
      </c>
      <c r="C56" s="354">
        <v>25366</v>
      </c>
      <c r="D56" s="150">
        <f t="shared" si="0"/>
        <v>-306</v>
      </c>
      <c r="E56" s="150">
        <v>15399</v>
      </c>
      <c r="F56" s="150">
        <v>15383</v>
      </c>
      <c r="G56" s="150">
        <f t="shared" si="1"/>
        <v>16</v>
      </c>
      <c r="H56" s="120"/>
    </row>
    <row r="57" spans="1:8" ht="14.1" customHeight="1" x14ac:dyDescent="0.25">
      <c r="A57" s="202" t="s">
        <v>62</v>
      </c>
      <c r="B57" s="354">
        <v>3550</v>
      </c>
      <c r="C57" s="354">
        <v>3530</v>
      </c>
      <c r="D57" s="150">
        <f t="shared" si="0"/>
        <v>20</v>
      </c>
      <c r="E57" s="150">
        <v>2400</v>
      </c>
      <c r="F57" s="150">
        <v>2569</v>
      </c>
      <c r="G57" s="150">
        <f t="shared" si="1"/>
        <v>-169</v>
      </c>
      <c r="H57" s="120"/>
    </row>
    <row r="58" spans="1:8" ht="14.1" customHeight="1" x14ac:dyDescent="0.25">
      <c r="A58" s="202" t="s">
        <v>63</v>
      </c>
      <c r="B58" s="354">
        <v>4018</v>
      </c>
      <c r="C58" s="354">
        <v>3810</v>
      </c>
      <c r="D58" s="150">
        <f t="shared" si="0"/>
        <v>208</v>
      </c>
      <c r="E58" s="150">
        <v>2571</v>
      </c>
      <c r="F58" s="150">
        <v>2614</v>
      </c>
      <c r="G58" s="150">
        <f t="shared" si="1"/>
        <v>-43</v>
      </c>
      <c r="H58" s="120"/>
    </row>
    <row r="59" spans="1:8" ht="14.1" customHeight="1" x14ac:dyDescent="0.25">
      <c r="A59" s="202" t="s">
        <v>64</v>
      </c>
      <c r="B59" s="354">
        <v>24185</v>
      </c>
      <c r="C59" s="354">
        <v>24865</v>
      </c>
      <c r="D59" s="150">
        <f t="shared" si="0"/>
        <v>-680</v>
      </c>
      <c r="E59" s="150">
        <v>13317</v>
      </c>
      <c r="F59" s="150">
        <v>13456</v>
      </c>
      <c r="G59" s="150">
        <f t="shared" si="1"/>
        <v>-139</v>
      </c>
      <c r="H59" s="120"/>
    </row>
    <row r="60" spans="1:8" ht="14.1" customHeight="1" x14ac:dyDescent="0.25">
      <c r="A60" s="202" t="s">
        <v>65</v>
      </c>
      <c r="B60" s="354">
        <v>8487</v>
      </c>
      <c r="C60" s="354">
        <v>6891</v>
      </c>
      <c r="D60" s="150">
        <f t="shared" si="0"/>
        <v>1596</v>
      </c>
      <c r="E60" s="150">
        <v>5317</v>
      </c>
      <c r="F60" s="150">
        <v>3899</v>
      </c>
      <c r="G60" s="150">
        <f t="shared" si="1"/>
        <v>1418</v>
      </c>
      <c r="H60" s="120"/>
    </row>
    <row r="61" spans="1:8" ht="14.1" customHeight="1" x14ac:dyDescent="0.25">
      <c r="A61" s="202" t="s">
        <v>66</v>
      </c>
      <c r="B61" s="354">
        <v>6310</v>
      </c>
      <c r="C61" s="354">
        <v>6419</v>
      </c>
      <c r="D61" s="150">
        <f t="shared" si="0"/>
        <v>-109</v>
      </c>
      <c r="E61" s="150">
        <v>3871</v>
      </c>
      <c r="F61" s="150">
        <v>3881</v>
      </c>
      <c r="G61" s="150">
        <f t="shared" si="1"/>
        <v>-10</v>
      </c>
      <c r="H61" s="120"/>
    </row>
    <row r="62" spans="1:8" ht="14.1" customHeight="1" x14ac:dyDescent="0.25">
      <c r="A62" s="202" t="s">
        <v>67</v>
      </c>
      <c r="B62" s="354">
        <v>16827</v>
      </c>
      <c r="C62" s="354">
        <v>16449</v>
      </c>
      <c r="D62" s="150">
        <f t="shared" si="0"/>
        <v>378</v>
      </c>
      <c r="E62" s="150">
        <v>11011</v>
      </c>
      <c r="F62" s="150">
        <v>10715</v>
      </c>
      <c r="G62" s="150">
        <f t="shared" si="1"/>
        <v>296</v>
      </c>
      <c r="H62" s="120"/>
    </row>
    <row r="63" spans="1:8" ht="14.1" customHeight="1" x14ac:dyDescent="0.25">
      <c r="A63" s="202" t="s">
        <v>68</v>
      </c>
      <c r="B63" s="354">
        <v>6773</v>
      </c>
      <c r="C63" s="354">
        <v>6564</v>
      </c>
      <c r="D63" s="150">
        <f t="shared" si="0"/>
        <v>209</v>
      </c>
      <c r="E63" s="150">
        <v>5064</v>
      </c>
      <c r="F63" s="150">
        <v>5032</v>
      </c>
      <c r="G63" s="150">
        <f t="shared" si="1"/>
        <v>32</v>
      </c>
      <c r="H63" s="120"/>
    </row>
    <row r="64" spans="1:8" ht="14.1" customHeight="1" x14ac:dyDescent="0.25">
      <c r="A64" s="202" t="s">
        <v>69</v>
      </c>
      <c r="B64" s="354">
        <v>19572</v>
      </c>
      <c r="C64" s="354">
        <v>19615</v>
      </c>
      <c r="D64" s="150">
        <f t="shared" si="0"/>
        <v>-43</v>
      </c>
      <c r="E64" s="150">
        <v>13592</v>
      </c>
      <c r="F64" s="150">
        <v>12698</v>
      </c>
      <c r="G64" s="150">
        <f t="shared" si="1"/>
        <v>894</v>
      </c>
      <c r="H64" s="120"/>
    </row>
    <row r="65" spans="1:8" ht="14.1" customHeight="1" x14ac:dyDescent="0.25">
      <c r="A65" s="202" t="s">
        <v>70</v>
      </c>
      <c r="B65" s="354">
        <v>12304</v>
      </c>
      <c r="C65" s="354">
        <v>12866</v>
      </c>
      <c r="D65" s="150">
        <f t="shared" si="0"/>
        <v>-562</v>
      </c>
      <c r="E65" s="150">
        <v>8424</v>
      </c>
      <c r="F65" s="150">
        <v>8437</v>
      </c>
      <c r="G65" s="150">
        <f t="shared" si="1"/>
        <v>-13</v>
      </c>
      <c r="H65" s="120"/>
    </row>
    <row r="66" spans="1:8" ht="14.1" customHeight="1" x14ac:dyDescent="0.25">
      <c r="A66" s="202" t="s">
        <v>71</v>
      </c>
      <c r="B66" s="354">
        <v>7211</v>
      </c>
      <c r="C66" s="354">
        <v>6919</v>
      </c>
      <c r="D66" s="150">
        <f t="shared" si="0"/>
        <v>292</v>
      </c>
      <c r="E66" s="150">
        <v>5242</v>
      </c>
      <c r="F66" s="150">
        <v>5073</v>
      </c>
      <c r="G66" s="150">
        <f t="shared" si="1"/>
        <v>169</v>
      </c>
      <c r="H66" s="120"/>
    </row>
    <row r="67" spans="1:8" ht="14.1" customHeight="1" x14ac:dyDescent="0.25">
      <c r="A67" s="202" t="s">
        <v>72</v>
      </c>
      <c r="B67" s="354">
        <v>20095</v>
      </c>
      <c r="C67" s="354">
        <v>19340</v>
      </c>
      <c r="D67" s="150">
        <f t="shared" si="0"/>
        <v>755</v>
      </c>
      <c r="E67" s="150">
        <v>13551</v>
      </c>
      <c r="F67" s="150">
        <v>13932</v>
      </c>
      <c r="G67" s="150">
        <f t="shared" si="1"/>
        <v>-381</v>
      </c>
      <c r="H67" s="120"/>
    </row>
    <row r="68" spans="1:8" ht="14.1" customHeight="1" x14ac:dyDescent="0.25">
      <c r="A68" s="203" t="s">
        <v>73</v>
      </c>
      <c r="B68" s="354">
        <v>13614</v>
      </c>
      <c r="C68" s="354">
        <v>13148</v>
      </c>
      <c r="D68" s="150">
        <f t="shared" si="0"/>
        <v>466</v>
      </c>
      <c r="E68" s="150">
        <v>9885</v>
      </c>
      <c r="F68" s="150">
        <v>9695</v>
      </c>
      <c r="G68" s="150">
        <f t="shared" si="1"/>
        <v>190</v>
      </c>
      <c r="H68" s="120"/>
    </row>
    <row r="69" spans="1:8" ht="14.1" customHeight="1" x14ac:dyDescent="0.25">
      <c r="A69" s="202" t="s">
        <v>74</v>
      </c>
      <c r="B69" s="354">
        <v>7214</v>
      </c>
      <c r="C69" s="354">
        <v>7161</v>
      </c>
      <c r="D69" s="150">
        <f t="shared" si="0"/>
        <v>53</v>
      </c>
      <c r="E69" s="150">
        <v>4701</v>
      </c>
      <c r="F69" s="150">
        <v>4640</v>
      </c>
      <c r="G69" s="150">
        <f t="shared" si="1"/>
        <v>61</v>
      </c>
      <c r="H69" s="120"/>
    </row>
    <row r="70" spans="1:8" ht="14.1" customHeight="1" x14ac:dyDescent="0.25">
      <c r="A70" s="206" t="s">
        <v>75</v>
      </c>
      <c r="B70" s="355">
        <v>84274</v>
      </c>
      <c r="C70" s="355">
        <v>78087</v>
      </c>
      <c r="D70" s="358">
        <f t="shared" ref="D70:D100" si="2">B70-C70</f>
        <v>6187</v>
      </c>
      <c r="E70" s="149">
        <v>59579</v>
      </c>
      <c r="F70" s="149">
        <v>57002</v>
      </c>
      <c r="G70" s="358">
        <f t="shared" ref="G70:G100" si="3">E70-F70</f>
        <v>2577</v>
      </c>
      <c r="H70" s="120"/>
    </row>
    <row r="71" spans="1:8" ht="14.1" customHeight="1" x14ac:dyDescent="0.25">
      <c r="A71" s="202" t="s">
        <v>76</v>
      </c>
      <c r="B71" s="354">
        <v>4752</v>
      </c>
      <c r="C71" s="354">
        <v>4685</v>
      </c>
      <c r="D71" s="150">
        <f t="shared" si="2"/>
        <v>67</v>
      </c>
      <c r="E71" s="150">
        <v>3871</v>
      </c>
      <c r="F71" s="150">
        <v>3393</v>
      </c>
      <c r="G71" s="150">
        <f t="shared" si="3"/>
        <v>478</v>
      </c>
      <c r="H71" s="120"/>
    </row>
    <row r="72" spans="1:8" ht="14.1" customHeight="1" x14ac:dyDescent="0.25">
      <c r="A72" s="202" t="s">
        <v>77</v>
      </c>
      <c r="B72" s="354">
        <v>29459</v>
      </c>
      <c r="C72" s="354">
        <v>27772</v>
      </c>
      <c r="D72" s="150">
        <f t="shared" si="2"/>
        <v>1687</v>
      </c>
      <c r="E72" s="150">
        <v>20525</v>
      </c>
      <c r="F72" s="150">
        <v>19170</v>
      </c>
      <c r="G72" s="150">
        <f t="shared" si="3"/>
        <v>1355</v>
      </c>
      <c r="H72" s="120"/>
    </row>
    <row r="73" spans="1:8" ht="14.1" customHeight="1" x14ac:dyDescent="0.25">
      <c r="A73" s="202" t="s">
        <v>78</v>
      </c>
      <c r="B73" s="354">
        <v>27342</v>
      </c>
      <c r="C73" s="354">
        <v>24608</v>
      </c>
      <c r="D73" s="150">
        <f t="shared" si="2"/>
        <v>2734</v>
      </c>
      <c r="E73" s="150">
        <v>18843</v>
      </c>
      <c r="F73" s="150">
        <v>18665</v>
      </c>
      <c r="G73" s="150">
        <f t="shared" si="3"/>
        <v>178</v>
      </c>
      <c r="H73" s="120"/>
    </row>
    <row r="74" spans="1:8" ht="14.1" customHeight="1" x14ac:dyDescent="0.25">
      <c r="A74" s="202" t="s">
        <v>79</v>
      </c>
      <c r="B74" s="354">
        <v>12912</v>
      </c>
      <c r="C74" s="354">
        <v>11370</v>
      </c>
      <c r="D74" s="150">
        <f t="shared" si="2"/>
        <v>1542</v>
      </c>
      <c r="E74" s="150">
        <v>8919</v>
      </c>
      <c r="F74" s="150">
        <v>8868</v>
      </c>
      <c r="G74" s="150">
        <f t="shared" si="3"/>
        <v>51</v>
      </c>
      <c r="H74" s="120"/>
    </row>
    <row r="75" spans="1:8" ht="14.1" customHeight="1" x14ac:dyDescent="0.25">
      <c r="A75" s="202" t="s">
        <v>80</v>
      </c>
      <c r="B75" s="354">
        <v>3829</v>
      </c>
      <c r="C75" s="354">
        <v>3508</v>
      </c>
      <c r="D75" s="150">
        <f t="shared" si="2"/>
        <v>321</v>
      </c>
      <c r="E75" s="150">
        <v>2857</v>
      </c>
      <c r="F75" s="150">
        <v>2943</v>
      </c>
      <c r="G75" s="150">
        <f t="shared" si="3"/>
        <v>-86</v>
      </c>
      <c r="H75" s="120"/>
    </row>
    <row r="76" spans="1:8" ht="14.1" customHeight="1" x14ac:dyDescent="0.25">
      <c r="A76" s="205" t="s">
        <v>288</v>
      </c>
      <c r="B76" s="354">
        <v>10601</v>
      </c>
      <c r="C76" s="354">
        <v>9730</v>
      </c>
      <c r="D76" s="150">
        <f t="shared" si="2"/>
        <v>871</v>
      </c>
      <c r="E76" s="150">
        <v>7067</v>
      </c>
      <c r="F76" s="150">
        <v>6854</v>
      </c>
      <c r="G76" s="150">
        <f t="shared" si="3"/>
        <v>213</v>
      </c>
      <c r="H76" s="120"/>
    </row>
    <row r="77" spans="1:8" ht="14.1" customHeight="1" x14ac:dyDescent="0.25">
      <c r="A77" s="202" t="s">
        <v>81</v>
      </c>
      <c r="B77" s="354">
        <v>22721</v>
      </c>
      <c r="C77" s="354">
        <v>21022</v>
      </c>
      <c r="D77" s="150">
        <f t="shared" si="2"/>
        <v>1699</v>
      </c>
      <c r="E77" s="150">
        <v>16340</v>
      </c>
      <c r="F77" s="150">
        <v>15774</v>
      </c>
      <c r="G77" s="150">
        <f t="shared" si="3"/>
        <v>566</v>
      </c>
      <c r="H77" s="120"/>
    </row>
    <row r="78" spans="1:8" ht="14.1" customHeight="1" x14ac:dyDescent="0.25">
      <c r="A78" s="201" t="s">
        <v>82</v>
      </c>
      <c r="B78" s="355">
        <v>114359</v>
      </c>
      <c r="C78" s="355">
        <v>108357</v>
      </c>
      <c r="D78" s="358">
        <f t="shared" si="2"/>
        <v>6002</v>
      </c>
      <c r="E78" s="149">
        <v>78673</v>
      </c>
      <c r="F78" s="149">
        <v>74816</v>
      </c>
      <c r="G78" s="358">
        <f t="shared" si="3"/>
        <v>3857</v>
      </c>
      <c r="H78" s="120"/>
    </row>
    <row r="79" spans="1:8" ht="14.1" customHeight="1" x14ac:dyDescent="0.25">
      <c r="A79" s="202" t="s">
        <v>83</v>
      </c>
      <c r="B79" s="354">
        <v>1540</v>
      </c>
      <c r="C79" s="354">
        <v>1419</v>
      </c>
      <c r="D79" s="150">
        <f t="shared" si="2"/>
        <v>121</v>
      </c>
      <c r="E79" s="150">
        <v>1012</v>
      </c>
      <c r="F79" s="150">
        <v>882</v>
      </c>
      <c r="G79" s="150">
        <f t="shared" si="3"/>
        <v>130</v>
      </c>
      <c r="H79" s="120"/>
    </row>
    <row r="80" spans="1:8" ht="14.1" customHeight="1" x14ac:dyDescent="0.25">
      <c r="A80" s="202" t="s">
        <v>85</v>
      </c>
      <c r="B80" s="354">
        <v>2180</v>
      </c>
      <c r="C80" s="354">
        <v>1747</v>
      </c>
      <c r="D80" s="150">
        <f t="shared" si="2"/>
        <v>433</v>
      </c>
      <c r="E80" s="150">
        <v>743</v>
      </c>
      <c r="F80" s="150">
        <v>608</v>
      </c>
      <c r="G80" s="150">
        <f t="shared" si="3"/>
        <v>135</v>
      </c>
      <c r="H80" s="120"/>
    </row>
    <row r="81" spans="1:8" ht="14.1" customHeight="1" x14ac:dyDescent="0.25">
      <c r="A81" s="202" t="s">
        <v>86</v>
      </c>
      <c r="B81" s="354">
        <v>3648</v>
      </c>
      <c r="C81" s="354">
        <v>3180</v>
      </c>
      <c r="D81" s="150">
        <f t="shared" si="2"/>
        <v>468</v>
      </c>
      <c r="E81" s="150">
        <v>2382</v>
      </c>
      <c r="F81" s="150">
        <v>2078</v>
      </c>
      <c r="G81" s="150">
        <f t="shared" si="3"/>
        <v>304</v>
      </c>
      <c r="H81" s="120"/>
    </row>
    <row r="82" spans="1:8" ht="14.1" customHeight="1" x14ac:dyDescent="0.25">
      <c r="A82" s="202" t="s">
        <v>87</v>
      </c>
      <c r="B82" s="354">
        <v>13506</v>
      </c>
      <c r="C82" s="354">
        <v>13221</v>
      </c>
      <c r="D82" s="150">
        <f t="shared" si="2"/>
        <v>285</v>
      </c>
      <c r="E82" s="150">
        <v>10201</v>
      </c>
      <c r="F82" s="150">
        <v>10040</v>
      </c>
      <c r="G82" s="150">
        <f t="shared" si="3"/>
        <v>161</v>
      </c>
      <c r="H82" s="120"/>
    </row>
    <row r="83" spans="1:8" ht="14.1" customHeight="1" x14ac:dyDescent="0.25">
      <c r="A83" s="202" t="s">
        <v>89</v>
      </c>
      <c r="B83" s="354">
        <v>20367</v>
      </c>
      <c r="C83" s="354">
        <v>19069</v>
      </c>
      <c r="D83" s="150">
        <f t="shared" si="2"/>
        <v>1298</v>
      </c>
      <c r="E83" s="150">
        <v>14286</v>
      </c>
      <c r="F83" s="150">
        <v>13694</v>
      </c>
      <c r="G83" s="150">
        <f t="shared" si="3"/>
        <v>592</v>
      </c>
      <c r="H83" s="120"/>
    </row>
    <row r="84" spans="1:8" ht="14.1" customHeight="1" x14ac:dyDescent="0.25">
      <c r="A84" s="202" t="s">
        <v>90</v>
      </c>
      <c r="B84" s="354">
        <v>18081</v>
      </c>
      <c r="C84" s="354">
        <v>17071</v>
      </c>
      <c r="D84" s="150">
        <f t="shared" si="2"/>
        <v>1010</v>
      </c>
      <c r="E84" s="150">
        <v>11946</v>
      </c>
      <c r="F84" s="150">
        <v>11043</v>
      </c>
      <c r="G84" s="150">
        <f t="shared" si="3"/>
        <v>903</v>
      </c>
      <c r="H84" s="120"/>
    </row>
    <row r="85" spans="1:8" ht="14.1" customHeight="1" x14ac:dyDescent="0.25">
      <c r="A85" s="202" t="s">
        <v>91</v>
      </c>
      <c r="B85" s="354">
        <v>16139</v>
      </c>
      <c r="C85" s="354">
        <v>15963</v>
      </c>
      <c r="D85" s="150">
        <f t="shared" si="2"/>
        <v>176</v>
      </c>
      <c r="E85" s="150">
        <v>11451</v>
      </c>
      <c r="F85" s="150">
        <v>11556</v>
      </c>
      <c r="G85" s="150">
        <f t="shared" si="3"/>
        <v>-105</v>
      </c>
      <c r="H85" s="120"/>
    </row>
    <row r="86" spans="1:8" ht="14.1" customHeight="1" x14ac:dyDescent="0.25">
      <c r="A86" s="202" t="s">
        <v>92</v>
      </c>
      <c r="B86" s="354">
        <v>19405</v>
      </c>
      <c r="C86" s="354">
        <v>17648</v>
      </c>
      <c r="D86" s="150">
        <f t="shared" si="2"/>
        <v>1757</v>
      </c>
      <c r="E86" s="150">
        <v>13281</v>
      </c>
      <c r="F86" s="150">
        <v>12550</v>
      </c>
      <c r="G86" s="150">
        <f t="shared" si="3"/>
        <v>731</v>
      </c>
      <c r="H86" s="120"/>
    </row>
    <row r="87" spans="1:8" ht="14.1" customHeight="1" x14ac:dyDescent="0.25">
      <c r="A87" s="202" t="s">
        <v>93</v>
      </c>
      <c r="B87" s="354">
        <v>12492</v>
      </c>
      <c r="C87" s="354">
        <v>12181</v>
      </c>
      <c r="D87" s="150">
        <f t="shared" si="2"/>
        <v>311</v>
      </c>
      <c r="E87" s="150">
        <v>8540</v>
      </c>
      <c r="F87" s="150">
        <v>8375</v>
      </c>
      <c r="G87" s="150">
        <f t="shared" si="3"/>
        <v>165</v>
      </c>
      <c r="H87" s="120"/>
    </row>
    <row r="88" spans="1:8" ht="14.1" customHeight="1" x14ac:dyDescent="0.25">
      <c r="A88" s="202" t="s">
        <v>94</v>
      </c>
      <c r="B88" s="354">
        <v>7001</v>
      </c>
      <c r="C88" s="354">
        <v>6858</v>
      </c>
      <c r="D88" s="150">
        <f t="shared" si="2"/>
        <v>143</v>
      </c>
      <c r="E88" s="150">
        <v>4831</v>
      </c>
      <c r="F88" s="150">
        <v>3990</v>
      </c>
      <c r="G88" s="150">
        <f t="shared" si="3"/>
        <v>841</v>
      </c>
      <c r="H88" s="120"/>
    </row>
    <row r="89" spans="1:8" ht="14.1" customHeight="1" x14ac:dyDescent="0.25">
      <c r="A89" s="206" t="s">
        <v>95</v>
      </c>
      <c r="B89" s="355">
        <v>58156</v>
      </c>
      <c r="C89" s="355">
        <v>54416</v>
      </c>
      <c r="D89" s="358">
        <f t="shared" si="2"/>
        <v>3740</v>
      </c>
      <c r="E89" s="149">
        <v>39976</v>
      </c>
      <c r="F89" s="149">
        <v>37656</v>
      </c>
      <c r="G89" s="358">
        <f t="shared" si="3"/>
        <v>2320</v>
      </c>
      <c r="H89" s="120"/>
    </row>
    <row r="90" spans="1:8" ht="14.1" customHeight="1" x14ac:dyDescent="0.25">
      <c r="A90" s="202" t="s">
        <v>84</v>
      </c>
      <c r="B90" s="354">
        <v>6046</v>
      </c>
      <c r="C90" s="354">
        <v>5568</v>
      </c>
      <c r="D90" s="150">
        <f t="shared" si="2"/>
        <v>478</v>
      </c>
      <c r="E90" s="150">
        <v>3746</v>
      </c>
      <c r="F90" s="150">
        <v>3506</v>
      </c>
      <c r="G90" s="150">
        <f t="shared" si="3"/>
        <v>240</v>
      </c>
      <c r="H90" s="120"/>
    </row>
    <row r="91" spans="1:8" ht="14.1" customHeight="1" x14ac:dyDescent="0.25">
      <c r="A91" s="202" t="s">
        <v>96</v>
      </c>
      <c r="B91" s="354">
        <v>6468</v>
      </c>
      <c r="C91" s="354">
        <v>6030</v>
      </c>
      <c r="D91" s="150">
        <f t="shared" si="2"/>
        <v>438</v>
      </c>
      <c r="E91" s="150">
        <v>4161</v>
      </c>
      <c r="F91" s="150">
        <v>3285</v>
      </c>
      <c r="G91" s="150">
        <f t="shared" si="3"/>
        <v>876</v>
      </c>
      <c r="H91" s="120"/>
    </row>
    <row r="92" spans="1:8" ht="14.1" customHeight="1" x14ac:dyDescent="0.25">
      <c r="A92" s="202" t="s">
        <v>88</v>
      </c>
      <c r="B92" s="354">
        <v>7356</v>
      </c>
      <c r="C92" s="354">
        <v>6600</v>
      </c>
      <c r="D92" s="150">
        <f t="shared" si="2"/>
        <v>756</v>
      </c>
      <c r="E92" s="150">
        <v>5059</v>
      </c>
      <c r="F92" s="150">
        <v>4805</v>
      </c>
      <c r="G92" s="150">
        <f t="shared" si="3"/>
        <v>254</v>
      </c>
      <c r="H92" s="120"/>
    </row>
    <row r="93" spans="1:8" ht="14.1" customHeight="1" x14ac:dyDescent="0.25">
      <c r="A93" s="202" t="s">
        <v>97</v>
      </c>
      <c r="B93" s="354">
        <v>2556</v>
      </c>
      <c r="C93" s="354">
        <v>2330</v>
      </c>
      <c r="D93" s="150">
        <f t="shared" si="2"/>
        <v>226</v>
      </c>
      <c r="E93" s="150">
        <v>1861</v>
      </c>
      <c r="F93" s="150">
        <v>1637</v>
      </c>
      <c r="G93" s="150">
        <f t="shared" si="3"/>
        <v>224</v>
      </c>
      <c r="H93" s="120"/>
    </row>
    <row r="94" spans="1:8" ht="14.1" customHeight="1" x14ac:dyDescent="0.25">
      <c r="A94" s="202" t="s">
        <v>98</v>
      </c>
      <c r="B94" s="354">
        <v>14387</v>
      </c>
      <c r="C94" s="354">
        <v>13364</v>
      </c>
      <c r="D94" s="150">
        <f t="shared" si="2"/>
        <v>1023</v>
      </c>
      <c r="E94" s="150">
        <v>9459</v>
      </c>
      <c r="F94" s="150">
        <v>9212</v>
      </c>
      <c r="G94" s="150">
        <f t="shared" si="3"/>
        <v>247</v>
      </c>
      <c r="H94" s="120"/>
    </row>
    <row r="95" spans="1:8" ht="14.1" customHeight="1" x14ac:dyDescent="0.25">
      <c r="A95" s="202" t="s">
        <v>99</v>
      </c>
      <c r="B95" s="354">
        <v>9766</v>
      </c>
      <c r="C95" s="354">
        <v>8810</v>
      </c>
      <c r="D95" s="150">
        <f t="shared" si="2"/>
        <v>956</v>
      </c>
      <c r="E95" s="150">
        <v>6885</v>
      </c>
      <c r="F95" s="150">
        <v>6655</v>
      </c>
      <c r="G95" s="150">
        <f t="shared" si="3"/>
        <v>230</v>
      </c>
      <c r="H95" s="120"/>
    </row>
    <row r="96" spans="1:8" ht="14.1" customHeight="1" x14ac:dyDescent="0.25">
      <c r="A96" s="202" t="s">
        <v>100</v>
      </c>
      <c r="B96" s="354">
        <v>5623</v>
      </c>
      <c r="C96" s="354">
        <v>5744</v>
      </c>
      <c r="D96" s="150">
        <f t="shared" si="2"/>
        <v>-121</v>
      </c>
      <c r="E96" s="150">
        <v>4179</v>
      </c>
      <c r="F96" s="150">
        <v>4097</v>
      </c>
      <c r="G96" s="150">
        <f t="shared" si="3"/>
        <v>82</v>
      </c>
      <c r="H96" s="120"/>
    </row>
    <row r="97" spans="1:8" ht="14.1" customHeight="1" x14ac:dyDescent="0.25">
      <c r="A97" s="202" t="s">
        <v>101</v>
      </c>
      <c r="B97" s="354">
        <v>984</v>
      </c>
      <c r="C97" s="354">
        <v>994</v>
      </c>
      <c r="D97" s="150">
        <f t="shared" si="2"/>
        <v>-10</v>
      </c>
      <c r="E97" s="150">
        <v>758</v>
      </c>
      <c r="F97" s="150">
        <v>721</v>
      </c>
      <c r="G97" s="150">
        <f t="shared" si="3"/>
        <v>37</v>
      </c>
      <c r="H97" s="120"/>
    </row>
    <row r="98" spans="1:8" ht="14.1" customHeight="1" x14ac:dyDescent="0.25">
      <c r="A98" s="202" t="s">
        <v>102</v>
      </c>
      <c r="B98" s="354">
        <v>3607</v>
      </c>
      <c r="C98" s="354">
        <v>3658</v>
      </c>
      <c r="D98" s="150">
        <f t="shared" si="2"/>
        <v>-51</v>
      </c>
      <c r="E98" s="150">
        <v>2832</v>
      </c>
      <c r="F98" s="150">
        <v>2729</v>
      </c>
      <c r="G98" s="150">
        <f t="shared" si="3"/>
        <v>103</v>
      </c>
      <c r="H98" s="120"/>
    </row>
    <row r="99" spans="1:8" ht="14.1" customHeight="1" x14ac:dyDescent="0.25">
      <c r="A99" s="202" t="s">
        <v>103</v>
      </c>
      <c r="B99" s="354">
        <v>1003</v>
      </c>
      <c r="C99" s="354">
        <v>962</v>
      </c>
      <c r="D99" s="150">
        <f t="shared" si="2"/>
        <v>41</v>
      </c>
      <c r="E99" s="150">
        <v>789</v>
      </c>
      <c r="F99" s="150">
        <v>770</v>
      </c>
      <c r="G99" s="150">
        <f t="shared" si="3"/>
        <v>19</v>
      </c>
      <c r="H99" s="120"/>
    </row>
    <row r="100" spans="1:8" ht="14.1" customHeight="1" x14ac:dyDescent="0.25">
      <c r="A100" s="273" t="s">
        <v>104</v>
      </c>
      <c r="B100" s="357">
        <v>360</v>
      </c>
      <c r="C100" s="357">
        <v>356</v>
      </c>
      <c r="D100" s="302">
        <f t="shared" si="2"/>
        <v>4</v>
      </c>
      <c r="E100" s="302">
        <v>247</v>
      </c>
      <c r="F100" s="302">
        <v>239</v>
      </c>
      <c r="G100" s="302">
        <f t="shared" si="3"/>
        <v>8</v>
      </c>
    </row>
    <row r="103" spans="1:8" x14ac:dyDescent="0.25">
      <c r="D103" s="136"/>
      <c r="F103" s="121"/>
    </row>
    <row r="104" spans="1:8" x14ac:dyDescent="0.25">
      <c r="F104" s="121"/>
    </row>
    <row r="105" spans="1:8" x14ac:dyDescent="0.25">
      <c r="F105" s="121"/>
    </row>
    <row r="106" spans="1:8" x14ac:dyDescent="0.25">
      <c r="F106" s="121"/>
    </row>
    <row r="107" spans="1:8" x14ac:dyDescent="0.25">
      <c r="F107" s="121"/>
    </row>
    <row r="108" spans="1:8" x14ac:dyDescent="0.25">
      <c r="F108" s="121"/>
    </row>
    <row r="109" spans="1:8" x14ac:dyDescent="0.25">
      <c r="F109" s="121"/>
    </row>
    <row r="110" spans="1:8" x14ac:dyDescent="0.25">
      <c r="F110" s="121"/>
    </row>
    <row r="111" spans="1:8" x14ac:dyDescent="0.25">
      <c r="F111" s="121"/>
    </row>
    <row r="112" spans="1:8" x14ac:dyDescent="0.25">
      <c r="F112" s="121"/>
    </row>
    <row r="113" spans="6:6" x14ac:dyDescent="0.25">
      <c r="F113" s="121"/>
    </row>
    <row r="114" spans="6:6" x14ac:dyDescent="0.25">
      <c r="F114" s="121"/>
    </row>
    <row r="115" spans="6:6" x14ac:dyDescent="0.25">
      <c r="F115" s="121"/>
    </row>
    <row r="116" spans="6:6" x14ac:dyDescent="0.25">
      <c r="F116" s="121"/>
    </row>
    <row r="117" spans="6:6" x14ac:dyDescent="0.25">
      <c r="F117" s="121"/>
    </row>
    <row r="118" spans="6:6" x14ac:dyDescent="0.25">
      <c r="F118" s="121"/>
    </row>
    <row r="119" spans="6:6" x14ac:dyDescent="0.25">
      <c r="F119" s="121"/>
    </row>
    <row r="120" spans="6:6" x14ac:dyDescent="0.25">
      <c r="F120" s="121"/>
    </row>
    <row r="121" spans="6:6" x14ac:dyDescent="0.25">
      <c r="F121" s="121"/>
    </row>
    <row r="122" spans="6:6" x14ac:dyDescent="0.25">
      <c r="F122" s="121"/>
    </row>
  </sheetData>
  <mergeCells count="6">
    <mergeCell ref="A1:G1"/>
    <mergeCell ref="A3:A4"/>
    <mergeCell ref="B3:C3"/>
    <mergeCell ref="D3:D4"/>
    <mergeCell ref="E3:F3"/>
    <mergeCell ref="G3:G4"/>
  </mergeCells>
  <printOptions horizontalCentered="1"/>
  <pageMargins left="0.70866141732283472" right="0.70866141732283472" top="0.70866141732283472" bottom="0.19685039370078741" header="0.31496062992125984" footer="0.31496062992125984"/>
  <pageSetup paperSize="9" firstPageNumber="51" orientation="landscape" useFirstPageNumber="1" r:id="rId1"/>
  <headerFooter>
    <oddHeader>&amp;C&amp;"Arial,обычный"&amp;10&amp;P</oddHeader>
  </headerFooter>
  <rowBreaks count="2" manualBreakCount="2">
    <brk id="37" max="16383" man="1"/>
    <brk id="69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H109"/>
  <sheetViews>
    <sheetView topLeftCell="A88" zoomScaleNormal="100" workbookViewId="0">
      <selection activeCell="C110" sqref="C110"/>
    </sheetView>
  </sheetViews>
  <sheetFormatPr defaultRowHeight="15" x14ac:dyDescent="0.25"/>
  <cols>
    <col min="1" max="1" width="44.28515625" customWidth="1"/>
    <col min="2" max="7" width="13.42578125" customWidth="1"/>
  </cols>
  <sheetData>
    <row r="1" spans="1:8" x14ac:dyDescent="0.25">
      <c r="A1" s="582" t="s">
        <v>286</v>
      </c>
      <c r="B1" s="534"/>
      <c r="C1" s="534"/>
      <c r="D1" s="534"/>
      <c r="E1" s="534"/>
      <c r="F1" s="534"/>
      <c r="G1" s="534"/>
    </row>
    <row r="2" spans="1:8" ht="12.95" customHeight="1" x14ac:dyDescent="0.25">
      <c r="A2" s="119"/>
      <c r="B2" s="119"/>
      <c r="C2" s="119"/>
      <c r="D2" s="119"/>
      <c r="E2" s="119"/>
      <c r="F2" s="119"/>
      <c r="G2" s="119"/>
    </row>
    <row r="3" spans="1:8" ht="14.1" customHeight="1" x14ac:dyDescent="0.25">
      <c r="A3" s="583"/>
      <c r="B3" s="588" t="s">
        <v>283</v>
      </c>
      <c r="C3" s="589"/>
      <c r="D3" s="589" t="s">
        <v>284</v>
      </c>
      <c r="E3" s="589"/>
      <c r="F3" s="590" t="s">
        <v>285</v>
      </c>
      <c r="G3" s="591"/>
    </row>
    <row r="4" spans="1:8" ht="12" customHeight="1" x14ac:dyDescent="0.25">
      <c r="A4" s="583"/>
      <c r="B4" s="588"/>
      <c r="C4" s="589"/>
      <c r="D4" s="589"/>
      <c r="E4" s="589"/>
      <c r="F4" s="592"/>
      <c r="G4" s="593"/>
    </row>
    <row r="5" spans="1:8" x14ac:dyDescent="0.25">
      <c r="A5" s="583"/>
      <c r="B5" s="264" t="s">
        <v>361</v>
      </c>
      <c r="C5" s="264" t="s">
        <v>330</v>
      </c>
      <c r="D5" s="264" t="s">
        <v>343</v>
      </c>
      <c r="E5" s="264" t="s">
        <v>330</v>
      </c>
      <c r="F5" s="264" t="s">
        <v>343</v>
      </c>
      <c r="G5" s="264" t="s">
        <v>330</v>
      </c>
      <c r="H5" s="36"/>
    </row>
    <row r="6" spans="1:8" ht="14.1" customHeight="1" x14ac:dyDescent="0.25">
      <c r="A6" s="234" t="s">
        <v>13</v>
      </c>
      <c r="B6" s="127">
        <v>6.5</v>
      </c>
      <c r="C6" s="127">
        <v>6.1</v>
      </c>
      <c r="D6" s="127">
        <v>4.2</v>
      </c>
      <c r="E6" s="127">
        <v>4</v>
      </c>
      <c r="F6" s="122">
        <f>ROUND(ТАБ_20!E5/ТАБ_20!B5*1000,0)</f>
        <v>653</v>
      </c>
      <c r="G6" s="122">
        <f>ROUND(ТАБ_20!F5/ТАБ_20!C5*1000,0)</f>
        <v>654</v>
      </c>
    </row>
    <row r="7" spans="1:8" ht="14.1" customHeight="1" x14ac:dyDescent="0.25">
      <c r="A7" s="201" t="s">
        <v>14</v>
      </c>
      <c r="B7" s="127">
        <v>6.6</v>
      </c>
      <c r="C7" s="127">
        <v>6.1</v>
      </c>
      <c r="D7" s="127">
        <v>4.3</v>
      </c>
      <c r="E7" s="127">
        <v>3.9</v>
      </c>
      <c r="F7" s="122">
        <f>ROUND(ТАБ_20!E6/ТАБ_20!B6*1000,0)</f>
        <v>649</v>
      </c>
      <c r="G7" s="122">
        <f>ROUND(ТАБ_20!F6/ТАБ_20!C6*1000,0)</f>
        <v>640</v>
      </c>
    </row>
    <row r="8" spans="1:8" ht="14.1" customHeight="1" x14ac:dyDescent="0.25">
      <c r="A8" s="202" t="s">
        <v>15</v>
      </c>
      <c r="B8" s="128">
        <v>6.7</v>
      </c>
      <c r="C8" s="128">
        <v>6.7</v>
      </c>
      <c r="D8" s="128">
        <v>4.2</v>
      </c>
      <c r="E8" s="128">
        <v>4.4000000000000004</v>
      </c>
      <c r="F8" s="123">
        <f>ROUND(ТАБ_20!E7/ТАБ_20!B7*1000,0)</f>
        <v>631</v>
      </c>
      <c r="G8" s="123">
        <f>ROUND(ТАБ_20!F7/ТАБ_20!C7*1000,0)</f>
        <v>647</v>
      </c>
    </row>
    <row r="9" spans="1:8" ht="14.1" customHeight="1" x14ac:dyDescent="0.25">
      <c r="A9" s="202" t="s">
        <v>16</v>
      </c>
      <c r="B9" s="128">
        <v>6.5</v>
      </c>
      <c r="C9" s="128">
        <v>6</v>
      </c>
      <c r="D9" s="128">
        <v>4.5</v>
      </c>
      <c r="E9" s="128">
        <v>4.5</v>
      </c>
      <c r="F9" s="123">
        <f>ROUND(ТАБ_20!E8/ТАБ_20!B8*1000,0)</f>
        <v>697</v>
      </c>
      <c r="G9" s="123">
        <f>ROUND(ТАБ_20!F8/ТАБ_20!C8*1000,0)</f>
        <v>742</v>
      </c>
    </row>
    <row r="10" spans="1:8" ht="14.1" customHeight="1" x14ac:dyDescent="0.25">
      <c r="A10" s="202" t="s">
        <v>17</v>
      </c>
      <c r="B10" s="128">
        <v>6</v>
      </c>
      <c r="C10" s="128">
        <v>5.9</v>
      </c>
      <c r="D10" s="128">
        <v>4</v>
      </c>
      <c r="E10" s="128">
        <v>4</v>
      </c>
      <c r="F10" s="123">
        <f>ROUND(ТАБ_20!E9/ТАБ_20!B9*1000,0)</f>
        <v>674</v>
      </c>
      <c r="G10" s="123">
        <f>ROUND(ТАБ_20!F9/ТАБ_20!C9*1000,0)</f>
        <v>678</v>
      </c>
    </row>
    <row r="11" spans="1:8" ht="14.1" customHeight="1" x14ac:dyDescent="0.25">
      <c r="A11" s="202" t="s">
        <v>18</v>
      </c>
      <c r="B11" s="128">
        <v>6.9</v>
      </c>
      <c r="C11" s="128">
        <v>6.2</v>
      </c>
      <c r="D11" s="128">
        <v>4.4000000000000004</v>
      </c>
      <c r="E11" s="128">
        <v>4.0999999999999996</v>
      </c>
      <c r="F11" s="123">
        <f>ROUND(ТАБ_20!E10/ТАБ_20!B10*1000,0)</f>
        <v>632</v>
      </c>
      <c r="G11" s="123">
        <f>ROUND(ТАБ_20!F10/ТАБ_20!C10*1000,0)</f>
        <v>665</v>
      </c>
    </row>
    <row r="12" spans="1:8" ht="14.1" customHeight="1" x14ac:dyDescent="0.25">
      <c r="A12" s="202" t="s">
        <v>19</v>
      </c>
      <c r="B12" s="128">
        <v>5.7</v>
      </c>
      <c r="C12" s="128">
        <v>5.6</v>
      </c>
      <c r="D12" s="128">
        <v>4.0999999999999996</v>
      </c>
      <c r="E12" s="128">
        <v>3.9</v>
      </c>
      <c r="F12" s="123">
        <f>ROUND(ТАБ_20!E11/ТАБ_20!B11*1000,0)</f>
        <v>717</v>
      </c>
      <c r="G12" s="123">
        <f>ROUND(ТАБ_20!F11/ТАБ_20!C11*1000,0)</f>
        <v>698</v>
      </c>
    </row>
    <row r="13" spans="1:8" ht="14.1" customHeight="1" x14ac:dyDescent="0.25">
      <c r="A13" s="202" t="s">
        <v>20</v>
      </c>
      <c r="B13" s="128">
        <v>7.1</v>
      </c>
      <c r="C13" s="128">
        <v>6.5</v>
      </c>
      <c r="D13" s="128">
        <v>4.9000000000000004</v>
      </c>
      <c r="E13" s="128">
        <v>4.4000000000000004</v>
      </c>
      <c r="F13" s="123">
        <f>ROUND(ТАБ_20!E12/ТАБ_20!B12*1000,0)</f>
        <v>687</v>
      </c>
      <c r="G13" s="123">
        <f>ROUND(ТАБ_20!F12/ТАБ_20!C12*1000,0)</f>
        <v>681</v>
      </c>
    </row>
    <row r="14" spans="1:8" ht="14.1" customHeight="1" x14ac:dyDescent="0.25">
      <c r="A14" s="203" t="s">
        <v>21</v>
      </c>
      <c r="B14" s="128">
        <v>5.7</v>
      </c>
      <c r="C14" s="128">
        <v>5.6</v>
      </c>
      <c r="D14" s="128">
        <v>4.4000000000000004</v>
      </c>
      <c r="E14" s="128">
        <v>4</v>
      </c>
      <c r="F14" s="123">
        <f>ROUND(ТАБ_20!E13/ТАБ_20!B13*1000,0)</f>
        <v>781</v>
      </c>
      <c r="G14" s="123">
        <f>ROUND(ТАБ_20!F13/ТАБ_20!C13*1000,0)</f>
        <v>716</v>
      </c>
    </row>
    <row r="15" spans="1:8" ht="14.1" customHeight="1" x14ac:dyDescent="0.25">
      <c r="A15" s="202" t="s">
        <v>22</v>
      </c>
      <c r="B15" s="128">
        <v>6.5</v>
      </c>
      <c r="C15" s="128">
        <v>6.3</v>
      </c>
      <c r="D15" s="128">
        <v>4.4000000000000004</v>
      </c>
      <c r="E15" s="128">
        <v>4.4000000000000004</v>
      </c>
      <c r="F15" s="123">
        <f>ROUND(ТАБ_20!E14/ТАБ_20!B14*1000,0)</f>
        <v>679</v>
      </c>
      <c r="G15" s="123">
        <f>ROUND(ТАБ_20!F14/ТАБ_20!C14*1000,0)</f>
        <v>710</v>
      </c>
    </row>
    <row r="16" spans="1:8" ht="14.1" customHeight="1" x14ac:dyDescent="0.25">
      <c r="A16" s="202" t="s">
        <v>23</v>
      </c>
      <c r="B16" s="128">
        <v>6.2</v>
      </c>
      <c r="C16" s="128">
        <v>5.9</v>
      </c>
      <c r="D16" s="128">
        <v>4.3</v>
      </c>
      <c r="E16" s="128">
        <v>4.0999999999999996</v>
      </c>
      <c r="F16" s="123">
        <f>ROUND(ТАБ_20!E15/ТАБ_20!B15*1000,0)</f>
        <v>696</v>
      </c>
      <c r="G16" s="123">
        <f>ROUND(ТАБ_20!F15/ТАБ_20!C15*1000,0)</f>
        <v>698</v>
      </c>
    </row>
    <row r="17" spans="1:7" ht="14.1" customHeight="1" x14ac:dyDescent="0.25">
      <c r="A17" s="202" t="s">
        <v>24</v>
      </c>
      <c r="B17" s="128">
        <v>7.4</v>
      </c>
      <c r="C17" s="128">
        <v>6.5</v>
      </c>
      <c r="D17" s="128">
        <v>4.9000000000000004</v>
      </c>
      <c r="E17" s="128">
        <v>3.9</v>
      </c>
      <c r="F17" s="123">
        <f>ROUND(ТАБ_20!E16/ТАБ_20!B16*1000,0)</f>
        <v>667</v>
      </c>
      <c r="G17" s="123">
        <f>ROUND(ТАБ_20!F16/ТАБ_20!C16*1000,0)</f>
        <v>596</v>
      </c>
    </row>
    <row r="18" spans="1:7" ht="14.1" customHeight="1" x14ac:dyDescent="0.25">
      <c r="A18" s="202" t="s">
        <v>25</v>
      </c>
      <c r="B18" s="128">
        <v>6.4</v>
      </c>
      <c r="C18" s="128">
        <v>6.1</v>
      </c>
      <c r="D18" s="128">
        <v>4.5</v>
      </c>
      <c r="E18" s="128">
        <v>3.8</v>
      </c>
      <c r="F18" s="123">
        <f>ROUND(ТАБ_20!E17/ТАБ_20!B17*1000,0)</f>
        <v>699</v>
      </c>
      <c r="G18" s="123">
        <f>ROUND(ТАБ_20!F17/ТАБ_20!C17*1000,0)</f>
        <v>629</v>
      </c>
    </row>
    <row r="19" spans="1:7" ht="14.1" customHeight="1" x14ac:dyDescent="0.25">
      <c r="A19" s="203" t="s">
        <v>26</v>
      </c>
      <c r="B19" s="128">
        <v>6</v>
      </c>
      <c r="C19" s="128">
        <v>5.9</v>
      </c>
      <c r="D19" s="128">
        <v>4.5</v>
      </c>
      <c r="E19" s="128">
        <v>4.2</v>
      </c>
      <c r="F19" s="123">
        <f>ROUND(ТАБ_20!E18/ТАБ_20!B18*1000,0)</f>
        <v>752</v>
      </c>
      <c r="G19" s="123">
        <f>ROUND(ТАБ_20!F18/ТАБ_20!C18*1000,0)</f>
        <v>712</v>
      </c>
    </row>
    <row r="20" spans="1:7" ht="14.1" customHeight="1" x14ac:dyDescent="0.25">
      <c r="A20" s="202" t="s">
        <v>27</v>
      </c>
      <c r="B20" s="128">
        <v>6.1</v>
      </c>
      <c r="C20" s="128">
        <v>5.5</v>
      </c>
      <c r="D20" s="128">
        <v>4.5999999999999996</v>
      </c>
      <c r="E20" s="128">
        <v>4.4000000000000004</v>
      </c>
      <c r="F20" s="123">
        <f>ROUND(ТАБ_20!E19/ТАБ_20!B19*1000,0)</f>
        <v>763</v>
      </c>
      <c r="G20" s="123">
        <f>ROUND(ТАБ_20!F19/ТАБ_20!C19*1000,0)</f>
        <v>793</v>
      </c>
    </row>
    <row r="21" spans="1:7" ht="14.1" customHeight="1" x14ac:dyDescent="0.25">
      <c r="A21" s="202" t="s">
        <v>28</v>
      </c>
      <c r="B21" s="128">
        <v>5.7</v>
      </c>
      <c r="C21" s="128">
        <v>5.5</v>
      </c>
      <c r="D21" s="128">
        <v>4</v>
      </c>
      <c r="E21" s="128">
        <v>3.8</v>
      </c>
      <c r="F21" s="123">
        <f>ROUND(ТАБ_20!E20/ТАБ_20!B20*1000,0)</f>
        <v>697</v>
      </c>
      <c r="G21" s="123">
        <f>ROUND(ТАБ_20!F20/ТАБ_20!C20*1000,0)</f>
        <v>695</v>
      </c>
    </row>
    <row r="22" spans="1:7" ht="14.1" customHeight="1" x14ac:dyDescent="0.25">
      <c r="A22" s="202" t="s">
        <v>29</v>
      </c>
      <c r="B22" s="128">
        <v>6</v>
      </c>
      <c r="C22" s="128">
        <v>5.9</v>
      </c>
      <c r="D22" s="128">
        <v>4.4000000000000004</v>
      </c>
      <c r="E22" s="128">
        <v>4.3</v>
      </c>
      <c r="F22" s="123">
        <f>ROUND(ТАБ_20!E21/ТАБ_20!B21*1000,0)</f>
        <v>733</v>
      </c>
      <c r="G22" s="123">
        <f>ROUND(ТАБ_20!F21/ТАБ_20!C21*1000,0)</f>
        <v>724</v>
      </c>
    </row>
    <row r="23" spans="1:7" ht="14.1" customHeight="1" x14ac:dyDescent="0.25">
      <c r="A23" s="202" t="s">
        <v>30</v>
      </c>
      <c r="B23" s="128">
        <v>6.1</v>
      </c>
      <c r="C23" s="128">
        <v>5.7</v>
      </c>
      <c r="D23" s="128">
        <v>4.2</v>
      </c>
      <c r="E23" s="128">
        <v>4.0999999999999996</v>
      </c>
      <c r="F23" s="123">
        <f>ROUND(ТАБ_20!E22/ТАБ_20!B22*1000,0)</f>
        <v>677</v>
      </c>
      <c r="G23" s="123">
        <f>ROUND(ТАБ_20!F22/ТАБ_20!C22*1000,0)</f>
        <v>715</v>
      </c>
    </row>
    <row r="24" spans="1:7" ht="14.1" customHeight="1" x14ac:dyDescent="0.25">
      <c r="A24" s="202" t="s">
        <v>31</v>
      </c>
      <c r="B24" s="128">
        <v>6.4</v>
      </c>
      <c r="C24" s="128">
        <v>5.8</v>
      </c>
      <c r="D24" s="128">
        <v>4.3</v>
      </c>
      <c r="E24" s="128">
        <v>4</v>
      </c>
      <c r="F24" s="123">
        <f>ROUND(ТАБ_20!E23/ТАБ_20!B23*1000,0)</f>
        <v>672</v>
      </c>
      <c r="G24" s="123">
        <f>ROUND(ТАБ_20!F23/ТАБ_20!C23*1000,0)</f>
        <v>691</v>
      </c>
    </row>
    <row r="25" spans="1:7" ht="14.1" customHeight="1" x14ac:dyDescent="0.25">
      <c r="A25" s="202" t="s">
        <v>32</v>
      </c>
      <c r="B25" s="128">
        <v>6.6</v>
      </c>
      <c r="C25" s="128">
        <v>6</v>
      </c>
      <c r="D25" s="128">
        <v>3.8</v>
      </c>
      <c r="E25" s="128">
        <v>3.5</v>
      </c>
      <c r="F25" s="123">
        <f>ROUND(ТАБ_20!E24/ТАБ_20!B24*1000,0)</f>
        <v>579</v>
      </c>
      <c r="G25" s="123">
        <f>ROUND(ТАБ_20!F24/ТАБ_20!C24*1000,0)</f>
        <v>583</v>
      </c>
    </row>
    <row r="26" spans="1:7" ht="14.1" customHeight="1" x14ac:dyDescent="0.25">
      <c r="A26" s="204" t="s">
        <v>33</v>
      </c>
      <c r="B26" s="127">
        <v>7.1</v>
      </c>
      <c r="C26" s="127">
        <v>6.6</v>
      </c>
      <c r="D26" s="127">
        <v>4.7</v>
      </c>
      <c r="E26" s="127">
        <v>4.5999999999999996</v>
      </c>
      <c r="F26" s="122">
        <f>ROUND(ТАБ_20!E25/ТАБ_20!B25*1000,0)</f>
        <v>663</v>
      </c>
      <c r="G26" s="122">
        <f>ROUND(ТАБ_20!F25/ТАБ_20!C25*1000,0)</f>
        <v>694</v>
      </c>
    </row>
    <row r="27" spans="1:7" ht="14.1" customHeight="1" x14ac:dyDescent="0.25">
      <c r="A27" s="202" t="s">
        <v>34</v>
      </c>
      <c r="B27" s="128">
        <v>6.4</v>
      </c>
      <c r="C27" s="128">
        <v>6.4</v>
      </c>
      <c r="D27" s="128">
        <v>4.5999999999999996</v>
      </c>
      <c r="E27" s="128">
        <v>4</v>
      </c>
      <c r="F27" s="123">
        <f>ROUND(ТАБ_20!E26/ТАБ_20!B26*1000,0)</f>
        <v>721</v>
      </c>
      <c r="G27" s="123">
        <f>ROUND(ТАБ_20!F26/ТАБ_20!C26*1000,0)</f>
        <v>626</v>
      </c>
    </row>
    <row r="28" spans="1:7" ht="14.1" customHeight="1" x14ac:dyDescent="0.25">
      <c r="A28" s="202" t="s">
        <v>35</v>
      </c>
      <c r="B28" s="128">
        <v>5.8</v>
      </c>
      <c r="C28" s="128">
        <v>5.6</v>
      </c>
      <c r="D28" s="128">
        <v>4.7</v>
      </c>
      <c r="E28" s="128">
        <v>4.5999999999999996</v>
      </c>
      <c r="F28" s="123">
        <f>ROUND(ТАБ_20!E27/ТАБ_20!B27*1000,0)</f>
        <v>803</v>
      </c>
      <c r="G28" s="123">
        <f>ROUND(ТАБ_20!F27/ТАБ_20!C27*1000,0)</f>
        <v>819</v>
      </c>
    </row>
    <row r="29" spans="1:7" ht="14.1" customHeight="1" x14ac:dyDescent="0.25">
      <c r="A29" s="202" t="s">
        <v>36</v>
      </c>
      <c r="B29" s="128">
        <v>6.1</v>
      </c>
      <c r="C29" s="128">
        <v>5.8</v>
      </c>
      <c r="D29" s="128">
        <v>4.3</v>
      </c>
      <c r="E29" s="128">
        <v>4.3</v>
      </c>
      <c r="F29" s="123">
        <f>ROUND(ТАБ_20!E28/ТАБ_20!B28*1000,0)</f>
        <v>705</v>
      </c>
      <c r="G29" s="123">
        <f>ROUND(ТАБ_20!F28/ТАБ_20!C28*1000,0)</f>
        <v>745</v>
      </c>
    </row>
    <row r="30" spans="1:7" ht="14.1" customHeight="1" x14ac:dyDescent="0.25">
      <c r="A30" s="202" t="s">
        <v>37</v>
      </c>
      <c r="B30" s="128">
        <v>5.2</v>
      </c>
      <c r="C30" s="128">
        <v>4.8</v>
      </c>
      <c r="D30" s="128">
        <v>4</v>
      </c>
      <c r="E30" s="128">
        <v>3.7</v>
      </c>
      <c r="F30" s="123">
        <f>ROUND(ТАБ_20!E29/ТАБ_20!B29*1000,0)</f>
        <v>775</v>
      </c>
      <c r="G30" s="123">
        <f>ROUND(ТАБ_20!F29/ТАБ_20!C29*1000,0)</f>
        <v>776</v>
      </c>
    </row>
    <row r="31" spans="1:7" ht="14.1" customHeight="1" x14ac:dyDescent="0.25">
      <c r="A31" s="205" t="s">
        <v>287</v>
      </c>
      <c r="B31" s="128">
        <v>6.1</v>
      </c>
      <c r="C31" s="128">
        <v>5.8</v>
      </c>
      <c r="D31" s="128">
        <v>4.3</v>
      </c>
      <c r="E31" s="128">
        <v>4.3</v>
      </c>
      <c r="F31" s="123">
        <f>ROUND(ТАБ_20!E30/ТАБ_20!B30*1000,0)</f>
        <v>702</v>
      </c>
      <c r="G31" s="123">
        <f>ROUND(ТАБ_20!F30/ТАБ_20!C30*1000,0)</f>
        <v>744</v>
      </c>
    </row>
    <row r="32" spans="1:7" ht="14.1" customHeight="1" x14ac:dyDescent="0.25">
      <c r="A32" s="202" t="s">
        <v>38</v>
      </c>
      <c r="B32" s="128">
        <v>5.9</v>
      </c>
      <c r="C32" s="128">
        <v>5.3</v>
      </c>
      <c r="D32" s="128">
        <v>4</v>
      </c>
      <c r="E32" s="128">
        <v>3.9</v>
      </c>
      <c r="F32" s="123">
        <f>ROUND(ТАБ_20!E31/ТАБ_20!B31*1000,0)</f>
        <v>677</v>
      </c>
      <c r="G32" s="123">
        <f>ROUND(ТАБ_20!F31/ТАБ_20!C31*1000,0)</f>
        <v>733</v>
      </c>
    </row>
    <row r="33" spans="1:8" ht="14.1" customHeight="1" x14ac:dyDescent="0.25">
      <c r="A33" s="202" t="s">
        <v>39</v>
      </c>
      <c r="B33" s="128">
        <v>7.4</v>
      </c>
      <c r="C33" s="128">
        <v>7</v>
      </c>
      <c r="D33" s="128">
        <v>5.5</v>
      </c>
      <c r="E33" s="128">
        <v>5.2</v>
      </c>
      <c r="F33" s="123">
        <f>ROUND(ТАБ_20!E32/ТАБ_20!B32*1000,0)</f>
        <v>741</v>
      </c>
      <c r="G33" s="123">
        <f>ROUND(ТАБ_20!F32/ТАБ_20!C32*1000,0)</f>
        <v>743</v>
      </c>
    </row>
    <row r="34" spans="1:8" ht="14.1" customHeight="1" x14ac:dyDescent="0.25">
      <c r="A34" s="202" t="s">
        <v>40</v>
      </c>
      <c r="B34" s="128">
        <v>4.2</v>
      </c>
      <c r="C34" s="128">
        <v>4.0999999999999996</v>
      </c>
      <c r="D34" s="128">
        <v>4.0999999999999996</v>
      </c>
      <c r="E34" s="128">
        <v>4.0999999999999996</v>
      </c>
      <c r="F34" s="123">
        <f>ROUND(ТАБ_20!E33/ТАБ_20!B33*1000,0)</f>
        <v>980</v>
      </c>
      <c r="G34" s="123">
        <f>ROUND(ТАБ_20!F33/ТАБ_20!C33*1000,0)</f>
        <v>1005</v>
      </c>
    </row>
    <row r="35" spans="1:8" ht="14.1" customHeight="1" x14ac:dyDescent="0.25">
      <c r="A35" s="202" t="s">
        <v>41</v>
      </c>
      <c r="B35" s="128">
        <v>6.8</v>
      </c>
      <c r="C35" s="128">
        <v>6.7</v>
      </c>
      <c r="D35" s="128">
        <v>5.4</v>
      </c>
      <c r="E35" s="128">
        <v>5.2</v>
      </c>
      <c r="F35" s="123">
        <f>ROUND(ТАБ_20!E34/ТАБ_20!B34*1000,0)</f>
        <v>794</v>
      </c>
      <c r="G35" s="123">
        <f>ROUND(ТАБ_20!F34/ТАБ_20!C34*1000,0)</f>
        <v>772</v>
      </c>
    </row>
    <row r="36" spans="1:8" ht="14.1" customHeight="1" x14ac:dyDescent="0.25">
      <c r="A36" s="202" t="s">
        <v>42</v>
      </c>
      <c r="B36" s="128">
        <v>5.8</v>
      </c>
      <c r="C36" s="128">
        <v>5.3</v>
      </c>
      <c r="D36" s="128">
        <v>4.7</v>
      </c>
      <c r="E36" s="128">
        <v>4.4000000000000004</v>
      </c>
      <c r="F36" s="123">
        <f>ROUND(ТАБ_20!E35/ТАБ_20!B35*1000,0)</f>
        <v>802</v>
      </c>
      <c r="G36" s="123">
        <f>ROUND(ТАБ_20!F35/ТАБ_20!C35*1000,0)</f>
        <v>840</v>
      </c>
    </row>
    <row r="37" spans="1:8" ht="14.1" customHeight="1" x14ac:dyDescent="0.25">
      <c r="A37" s="202" t="s">
        <v>43</v>
      </c>
      <c r="B37" s="128">
        <v>5.7</v>
      </c>
      <c r="C37" s="128">
        <v>5.7</v>
      </c>
      <c r="D37" s="128">
        <v>4.0999999999999996</v>
      </c>
      <c r="E37" s="128">
        <v>4.3</v>
      </c>
      <c r="F37" s="123">
        <f>ROUND(ТАБ_20!E36/ТАБ_20!B36*1000,0)</f>
        <v>725</v>
      </c>
      <c r="G37" s="123">
        <f>ROUND(ТАБ_20!F36/ТАБ_20!C36*1000,0)</f>
        <v>742</v>
      </c>
    </row>
    <row r="38" spans="1:8" ht="14.1" customHeight="1" x14ac:dyDescent="0.25">
      <c r="A38" s="202" t="s">
        <v>44</v>
      </c>
      <c r="B38" s="128">
        <v>9.1999999999999993</v>
      </c>
      <c r="C38" s="128">
        <v>8.1999999999999993</v>
      </c>
      <c r="D38" s="128">
        <v>5</v>
      </c>
      <c r="E38" s="128">
        <v>4.8</v>
      </c>
      <c r="F38" s="123">
        <f>ROUND(ТАБ_20!E37/ТАБ_20!B37*1000,0)</f>
        <v>546</v>
      </c>
      <c r="G38" s="123">
        <f>ROUND(ТАБ_20!F37/ТАБ_20!C37*1000,0)</f>
        <v>589</v>
      </c>
    </row>
    <row r="39" spans="1:8" ht="14.1" customHeight="1" x14ac:dyDescent="0.25">
      <c r="A39" s="206" t="s">
        <v>45</v>
      </c>
      <c r="B39" s="359">
        <v>6.6</v>
      </c>
      <c r="C39" s="359">
        <v>6.1</v>
      </c>
      <c r="D39" s="359">
        <v>4.3</v>
      </c>
      <c r="E39" s="359">
        <v>3.9</v>
      </c>
      <c r="F39" s="122">
        <f>ROUND(ТАБ_20!E38/ТАБ_20!B38*1000,0)</f>
        <v>654</v>
      </c>
      <c r="G39" s="122">
        <f>ROUND(ТАБ_20!F38/ТАБ_20!C38*1000,0)</f>
        <v>639</v>
      </c>
    </row>
    <row r="40" spans="1:8" ht="14.1" customHeight="1" x14ac:dyDescent="0.25">
      <c r="A40" s="202" t="s">
        <v>46</v>
      </c>
      <c r="B40" s="128">
        <v>4.9000000000000004</v>
      </c>
      <c r="C40" s="128">
        <v>4.5</v>
      </c>
      <c r="D40" s="128">
        <v>3.7</v>
      </c>
      <c r="E40" s="128">
        <v>3.6</v>
      </c>
      <c r="F40" s="123">
        <f>ROUND(ТАБ_20!E39/ТАБ_20!B39*1000,0)</f>
        <v>755</v>
      </c>
      <c r="G40" s="123">
        <f>ROUND(ТАБ_20!F39/ТАБ_20!C39*1000,0)</f>
        <v>799</v>
      </c>
    </row>
    <row r="41" spans="1:8" ht="14.1" customHeight="1" x14ac:dyDescent="0.25">
      <c r="A41" s="202" t="s">
        <v>47</v>
      </c>
      <c r="B41" s="128">
        <v>5</v>
      </c>
      <c r="C41" s="128">
        <v>4.8</v>
      </c>
      <c r="D41" s="128">
        <v>3.8</v>
      </c>
      <c r="E41" s="128">
        <v>3.7</v>
      </c>
      <c r="F41" s="123">
        <f>ROUND(ТАБ_20!E40/ТАБ_20!B40*1000,0)</f>
        <v>753</v>
      </c>
      <c r="G41" s="123">
        <f>ROUND(ТАБ_20!F40/ТАБ_20!C40*1000,0)</f>
        <v>779</v>
      </c>
    </row>
    <row r="42" spans="1:8" s="124" customFormat="1" ht="14.1" customHeight="1" x14ac:dyDescent="0.25">
      <c r="A42" s="202" t="s">
        <v>202</v>
      </c>
      <c r="B42" s="128">
        <v>6.9</v>
      </c>
      <c r="C42" s="128">
        <v>6.1</v>
      </c>
      <c r="D42" s="128">
        <v>3.7</v>
      </c>
      <c r="E42" s="128">
        <v>3.6</v>
      </c>
      <c r="F42" s="123">
        <f>ROUND(ТАБ_20!E41/ТАБ_20!B41*1000,0)</f>
        <v>534</v>
      </c>
      <c r="G42" s="123">
        <f>ROUND(ТАБ_20!F41/ТАБ_20!C41*1000,0)</f>
        <v>592</v>
      </c>
      <c r="H42"/>
    </row>
    <row r="43" spans="1:8" ht="14.1" customHeight="1" x14ac:dyDescent="0.25">
      <c r="A43" s="202" t="s">
        <v>48</v>
      </c>
      <c r="B43" s="128">
        <v>7.5</v>
      </c>
      <c r="C43" s="128">
        <v>6.9</v>
      </c>
      <c r="D43" s="128">
        <v>4.8</v>
      </c>
      <c r="E43" s="128">
        <v>3.8</v>
      </c>
      <c r="F43" s="123">
        <f>ROUND(ТАБ_20!E42/ТАБ_20!B42*1000,0)</f>
        <v>644</v>
      </c>
      <c r="G43" s="123">
        <f>ROUND(ТАБ_20!F42/ТАБ_20!C42*1000,0)</f>
        <v>553</v>
      </c>
    </row>
    <row r="44" spans="1:8" ht="14.1" customHeight="1" x14ac:dyDescent="0.25">
      <c r="A44" s="202" t="s">
        <v>49</v>
      </c>
      <c r="B44" s="128">
        <v>5.8</v>
      </c>
      <c r="C44" s="128">
        <v>5.6</v>
      </c>
      <c r="D44" s="128">
        <v>4</v>
      </c>
      <c r="E44" s="128">
        <v>4.0999999999999996</v>
      </c>
      <c r="F44" s="123">
        <f>ROUND(ТАБ_20!E43/ТАБ_20!B43*1000,0)</f>
        <v>692</v>
      </c>
      <c r="G44" s="123">
        <f>ROUND(ТАБ_20!F43/ТАБ_20!C43*1000,0)</f>
        <v>729</v>
      </c>
    </row>
    <row r="45" spans="1:8" ht="14.1" customHeight="1" x14ac:dyDescent="0.25">
      <c r="A45" s="202" t="s">
        <v>50</v>
      </c>
      <c r="B45" s="128">
        <v>5.5</v>
      </c>
      <c r="C45" s="128">
        <v>5.2</v>
      </c>
      <c r="D45" s="128">
        <v>4.0999999999999996</v>
      </c>
      <c r="E45" s="128">
        <v>3.9</v>
      </c>
      <c r="F45" s="123">
        <f>ROUND(ТАБ_20!E44/ТАБ_20!B44*1000,0)</f>
        <v>737</v>
      </c>
      <c r="G45" s="123">
        <f>ROUND(ТАБ_20!F44/ТАБ_20!C44*1000,0)</f>
        <v>754</v>
      </c>
    </row>
    <row r="46" spans="1:8" ht="14.1" customHeight="1" x14ac:dyDescent="0.25">
      <c r="A46" s="202" t="s">
        <v>51</v>
      </c>
      <c r="B46" s="128">
        <v>6.3</v>
      </c>
      <c r="C46" s="128">
        <v>5.9</v>
      </c>
      <c r="D46" s="128">
        <v>4.3</v>
      </c>
      <c r="E46" s="128">
        <v>4.0999999999999996</v>
      </c>
      <c r="F46" s="123">
        <f>ROUND(ТАБ_20!E45/ТАБ_20!B45*1000,0)</f>
        <v>680</v>
      </c>
      <c r="G46" s="123">
        <f>ROUND(ТАБ_20!F45/ТАБ_20!C45*1000,0)</f>
        <v>700</v>
      </c>
    </row>
    <row r="47" spans="1:8" s="124" customFormat="1" ht="14.1" customHeight="1" x14ac:dyDescent="0.25">
      <c r="A47" s="202" t="s">
        <v>204</v>
      </c>
      <c r="B47" s="128">
        <v>8.6</v>
      </c>
      <c r="C47" s="128">
        <v>7.6</v>
      </c>
      <c r="D47" s="128">
        <v>4.5999999999999996</v>
      </c>
      <c r="E47" s="128">
        <v>4.4000000000000004</v>
      </c>
      <c r="F47" s="123">
        <f>ROUND(ТАБ_20!E46/ТАБ_20!B46*1000,0)</f>
        <v>532</v>
      </c>
      <c r="G47" s="123">
        <f>ROUND(ТАБ_20!F46/ТАБ_20!C46*1000,0)</f>
        <v>579</v>
      </c>
      <c r="H47"/>
    </row>
    <row r="48" spans="1:8" ht="14.1" customHeight="1" x14ac:dyDescent="0.25">
      <c r="A48" s="207" t="s">
        <v>52</v>
      </c>
      <c r="B48" s="127">
        <v>5.0999999999999996</v>
      </c>
      <c r="C48" s="127">
        <v>4.7</v>
      </c>
      <c r="D48" s="127">
        <v>2.2999999999999998</v>
      </c>
      <c r="E48" s="127">
        <v>2.1</v>
      </c>
      <c r="F48" s="122">
        <f>ROUND(ТАБ_20!E47/ТАБ_20!B47*1000,0)</f>
        <v>451</v>
      </c>
      <c r="G48" s="122">
        <f>ROUND(ТАБ_20!F47/ТАБ_20!C47*1000,0)</f>
        <v>446</v>
      </c>
    </row>
    <row r="49" spans="1:7" ht="14.1" customHeight="1" x14ac:dyDescent="0.25">
      <c r="A49" s="202" t="s">
        <v>53</v>
      </c>
      <c r="B49" s="128">
        <v>4.8</v>
      </c>
      <c r="C49" s="128">
        <v>4.8</v>
      </c>
      <c r="D49" s="128">
        <v>1.6</v>
      </c>
      <c r="E49" s="128">
        <v>1.4</v>
      </c>
      <c r="F49" s="123">
        <f>ROUND(ТАБ_20!E48/ТАБ_20!B48*1000,0)</f>
        <v>332</v>
      </c>
      <c r="G49" s="123">
        <f>ROUND(ТАБ_20!F48/ТАБ_20!C48*1000,0)</f>
        <v>304</v>
      </c>
    </row>
    <row r="50" spans="1:7" ht="14.1" customHeight="1" x14ac:dyDescent="0.25">
      <c r="A50" s="202" t="s">
        <v>54</v>
      </c>
      <c r="B50" s="128">
        <v>3.9</v>
      </c>
      <c r="C50" s="128">
        <v>3.8</v>
      </c>
      <c r="D50" s="128">
        <v>0.8</v>
      </c>
      <c r="E50" s="128">
        <v>0.8</v>
      </c>
      <c r="F50" s="123">
        <f>ROUND(ТАБ_20!E49/ТАБ_20!B49*1000,0)</f>
        <v>205</v>
      </c>
      <c r="G50" s="123">
        <f>ROUND(ТАБ_20!F49/ТАБ_20!C49*1000,0)</f>
        <v>211</v>
      </c>
    </row>
    <row r="51" spans="1:7" ht="14.1" customHeight="1" x14ac:dyDescent="0.25">
      <c r="A51" s="202" t="s">
        <v>55</v>
      </c>
      <c r="B51" s="128">
        <v>5.2</v>
      </c>
      <c r="C51" s="128">
        <v>4.5</v>
      </c>
      <c r="D51" s="128">
        <v>2.6</v>
      </c>
      <c r="E51" s="128">
        <v>2.4</v>
      </c>
      <c r="F51" s="123">
        <f>ROUND(ТАБ_20!E50/ТАБ_20!B50*1000,0)</f>
        <v>508</v>
      </c>
      <c r="G51" s="123">
        <f>ROUND(ТАБ_20!F50/ТАБ_20!C50*1000,0)</f>
        <v>537</v>
      </c>
    </row>
    <row r="52" spans="1:7" ht="14.1" customHeight="1" x14ac:dyDescent="0.25">
      <c r="A52" s="202" t="s">
        <v>56</v>
      </c>
      <c r="B52" s="128">
        <v>4.8</v>
      </c>
      <c r="C52" s="128">
        <v>4.5999999999999996</v>
      </c>
      <c r="D52" s="128">
        <v>3.1</v>
      </c>
      <c r="E52" s="128">
        <v>3.2</v>
      </c>
      <c r="F52" s="123">
        <f>ROUND(ТАБ_20!E51/ТАБ_20!B51*1000,0)</f>
        <v>650</v>
      </c>
      <c r="G52" s="123">
        <f>ROUND(ТАБ_20!F51/ТАБ_20!C51*1000,0)</f>
        <v>693</v>
      </c>
    </row>
    <row r="53" spans="1:7" ht="14.1" customHeight="1" x14ac:dyDescent="0.25">
      <c r="A53" s="202" t="s">
        <v>57</v>
      </c>
      <c r="B53" s="128">
        <v>4.5999999999999996</v>
      </c>
      <c r="C53" s="128">
        <v>4.7</v>
      </c>
      <c r="D53" s="128">
        <v>2.6</v>
      </c>
      <c r="E53" s="128">
        <v>2.5</v>
      </c>
      <c r="F53" s="123">
        <f>ROUND(ТАБ_20!E52/ТАБ_20!B52*1000,0)</f>
        <v>558</v>
      </c>
      <c r="G53" s="123">
        <f>ROUND(ТАБ_20!F52/ТАБ_20!C52*1000,0)</f>
        <v>547</v>
      </c>
    </row>
    <row r="54" spans="1:7" ht="14.1" customHeight="1" x14ac:dyDescent="0.25">
      <c r="A54" s="202" t="s">
        <v>58</v>
      </c>
      <c r="B54" s="128">
        <v>5.3</v>
      </c>
      <c r="C54" s="128">
        <v>4.7</v>
      </c>
      <c r="D54" s="128">
        <v>0.8</v>
      </c>
      <c r="E54" s="128">
        <v>0.5</v>
      </c>
      <c r="F54" s="123">
        <f>ROUND(ТАБ_20!E53/ТАБ_20!B53*1000,0)</f>
        <v>157</v>
      </c>
      <c r="G54" s="123">
        <f>ROUND(ТАБ_20!F53/ТАБ_20!C53*1000,0)</f>
        <v>114</v>
      </c>
    </row>
    <row r="55" spans="1:7" ht="14.1" customHeight="1" x14ac:dyDescent="0.25">
      <c r="A55" s="202" t="s">
        <v>59</v>
      </c>
      <c r="B55" s="128">
        <v>5.6</v>
      </c>
      <c r="C55" s="128">
        <v>5</v>
      </c>
      <c r="D55" s="128">
        <v>3.8</v>
      </c>
      <c r="E55" s="128">
        <v>3.5</v>
      </c>
      <c r="F55" s="123">
        <f>ROUND(ТАБ_20!E54/ТАБ_20!B54*1000,0)</f>
        <v>674</v>
      </c>
      <c r="G55" s="123">
        <f>ROUND(ТАБ_20!F54/ТАБ_20!C54*1000,0)</f>
        <v>702</v>
      </c>
    </row>
    <row r="56" spans="1:7" ht="14.1" customHeight="1" x14ac:dyDescent="0.25">
      <c r="A56" s="201" t="s">
        <v>60</v>
      </c>
      <c r="B56" s="127">
        <v>6</v>
      </c>
      <c r="C56" s="127">
        <v>5.9</v>
      </c>
      <c r="D56" s="127">
        <v>3.9</v>
      </c>
      <c r="E56" s="127">
        <v>3.8</v>
      </c>
      <c r="F56" s="122">
        <f>ROUND(ТАБ_20!E55/ТАБ_20!B55*1000,0)</f>
        <v>653</v>
      </c>
      <c r="G56" s="122">
        <f>ROUND(ТАБ_20!F55/ТАБ_20!C55*1000,0)</f>
        <v>648</v>
      </c>
    </row>
    <row r="57" spans="1:7" ht="14.1" customHeight="1" x14ac:dyDescent="0.25">
      <c r="A57" s="202" t="s">
        <v>61</v>
      </c>
      <c r="B57" s="128">
        <v>6.2</v>
      </c>
      <c r="C57" s="128">
        <v>6.3</v>
      </c>
      <c r="D57" s="128">
        <v>3.8</v>
      </c>
      <c r="E57" s="128">
        <v>3.8</v>
      </c>
      <c r="F57" s="123">
        <f>ROUND(ТАБ_20!E56/ТАБ_20!B56*1000,0)</f>
        <v>614</v>
      </c>
      <c r="G57" s="123">
        <f>ROUND(ТАБ_20!F56/ТАБ_20!C56*1000,0)</f>
        <v>606</v>
      </c>
    </row>
    <row r="58" spans="1:7" ht="14.1" customHeight="1" x14ac:dyDescent="0.25">
      <c r="A58" s="202" t="s">
        <v>62</v>
      </c>
      <c r="B58" s="128">
        <v>5.2</v>
      </c>
      <c r="C58" s="128">
        <v>5.2</v>
      </c>
      <c r="D58" s="128">
        <v>3.5</v>
      </c>
      <c r="E58" s="128">
        <v>3.8</v>
      </c>
      <c r="F58" s="123">
        <f>ROUND(ТАБ_20!E57/ТАБ_20!B57*1000,0)</f>
        <v>676</v>
      </c>
      <c r="G58" s="123">
        <f>ROUND(ТАБ_20!F57/ТАБ_20!C57*1000,0)</f>
        <v>728</v>
      </c>
    </row>
    <row r="59" spans="1:7" ht="14.1" customHeight="1" x14ac:dyDescent="0.25">
      <c r="A59" s="202" t="s">
        <v>63</v>
      </c>
      <c r="B59" s="128">
        <v>5.0999999999999996</v>
      </c>
      <c r="C59" s="128">
        <v>4.8</v>
      </c>
      <c r="D59" s="128">
        <v>3.2</v>
      </c>
      <c r="E59" s="128">
        <v>3.3</v>
      </c>
      <c r="F59" s="123">
        <f>ROUND(ТАБ_20!E58/ТАБ_20!B58*1000,0)</f>
        <v>640</v>
      </c>
      <c r="G59" s="123">
        <f>ROUND(ТАБ_20!F58/ТАБ_20!C58*1000,0)</f>
        <v>686</v>
      </c>
    </row>
    <row r="60" spans="1:7" ht="14.1" customHeight="1" x14ac:dyDescent="0.25">
      <c r="A60" s="202" t="s">
        <v>64</v>
      </c>
      <c r="B60" s="128">
        <v>6.2</v>
      </c>
      <c r="C60" s="128">
        <v>6.4</v>
      </c>
      <c r="D60" s="128">
        <v>3.4</v>
      </c>
      <c r="E60" s="128">
        <v>3.5</v>
      </c>
      <c r="F60" s="123">
        <f>ROUND(ТАБ_20!E59/ТАБ_20!B59*1000,0)</f>
        <v>551</v>
      </c>
      <c r="G60" s="123">
        <f>ROUND(ТАБ_20!F59/ТАБ_20!C59*1000,0)</f>
        <v>541</v>
      </c>
    </row>
    <row r="61" spans="1:7" ht="14.1" customHeight="1" x14ac:dyDescent="0.25">
      <c r="A61" s="202" t="s">
        <v>65</v>
      </c>
      <c r="B61" s="128">
        <v>5.6</v>
      </c>
      <c r="C61" s="128">
        <v>4.5999999999999996</v>
      </c>
      <c r="D61" s="128">
        <v>3.5</v>
      </c>
      <c r="E61" s="128">
        <v>2.6</v>
      </c>
      <c r="F61" s="123">
        <f>ROUND(ТАБ_20!E60/ТАБ_20!B60*1000,0)</f>
        <v>626</v>
      </c>
      <c r="G61" s="123">
        <f>ROUND(ТАБ_20!F60/ТАБ_20!C60*1000,0)</f>
        <v>566</v>
      </c>
    </row>
    <row r="62" spans="1:7" ht="14.1" customHeight="1" x14ac:dyDescent="0.25">
      <c r="A62" s="202" t="s">
        <v>66</v>
      </c>
      <c r="B62" s="128">
        <v>5.2</v>
      </c>
      <c r="C62" s="128">
        <v>5.2</v>
      </c>
      <c r="D62" s="128">
        <v>3.2</v>
      </c>
      <c r="E62" s="128">
        <v>3.2</v>
      </c>
      <c r="F62" s="123">
        <f>ROUND(ТАБ_20!E61/ТАБ_20!B61*1000,0)</f>
        <v>613</v>
      </c>
      <c r="G62" s="123">
        <f>ROUND(ТАБ_20!F61/ТАБ_20!C61*1000,0)</f>
        <v>605</v>
      </c>
    </row>
    <row r="63" spans="1:7" ht="14.1" customHeight="1" x14ac:dyDescent="0.25">
      <c r="A63" s="202" t="s">
        <v>67</v>
      </c>
      <c r="B63" s="128">
        <v>6.5</v>
      </c>
      <c r="C63" s="128">
        <v>6.3</v>
      </c>
      <c r="D63" s="128">
        <v>4.2</v>
      </c>
      <c r="E63" s="128">
        <v>4.0999999999999996</v>
      </c>
      <c r="F63" s="123">
        <f>ROUND(ТАБ_20!E62/ТАБ_20!B62*1000,0)</f>
        <v>654</v>
      </c>
      <c r="G63" s="123">
        <f>ROUND(ТАБ_20!F62/ТАБ_20!C62*1000,0)</f>
        <v>651</v>
      </c>
    </row>
    <row r="64" spans="1:7" ht="14.1" customHeight="1" x14ac:dyDescent="0.25">
      <c r="A64" s="202" t="s">
        <v>68</v>
      </c>
      <c r="B64" s="128">
        <v>5.3</v>
      </c>
      <c r="C64" s="128">
        <v>5.0999999999999996</v>
      </c>
      <c r="D64" s="128">
        <v>4</v>
      </c>
      <c r="E64" s="128">
        <v>3.9</v>
      </c>
      <c r="F64" s="123">
        <f>ROUND(ТАБ_20!E63/ТАБ_20!B63*1000,0)</f>
        <v>748</v>
      </c>
      <c r="G64" s="123">
        <f>ROUND(ТАБ_20!F63/ТАБ_20!C63*1000,0)</f>
        <v>767</v>
      </c>
    </row>
    <row r="65" spans="1:7" ht="14.1" customHeight="1" x14ac:dyDescent="0.25">
      <c r="A65" s="202" t="s">
        <v>69</v>
      </c>
      <c r="B65" s="128">
        <v>6.1</v>
      </c>
      <c r="C65" s="128">
        <v>6.1</v>
      </c>
      <c r="D65" s="128">
        <v>4.2</v>
      </c>
      <c r="E65" s="128">
        <v>3.9</v>
      </c>
      <c r="F65" s="123">
        <f>ROUND(ТАБ_20!E64/ТАБ_20!B64*1000,0)</f>
        <v>694</v>
      </c>
      <c r="G65" s="123">
        <f>ROUND(ТАБ_20!F64/ТАБ_20!C64*1000,0)</f>
        <v>647</v>
      </c>
    </row>
    <row r="66" spans="1:7" ht="14.1" customHeight="1" x14ac:dyDescent="0.25">
      <c r="A66" s="202" t="s">
        <v>70</v>
      </c>
      <c r="B66" s="128">
        <v>6.3</v>
      </c>
      <c r="C66" s="128">
        <v>6.5</v>
      </c>
      <c r="D66" s="128">
        <v>4.3</v>
      </c>
      <c r="E66" s="128">
        <v>4.3</v>
      </c>
      <c r="F66" s="123">
        <f>ROUND(ТАБ_20!E65/ТАБ_20!B65*1000,0)</f>
        <v>685</v>
      </c>
      <c r="G66" s="123">
        <f>ROUND(ТАБ_20!F65/ТАБ_20!C65*1000,0)</f>
        <v>656</v>
      </c>
    </row>
    <row r="67" spans="1:7" ht="14.1" customHeight="1" x14ac:dyDescent="0.25">
      <c r="A67" s="202" t="s">
        <v>71</v>
      </c>
      <c r="B67" s="128">
        <v>5.5</v>
      </c>
      <c r="C67" s="128">
        <v>5.2</v>
      </c>
      <c r="D67" s="128">
        <v>4</v>
      </c>
      <c r="E67" s="128">
        <v>3.8</v>
      </c>
      <c r="F67" s="123">
        <f>ROUND(ТАБ_20!E66/ТАБ_20!B66*1000,0)</f>
        <v>727</v>
      </c>
      <c r="G67" s="123">
        <f>ROUND(ТАБ_20!F66/ТАБ_20!C66*1000,0)</f>
        <v>733</v>
      </c>
    </row>
    <row r="68" spans="1:7" ht="14.1" customHeight="1" x14ac:dyDescent="0.25">
      <c r="A68" s="202" t="s">
        <v>72</v>
      </c>
      <c r="B68" s="128">
        <v>6.3</v>
      </c>
      <c r="C68" s="128">
        <v>6.1</v>
      </c>
      <c r="D68" s="128">
        <v>4.3</v>
      </c>
      <c r="E68" s="128">
        <v>4.4000000000000004</v>
      </c>
      <c r="F68" s="123">
        <f>ROUND(ТАБ_20!E67/ТАБ_20!B67*1000,0)</f>
        <v>674</v>
      </c>
      <c r="G68" s="123">
        <f>ROUND(ТАБ_20!F67/ТАБ_20!C67*1000,0)</f>
        <v>720</v>
      </c>
    </row>
    <row r="69" spans="1:7" ht="14.1" customHeight="1" x14ac:dyDescent="0.25">
      <c r="A69" s="203" t="s">
        <v>73</v>
      </c>
      <c r="B69" s="128">
        <v>5.6</v>
      </c>
      <c r="C69" s="128">
        <v>5.4</v>
      </c>
      <c r="D69" s="128">
        <v>4.0999999999999996</v>
      </c>
      <c r="E69" s="128">
        <v>4</v>
      </c>
      <c r="F69" s="123">
        <f>ROUND(ТАБ_20!E68/ТАБ_20!B68*1000,0)</f>
        <v>726</v>
      </c>
      <c r="G69" s="123">
        <f>ROUND(ТАБ_20!F68/ТАБ_20!C68*1000,0)</f>
        <v>737</v>
      </c>
    </row>
    <row r="70" spans="1:7" ht="14.1" customHeight="1" x14ac:dyDescent="0.25">
      <c r="A70" s="202" t="s">
        <v>74</v>
      </c>
      <c r="B70" s="128">
        <v>5.8</v>
      </c>
      <c r="C70" s="128">
        <v>5.8</v>
      </c>
      <c r="D70" s="128">
        <v>3.8</v>
      </c>
      <c r="E70" s="128">
        <v>3.7</v>
      </c>
      <c r="F70" s="123">
        <f>ROUND(ТАБ_20!E69/ТАБ_20!B69*1000,0)</f>
        <v>652</v>
      </c>
      <c r="G70" s="123">
        <f>ROUND(ТАБ_20!F69/ТАБ_20!C69*1000,0)</f>
        <v>648</v>
      </c>
    </row>
    <row r="71" spans="1:7" ht="14.1" customHeight="1" x14ac:dyDescent="0.25">
      <c r="A71" s="206" t="s">
        <v>75</v>
      </c>
      <c r="B71" s="127">
        <v>6.8</v>
      </c>
      <c r="C71" s="127">
        <v>6.3</v>
      </c>
      <c r="D71" s="127">
        <v>4.8</v>
      </c>
      <c r="E71" s="127">
        <v>4.5999999999999996</v>
      </c>
      <c r="F71" s="122">
        <f>ROUND(ТАБ_20!E70/ТАБ_20!B70*1000,0)</f>
        <v>707</v>
      </c>
      <c r="G71" s="122">
        <f>ROUND(ТАБ_20!F70/ТАБ_20!C70*1000,0)</f>
        <v>730</v>
      </c>
    </row>
    <row r="72" spans="1:7" ht="14.1" customHeight="1" x14ac:dyDescent="0.25">
      <c r="A72" s="202" t="s">
        <v>76</v>
      </c>
      <c r="B72" s="128">
        <v>5.7</v>
      </c>
      <c r="C72" s="128">
        <v>5.6</v>
      </c>
      <c r="D72" s="128">
        <v>4.7</v>
      </c>
      <c r="E72" s="128">
        <v>4</v>
      </c>
      <c r="F72" s="123">
        <f>ROUND(ТАБ_20!E71/ТАБ_20!B71*1000,0)</f>
        <v>815</v>
      </c>
      <c r="G72" s="123">
        <f>ROUND(ТАБ_20!F71/ТАБ_20!C71*1000,0)</f>
        <v>724</v>
      </c>
    </row>
    <row r="73" spans="1:7" ht="14.1" customHeight="1" x14ac:dyDescent="0.25">
      <c r="A73" s="202" t="s">
        <v>77</v>
      </c>
      <c r="B73" s="128">
        <v>6.8</v>
      </c>
      <c r="C73" s="128">
        <v>6.4</v>
      </c>
      <c r="D73" s="128">
        <v>4.8</v>
      </c>
      <c r="E73" s="128">
        <v>4.4000000000000004</v>
      </c>
      <c r="F73" s="123">
        <f>ROUND(ТАБ_20!E72/ТАБ_20!B72*1000,0)</f>
        <v>697</v>
      </c>
      <c r="G73" s="123">
        <f>ROUND(ТАБ_20!F72/ТАБ_20!C72*1000,0)</f>
        <v>690</v>
      </c>
    </row>
    <row r="74" spans="1:7" ht="14.1" customHeight="1" x14ac:dyDescent="0.25">
      <c r="A74" s="202" t="s">
        <v>78</v>
      </c>
      <c r="B74" s="128">
        <v>7.3</v>
      </c>
      <c r="C74" s="128">
        <v>6.6</v>
      </c>
      <c r="D74" s="128">
        <v>5</v>
      </c>
      <c r="E74" s="128">
        <v>5</v>
      </c>
      <c r="F74" s="123">
        <f>ROUND(ТАБ_20!E73/ТАБ_20!B73*1000,0)</f>
        <v>689</v>
      </c>
      <c r="G74" s="123">
        <f>ROUND(ТАБ_20!F73/ТАБ_20!C73*1000,0)</f>
        <v>758</v>
      </c>
    </row>
    <row r="75" spans="1:7" ht="14.1" customHeight="1" x14ac:dyDescent="0.25">
      <c r="A75" s="202" t="s">
        <v>79</v>
      </c>
      <c r="B75" s="128">
        <v>7.7</v>
      </c>
      <c r="C75" s="128">
        <v>6.9</v>
      </c>
      <c r="D75" s="128">
        <v>5.3</v>
      </c>
      <c r="E75" s="128">
        <v>5.3</v>
      </c>
      <c r="F75" s="123">
        <f>ROUND(ТАБ_20!E74/ТАБ_20!B74*1000,0)</f>
        <v>691</v>
      </c>
      <c r="G75" s="123">
        <f>ROUND(ТАБ_20!F74/ТАБ_20!C74*1000,0)</f>
        <v>780</v>
      </c>
    </row>
    <row r="76" spans="1:7" ht="14.1" customHeight="1" x14ac:dyDescent="0.25">
      <c r="A76" s="202" t="s">
        <v>80</v>
      </c>
      <c r="B76" s="128">
        <v>7.1</v>
      </c>
      <c r="C76" s="128">
        <v>6.5</v>
      </c>
      <c r="D76" s="128">
        <v>5.3</v>
      </c>
      <c r="E76" s="128">
        <v>5.4</v>
      </c>
      <c r="F76" s="123">
        <f>ROUND(ТАБ_20!E75/ТАБ_20!B75*1000,0)</f>
        <v>746</v>
      </c>
      <c r="G76" s="123">
        <f>ROUND(ТАБ_20!F75/ТАБ_20!C75*1000,0)</f>
        <v>839</v>
      </c>
    </row>
    <row r="77" spans="1:7" ht="14.1" customHeight="1" x14ac:dyDescent="0.25">
      <c r="A77" s="205" t="s">
        <v>288</v>
      </c>
      <c r="B77" s="128">
        <v>6.9</v>
      </c>
      <c r="C77" s="128">
        <v>6.4</v>
      </c>
      <c r="D77" s="128">
        <v>4.5999999999999996</v>
      </c>
      <c r="E77" s="128">
        <v>4.5</v>
      </c>
      <c r="F77" s="123">
        <f>ROUND(ТАБ_20!E76/ТАБ_20!B76*1000,0)</f>
        <v>667</v>
      </c>
      <c r="G77" s="123">
        <f>ROUND(ТАБ_20!F76/ТАБ_20!C76*1000,0)</f>
        <v>704</v>
      </c>
    </row>
    <row r="78" spans="1:7" ht="14.1" customHeight="1" x14ac:dyDescent="0.25">
      <c r="A78" s="202" t="s">
        <v>81</v>
      </c>
      <c r="B78" s="128">
        <v>6.5</v>
      </c>
      <c r="C78" s="128">
        <v>6</v>
      </c>
      <c r="D78" s="128">
        <v>4.7</v>
      </c>
      <c r="E78" s="128">
        <v>4.5</v>
      </c>
      <c r="F78" s="123">
        <f>ROUND(ТАБ_20!E77/ТАБ_20!B77*1000,0)</f>
        <v>719</v>
      </c>
      <c r="G78" s="123">
        <f>ROUND(ТАБ_20!F77/ТАБ_20!C77*1000,0)</f>
        <v>750</v>
      </c>
    </row>
    <row r="79" spans="1:7" ht="14.1" customHeight="1" x14ac:dyDescent="0.25">
      <c r="A79" s="201" t="s">
        <v>345</v>
      </c>
      <c r="B79" s="127">
        <v>6.7</v>
      </c>
      <c r="C79" s="127">
        <v>6.3</v>
      </c>
      <c r="D79" s="127">
        <v>4.5999999999999996</v>
      </c>
      <c r="E79" s="127">
        <v>4.3</v>
      </c>
      <c r="F79" s="122">
        <f>ROUND(ТАБ_20!E78/ТАБ_20!B78*1000,0)</f>
        <v>688</v>
      </c>
      <c r="G79" s="122">
        <f>ROUND(ТАБ_20!F78/ТАБ_20!C78*1000,0)</f>
        <v>690</v>
      </c>
    </row>
    <row r="80" spans="1:7" ht="14.1" customHeight="1" x14ac:dyDescent="0.25">
      <c r="A80" s="202" t="s">
        <v>83</v>
      </c>
      <c r="B80" s="128">
        <v>7</v>
      </c>
      <c r="C80" s="128">
        <v>6.5</v>
      </c>
      <c r="D80" s="128">
        <v>4.5999999999999996</v>
      </c>
      <c r="E80" s="128">
        <v>4</v>
      </c>
      <c r="F80" s="123">
        <f>ROUND(ТАБ_20!E79/ТАБ_20!B79*1000,0)</f>
        <v>657</v>
      </c>
      <c r="G80" s="123">
        <f>ROUND(ТАБ_20!F79/ТАБ_20!C79*1000,0)</f>
        <v>622</v>
      </c>
    </row>
    <row r="81" spans="1:7" ht="14.1" customHeight="1" x14ac:dyDescent="0.25">
      <c r="A81" s="202" t="s">
        <v>85</v>
      </c>
      <c r="B81" s="128">
        <v>6.7</v>
      </c>
      <c r="C81" s="128">
        <v>5.4</v>
      </c>
      <c r="D81" s="128">
        <v>2.2999999999999998</v>
      </c>
      <c r="E81" s="128">
        <v>1.9</v>
      </c>
      <c r="F81" s="123">
        <f>ROUND(ТАБ_20!E80/ТАБ_20!B80*1000,0)</f>
        <v>341</v>
      </c>
      <c r="G81" s="123">
        <f>ROUND(ТАБ_20!F80/ТАБ_20!C80*1000,0)</f>
        <v>348</v>
      </c>
    </row>
    <row r="82" spans="1:7" ht="14.1" customHeight="1" x14ac:dyDescent="0.25">
      <c r="A82" s="202" t="s">
        <v>86</v>
      </c>
      <c r="B82" s="128">
        <v>6.8</v>
      </c>
      <c r="C82" s="128">
        <v>5.9</v>
      </c>
      <c r="D82" s="128">
        <v>4.5</v>
      </c>
      <c r="E82" s="128">
        <v>3.9</v>
      </c>
      <c r="F82" s="123">
        <f>ROUND(ТАБ_20!E81/ТАБ_20!B81*1000,0)</f>
        <v>653</v>
      </c>
      <c r="G82" s="123">
        <f>ROUND(ТАБ_20!F81/ТАБ_20!C81*1000,0)</f>
        <v>653</v>
      </c>
    </row>
    <row r="83" spans="1:7" ht="14.1" customHeight="1" x14ac:dyDescent="0.25">
      <c r="A83" s="202" t="s">
        <v>87</v>
      </c>
      <c r="B83" s="128">
        <v>5.8</v>
      </c>
      <c r="C83" s="128">
        <v>5.6</v>
      </c>
      <c r="D83" s="128">
        <v>4.4000000000000004</v>
      </c>
      <c r="E83" s="128">
        <v>4.3</v>
      </c>
      <c r="F83" s="123">
        <f>ROUND(ТАБ_20!E82/ТАБ_20!B82*1000,0)</f>
        <v>755</v>
      </c>
      <c r="G83" s="123">
        <f>ROUND(ТАБ_20!F82/ТАБ_20!C82*1000,0)</f>
        <v>759</v>
      </c>
    </row>
    <row r="84" spans="1:7" ht="14.1" customHeight="1" x14ac:dyDescent="0.25">
      <c r="A84" s="202" t="s">
        <v>89</v>
      </c>
      <c r="B84" s="128">
        <v>7.1</v>
      </c>
      <c r="C84" s="128">
        <v>6.6</v>
      </c>
      <c r="D84" s="128">
        <v>5</v>
      </c>
      <c r="E84" s="128">
        <v>4.8</v>
      </c>
      <c r="F84" s="123">
        <f>ROUND(ТАБ_20!E83/ТАБ_20!B83*1000,0)</f>
        <v>701</v>
      </c>
      <c r="G84" s="123">
        <f>ROUND(ТАБ_20!F83/ТАБ_20!C83*1000,0)</f>
        <v>718</v>
      </c>
    </row>
    <row r="85" spans="1:7" ht="14.1" customHeight="1" x14ac:dyDescent="0.25">
      <c r="A85" s="202" t="s">
        <v>90</v>
      </c>
      <c r="B85" s="128">
        <v>7.6</v>
      </c>
      <c r="C85" s="128">
        <v>7.1</v>
      </c>
      <c r="D85" s="128">
        <v>5</v>
      </c>
      <c r="E85" s="128">
        <v>4.5999999999999996</v>
      </c>
      <c r="F85" s="123">
        <f>ROUND(ТАБ_20!E84/ТАБ_20!B84*1000,0)</f>
        <v>661</v>
      </c>
      <c r="G85" s="123">
        <f>ROUND(ТАБ_20!F84/ТАБ_20!C84*1000,0)</f>
        <v>647</v>
      </c>
    </row>
    <row r="86" spans="1:7" ht="14.1" customHeight="1" x14ac:dyDescent="0.25">
      <c r="A86" s="202" t="s">
        <v>91</v>
      </c>
      <c r="B86" s="128">
        <v>6.1</v>
      </c>
      <c r="C86" s="128">
        <v>5.9</v>
      </c>
      <c r="D86" s="128">
        <v>4.3</v>
      </c>
      <c r="E86" s="128">
        <v>4.3</v>
      </c>
      <c r="F86" s="123">
        <f>ROUND(ТАБ_20!E85/ТАБ_20!B85*1000,0)</f>
        <v>710</v>
      </c>
      <c r="G86" s="123">
        <f>ROUND(ТАБ_20!F85/ТАБ_20!C85*1000,0)</f>
        <v>724</v>
      </c>
    </row>
    <row r="87" spans="1:7" ht="14.1" customHeight="1" x14ac:dyDescent="0.25">
      <c r="A87" s="202" t="s">
        <v>92</v>
      </c>
      <c r="B87" s="128">
        <v>6.9</v>
      </c>
      <c r="C87" s="128">
        <v>6.3</v>
      </c>
      <c r="D87" s="128">
        <v>4.8</v>
      </c>
      <c r="E87" s="128">
        <v>4.5</v>
      </c>
      <c r="F87" s="123">
        <f>ROUND(ТАБ_20!E86/ТАБ_20!B86*1000,0)</f>
        <v>684</v>
      </c>
      <c r="G87" s="123">
        <f>ROUND(ТАБ_20!F86/ТАБ_20!C86*1000,0)</f>
        <v>711</v>
      </c>
    </row>
    <row r="88" spans="1:7" ht="14.1" customHeight="1" x14ac:dyDescent="0.25">
      <c r="A88" s="202" t="s">
        <v>93</v>
      </c>
      <c r="B88" s="128">
        <v>6.5</v>
      </c>
      <c r="C88" s="128">
        <v>6.2</v>
      </c>
      <c r="D88" s="128">
        <v>4.4000000000000004</v>
      </c>
      <c r="E88" s="128">
        <v>4.3</v>
      </c>
      <c r="F88" s="123">
        <f>ROUND(ТАБ_20!E87/ТАБ_20!B87*1000,0)</f>
        <v>684</v>
      </c>
      <c r="G88" s="123">
        <f>ROUND(ТАБ_20!F87/ТАБ_20!C87*1000,0)</f>
        <v>688</v>
      </c>
    </row>
    <row r="89" spans="1:7" ht="14.1" customHeight="1" x14ac:dyDescent="0.25">
      <c r="A89" s="202" t="s">
        <v>94</v>
      </c>
      <c r="B89" s="128">
        <v>6.5</v>
      </c>
      <c r="C89" s="128">
        <v>6.4</v>
      </c>
      <c r="D89" s="128">
        <v>4.5</v>
      </c>
      <c r="E89" s="128">
        <v>3.7</v>
      </c>
      <c r="F89" s="123">
        <f>ROUND(ТАБ_20!E88/ТАБ_20!B88*1000,0)</f>
        <v>690</v>
      </c>
      <c r="G89" s="123">
        <f>ROUND(ТАБ_20!F88/ТАБ_20!C88*1000,0)</f>
        <v>582</v>
      </c>
    </row>
    <row r="90" spans="1:7" ht="14.1" customHeight="1" x14ac:dyDescent="0.25">
      <c r="A90" s="206" t="s">
        <v>344</v>
      </c>
      <c r="B90" s="127">
        <v>7.1</v>
      </c>
      <c r="C90" s="127">
        <v>6.6</v>
      </c>
      <c r="D90" s="127">
        <v>4.9000000000000004</v>
      </c>
      <c r="E90" s="127">
        <v>4.5999999999999996</v>
      </c>
      <c r="F90" s="122">
        <f>ROUND(ТАБ_20!E89/ТАБ_20!B89*1000,0)</f>
        <v>687</v>
      </c>
      <c r="G90" s="122">
        <f>ROUND(ТАБ_20!F89/ТАБ_20!C89*1000,0)</f>
        <v>692</v>
      </c>
    </row>
    <row r="91" spans="1:7" ht="14.1" customHeight="1" x14ac:dyDescent="0.25">
      <c r="A91" s="202" t="s">
        <v>84</v>
      </c>
      <c r="B91" s="128">
        <v>6.1</v>
      </c>
      <c r="C91" s="128">
        <v>5.7</v>
      </c>
      <c r="D91" s="128">
        <v>3.8</v>
      </c>
      <c r="E91" s="128">
        <v>3.6</v>
      </c>
      <c r="F91" s="423">
        <f>ROUND(ТАБ_20!E90/ТАБ_20!B90*1000,0)</f>
        <v>620</v>
      </c>
      <c r="G91" s="423">
        <f>ROUND(ТАБ_20!F90/ТАБ_20!C90*1000,0)</f>
        <v>630</v>
      </c>
    </row>
    <row r="92" spans="1:7" ht="14.1" customHeight="1" x14ac:dyDescent="0.25">
      <c r="A92" s="202" t="s">
        <v>96</v>
      </c>
      <c r="B92" s="128">
        <v>6.7</v>
      </c>
      <c r="C92" s="128">
        <v>6.2</v>
      </c>
      <c r="D92" s="128">
        <v>4.3</v>
      </c>
      <c r="E92" s="128">
        <v>3.4</v>
      </c>
      <c r="F92" s="423">
        <f>ROUND(ТАБ_20!E91/ТАБ_20!B91*1000,0)</f>
        <v>643</v>
      </c>
      <c r="G92" s="423">
        <f>ROUND(ТАБ_20!F91/ТАБ_20!C91*1000,0)</f>
        <v>545</v>
      </c>
    </row>
    <row r="93" spans="1:7" ht="14.1" customHeight="1" x14ac:dyDescent="0.25">
      <c r="A93" s="202" t="s">
        <v>88</v>
      </c>
      <c r="B93" s="128">
        <v>6.9</v>
      </c>
      <c r="C93" s="128">
        <v>6.2</v>
      </c>
      <c r="D93" s="128">
        <v>4.8</v>
      </c>
      <c r="E93" s="128">
        <v>4.5</v>
      </c>
      <c r="F93" s="423">
        <f>ROUND(ТАБ_20!E92/ТАБ_20!B92*1000,0)</f>
        <v>688</v>
      </c>
      <c r="G93" s="423">
        <f>ROUND(ТАБ_20!F92/ТАБ_20!C92*1000,0)</f>
        <v>728</v>
      </c>
    </row>
    <row r="94" spans="1:7" ht="14.1" customHeight="1" x14ac:dyDescent="0.25">
      <c r="A94" s="202" t="s">
        <v>97</v>
      </c>
      <c r="B94" s="128">
        <v>8.1</v>
      </c>
      <c r="C94" s="128">
        <v>7.4</v>
      </c>
      <c r="D94" s="128">
        <v>5.9</v>
      </c>
      <c r="E94" s="128">
        <v>5.2</v>
      </c>
      <c r="F94" s="423">
        <f>ROUND(ТАБ_20!E93/ТАБ_20!B93*1000,0)</f>
        <v>728</v>
      </c>
      <c r="G94" s="423">
        <f>ROUND(ТАБ_20!F93/ТАБ_20!C93*1000,0)</f>
        <v>703</v>
      </c>
    </row>
    <row r="95" spans="1:7" ht="14.1" customHeight="1" x14ac:dyDescent="0.25">
      <c r="A95" s="202" t="s">
        <v>98</v>
      </c>
      <c r="B95" s="128">
        <v>7.6</v>
      </c>
      <c r="C95" s="128">
        <v>7</v>
      </c>
      <c r="D95" s="128">
        <v>5</v>
      </c>
      <c r="E95" s="128">
        <v>4.8</v>
      </c>
      <c r="F95" s="423">
        <f>ROUND(ТАБ_20!E94/ТАБ_20!B94*1000,0)</f>
        <v>657</v>
      </c>
      <c r="G95" s="423">
        <f>ROUND(ТАБ_20!F94/ТАБ_20!C94*1000,0)</f>
        <v>689</v>
      </c>
    </row>
    <row r="96" spans="1:7" ht="14.1" customHeight="1" x14ac:dyDescent="0.25">
      <c r="A96" s="202" t="s">
        <v>99</v>
      </c>
      <c r="B96" s="128">
        <v>7.4</v>
      </c>
      <c r="C96" s="128">
        <v>6.6</v>
      </c>
      <c r="D96" s="128">
        <v>5.2</v>
      </c>
      <c r="E96" s="128">
        <v>5</v>
      </c>
      <c r="F96" s="423">
        <f>ROUND(ТАБ_20!E95/ТАБ_20!B95*1000,0)</f>
        <v>705</v>
      </c>
      <c r="G96" s="423">
        <f>ROUND(ТАБ_20!F95/ТАБ_20!C95*1000,0)</f>
        <v>755</v>
      </c>
    </row>
    <row r="97" spans="1:8" ht="14.1" customHeight="1" x14ac:dyDescent="0.25">
      <c r="A97" s="202" t="s">
        <v>100</v>
      </c>
      <c r="B97" s="128">
        <v>7.1</v>
      </c>
      <c r="C97" s="128">
        <v>7.2</v>
      </c>
      <c r="D97" s="128">
        <v>5.3</v>
      </c>
      <c r="E97" s="128">
        <v>5.0999999999999996</v>
      </c>
      <c r="F97" s="423">
        <f>ROUND(ТАБ_20!E96/ТАБ_20!B96*1000,0)</f>
        <v>743</v>
      </c>
      <c r="G97" s="423">
        <f>ROUND(ТАБ_20!F96/ТАБ_20!C96*1000,0)</f>
        <v>713</v>
      </c>
    </row>
    <row r="98" spans="1:8" ht="14.1" customHeight="1" x14ac:dyDescent="0.25">
      <c r="A98" s="202" t="s">
        <v>101</v>
      </c>
      <c r="B98" s="128">
        <v>7</v>
      </c>
      <c r="C98" s="128">
        <v>7</v>
      </c>
      <c r="D98" s="128">
        <v>5.4</v>
      </c>
      <c r="E98" s="128">
        <v>5.0999999999999996</v>
      </c>
      <c r="F98" s="423">
        <f>ROUND(ТАБ_20!E97/ТАБ_20!B97*1000,0)</f>
        <v>770</v>
      </c>
      <c r="G98" s="423">
        <f>ROUND(ТАБ_20!F97/ТАБ_20!C97*1000,0)</f>
        <v>725</v>
      </c>
    </row>
    <row r="99" spans="1:8" ht="14.1" customHeight="1" x14ac:dyDescent="0.25">
      <c r="A99" s="202" t="s">
        <v>102</v>
      </c>
      <c r="B99" s="128">
        <v>7.4</v>
      </c>
      <c r="C99" s="128">
        <v>7.5</v>
      </c>
      <c r="D99" s="128">
        <v>5.8</v>
      </c>
      <c r="E99" s="128">
        <v>5.6</v>
      </c>
      <c r="F99" s="423">
        <f>ROUND(ТАБ_20!E98/ТАБ_20!B98*1000,0)</f>
        <v>785</v>
      </c>
      <c r="G99" s="423">
        <f>ROUND(ТАБ_20!F98/ТАБ_20!C98*1000,0)</f>
        <v>746</v>
      </c>
    </row>
    <row r="100" spans="1:8" ht="14.1" customHeight="1" x14ac:dyDescent="0.25">
      <c r="A100" s="202" t="s">
        <v>103</v>
      </c>
      <c r="B100" s="128">
        <v>6.3</v>
      </c>
      <c r="C100" s="128">
        <v>6</v>
      </c>
      <c r="D100" s="128">
        <v>5</v>
      </c>
      <c r="E100" s="128">
        <v>4.8</v>
      </c>
      <c r="F100" s="423">
        <f>ROUND(ТАБ_20!E99/ТАБ_20!B99*1000,0)</f>
        <v>787</v>
      </c>
      <c r="G100" s="423">
        <f>ROUND(ТАБ_20!F99/ТАБ_20!C99*1000,0)</f>
        <v>800</v>
      </c>
    </row>
    <row r="101" spans="1:8" s="124" customFormat="1" ht="14.1" customHeight="1" x14ac:dyDescent="0.25">
      <c r="A101" s="273" t="s">
        <v>104</v>
      </c>
      <c r="B101" s="303">
        <v>7.2</v>
      </c>
      <c r="C101" s="303">
        <v>7.2</v>
      </c>
      <c r="D101" s="303">
        <v>4.9000000000000004</v>
      </c>
      <c r="E101" s="303">
        <v>4.8</v>
      </c>
      <c r="F101" s="304">
        <f>ROUND(ТАБ_20!E100/ТАБ_20!B100*1000,0)</f>
        <v>686</v>
      </c>
      <c r="G101" s="304">
        <f>ROUND(ТАБ_20!F100/ТАБ_20!C100*1000,0)</f>
        <v>671</v>
      </c>
      <c r="H101"/>
    </row>
    <row r="102" spans="1:8" ht="15.75" customHeight="1" x14ac:dyDescent="0.25">
      <c r="A102" s="594"/>
      <c r="B102" s="594"/>
      <c r="C102" s="594"/>
      <c r="D102" s="594"/>
      <c r="E102" s="594"/>
      <c r="F102" s="594"/>
    </row>
    <row r="103" spans="1:8" x14ac:dyDescent="0.25">
      <c r="A103" s="424"/>
      <c r="B103" s="424"/>
      <c r="C103" s="424"/>
    </row>
    <row r="104" spans="1:8" x14ac:dyDescent="0.25">
      <c r="A104" s="114"/>
      <c r="B104" s="116" t="s">
        <v>196</v>
      </c>
      <c r="C104" s="114"/>
      <c r="D104" s="116"/>
      <c r="E104" s="114"/>
      <c r="F104" s="114"/>
      <c r="H104" s="124"/>
    </row>
    <row r="105" spans="1:8" x14ac:dyDescent="0.25">
      <c r="A105" s="5"/>
      <c r="B105" s="114" t="s">
        <v>197</v>
      </c>
      <c r="C105" s="114"/>
      <c r="D105" s="114"/>
      <c r="E105" s="114"/>
      <c r="F105" s="587" t="s">
        <v>359</v>
      </c>
      <c r="G105" s="587"/>
      <c r="H105" s="265"/>
    </row>
    <row r="106" spans="1:8" x14ac:dyDescent="0.25">
      <c r="A106" s="5"/>
      <c r="B106" s="114"/>
      <c r="C106" s="114"/>
      <c r="D106" s="114"/>
      <c r="E106" s="114"/>
      <c r="F106" s="305"/>
      <c r="G106" s="305"/>
      <c r="H106" s="265"/>
    </row>
    <row r="108" spans="1:8" x14ac:dyDescent="0.25">
      <c r="B108" s="114"/>
      <c r="C108" s="114"/>
      <c r="D108" s="114"/>
      <c r="E108" s="114"/>
      <c r="F108" s="114"/>
      <c r="G108" s="114"/>
    </row>
    <row r="109" spans="1:8" x14ac:dyDescent="0.25">
      <c r="B109" s="114"/>
      <c r="D109" s="114"/>
    </row>
  </sheetData>
  <mergeCells count="7">
    <mergeCell ref="F105:G105"/>
    <mergeCell ref="A1:G1"/>
    <mergeCell ref="A3:A5"/>
    <mergeCell ref="B3:C4"/>
    <mergeCell ref="D3:E4"/>
    <mergeCell ref="F3:G4"/>
    <mergeCell ref="A102:F102"/>
  </mergeCells>
  <printOptions horizontalCentered="1"/>
  <pageMargins left="0.70866141732283472" right="0.70866141732283472" top="0.70866141732283472" bottom="0.11811023622047245" header="0.31496062992125984" footer="0.31496062992125984"/>
  <pageSetup paperSize="9" firstPageNumber="54" orientation="landscape" useFirstPageNumber="1" r:id="rId1"/>
  <headerFooter>
    <oddHeader>&amp;C&amp;"Arial,обычный"&amp;10&amp;P</oddHeader>
  </headerFooter>
  <rowBreaks count="2" manualBreakCount="2">
    <brk id="38" max="16383" man="1"/>
    <brk id="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28</vt:i4>
      </vt:variant>
    </vt:vector>
  </HeadingPairs>
  <TitlesOfParts>
    <vt:vector size="53" baseType="lpstr">
      <vt:lpstr>обложка</vt:lpstr>
      <vt:lpstr>титул</vt:lpstr>
      <vt:lpstr>содержание</vt:lpstr>
      <vt:lpstr>предисловие</vt:lpstr>
      <vt:lpstr>ТАБ_1 </vt:lpstr>
      <vt:lpstr>ТАБ_2</vt:lpstr>
      <vt:lpstr>ТАБ_3</vt:lpstr>
      <vt:lpstr>ТАБ_4</vt:lpstr>
      <vt:lpstr>ТАБ_5</vt:lpstr>
      <vt:lpstr>ТАБ_6</vt:lpstr>
      <vt:lpstr>ТАБ_7</vt:lpstr>
      <vt:lpstr>ТАБ_8</vt:lpstr>
      <vt:lpstr>ТАБ_9</vt:lpstr>
      <vt:lpstr>ТАБ_10</vt:lpstr>
      <vt:lpstr>ТАБ_11</vt:lpstr>
      <vt:lpstr>ТАБ_12</vt:lpstr>
      <vt:lpstr>ТАБ_13</vt:lpstr>
      <vt:lpstr>ТАБ_14</vt:lpstr>
      <vt:lpstr>ТАБ_15</vt:lpstr>
      <vt:lpstr>ТАБ_16</vt:lpstr>
      <vt:lpstr>ТАБ_17</vt:lpstr>
      <vt:lpstr>ТАБ_18</vt:lpstr>
      <vt:lpstr>ТАБ_19</vt:lpstr>
      <vt:lpstr>ТАБ_20</vt:lpstr>
      <vt:lpstr>ТАБ_21</vt:lpstr>
      <vt:lpstr>ТАБ_10!Заголовки_для_печати</vt:lpstr>
      <vt:lpstr>ТАБ_11!Заголовки_для_печати</vt:lpstr>
      <vt:lpstr>ТАБ_12!Заголовки_для_печати</vt:lpstr>
      <vt:lpstr>ТАБ_13!Заголовки_для_печати</vt:lpstr>
      <vt:lpstr>ТАБ_14!Заголовки_для_печати</vt:lpstr>
      <vt:lpstr>ТАБ_15!Заголовки_для_печати</vt:lpstr>
      <vt:lpstr>ТАБ_16!Заголовки_для_печати</vt:lpstr>
      <vt:lpstr>ТАБ_17!Заголовки_для_печати</vt:lpstr>
      <vt:lpstr>ТАБ_18!Заголовки_для_печати</vt:lpstr>
      <vt:lpstr>ТАБ_19!Заголовки_для_печати</vt:lpstr>
      <vt:lpstr>ТАБ_2!Заголовки_для_печати</vt:lpstr>
      <vt:lpstr>ТАБ_20!Заголовки_для_печати</vt:lpstr>
      <vt:lpstr>ТАБ_21!Заголовки_для_печати</vt:lpstr>
      <vt:lpstr>ТАБ_3!Заголовки_для_печати</vt:lpstr>
      <vt:lpstr>ТАБ_4!Заголовки_для_печати</vt:lpstr>
      <vt:lpstr>ТАБ_5!Заголовки_для_печати</vt:lpstr>
      <vt:lpstr>ТАБ_6!Заголовки_для_печати</vt:lpstr>
      <vt:lpstr>ТАБ_8!Заголовки_для_печати</vt:lpstr>
      <vt:lpstr>обложка!Область_печати</vt:lpstr>
      <vt:lpstr>содержание!Область_печати</vt:lpstr>
      <vt:lpstr>'ТАБ_1 '!Область_печати</vt:lpstr>
      <vt:lpstr>ТАБ_16!Область_печати</vt:lpstr>
      <vt:lpstr>ТАБ_17!Область_печати</vt:lpstr>
      <vt:lpstr>ТАБ_19!Область_печати</vt:lpstr>
      <vt:lpstr>ТАБ_21!Область_печати</vt:lpstr>
      <vt:lpstr>ТАБ_6!Область_печати</vt:lpstr>
      <vt:lpstr>ТАБ_8!Область_печати</vt:lpstr>
      <vt:lpstr>титул!Область_печати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Antipova</dc:creator>
  <cp:lastModifiedBy>Иванова Анна Михайловна</cp:lastModifiedBy>
  <cp:lastPrinted>2020-06-22T12:05:22Z</cp:lastPrinted>
  <dcterms:created xsi:type="dcterms:W3CDTF">2014-05-20T10:03:23Z</dcterms:created>
  <dcterms:modified xsi:type="dcterms:W3CDTF">2020-06-22T12:16:28Z</dcterms:modified>
</cp:coreProperties>
</file>